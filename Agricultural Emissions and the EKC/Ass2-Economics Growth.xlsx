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à\Liegi\Economic Growth and sustainable\Ass-2\"/>
    </mc:Choice>
  </mc:AlternateContent>
  <xr:revisionPtr revIDLastSave="0" documentId="13_ncr:1_{B5E762C1-13FA-4B3B-8FB4-D6D908382589}" xr6:coauthVersionLast="47" xr6:coauthVersionMax="47" xr10:uidLastSave="{00000000-0000-0000-0000-000000000000}"/>
  <bookViews>
    <workbookView xWindow="-108" yWindow="-108" windowWidth="23256" windowHeight="12456" activeTab="1" xr2:uid="{A9757C9D-5BA1-436E-AA2D-3701EDCE726B}"/>
  </bookViews>
  <sheets>
    <sheet name="Contry Selection" sheetId="1" r:id="rId1"/>
    <sheet name="PanelData" sheetId="2" r:id="rId2"/>
    <sheet name="GDP_pc" sheetId="3" r:id="rId3"/>
    <sheet name="CH4_Em" sheetId="6" r:id="rId4"/>
    <sheet name="N2O_Em" sheetId="8" r:id="rId5"/>
    <sheet name="CO2_Em" sheetId="7" r:id="rId6"/>
    <sheet name="Agri_VA" sheetId="9" r:id="rId7"/>
    <sheet name="Agri_land " sheetId="4" r:id="rId8"/>
    <sheet name="Cereal_Yield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2" i="2"/>
  <c r="F44" i="1"/>
  <c r="F43" i="1"/>
  <c r="E44" i="1"/>
  <c r="E43" i="1"/>
  <c r="D44" i="1"/>
  <c r="D43" i="1"/>
</calcChain>
</file>

<file path=xl/sharedStrings.xml><?xml version="1.0" encoding="utf-8"?>
<sst xmlns="http://schemas.openxmlformats.org/spreadsheetml/2006/main" count="16788" uniqueCount="836">
  <si>
    <t>Area</t>
  </si>
  <si>
    <t>Export value</t>
  </si>
  <si>
    <t>Import value</t>
  </si>
  <si>
    <t>Totale complessivo</t>
  </si>
  <si>
    <t>NET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</si>
  <si>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</si>
  <si>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</si>
  <si>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</si>
  <si>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</si>
  <si>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</si>
  <si>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</si>
  <si>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</si>
  <si>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</si>
  <si>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Costa Rica</t>
  </si>
  <si>
    <t>Denmark</t>
  </si>
  <si>
    <t>Egypt</t>
  </si>
  <si>
    <t>Estonia</t>
  </si>
  <si>
    <t>Ethiopia</t>
  </si>
  <si>
    <t>Finland</t>
  </si>
  <si>
    <t>France</t>
  </si>
  <si>
    <t>Germany</t>
  </si>
  <si>
    <t>Greece</t>
  </si>
  <si>
    <t>India</t>
  </si>
  <si>
    <t>Indonesia</t>
  </si>
  <si>
    <t>Iran (Islamic Republic of)</t>
  </si>
  <si>
    <t>Ireland</t>
  </si>
  <si>
    <t>Italy</t>
  </si>
  <si>
    <t>Japan</t>
  </si>
  <si>
    <t>Latvia</t>
  </si>
  <si>
    <t>Mexico</t>
  </si>
  <si>
    <t>Netherlands (Kingdom of the)</t>
  </si>
  <si>
    <t>Norway</t>
  </si>
  <si>
    <t>Poland</t>
  </si>
  <si>
    <t>Portugal</t>
  </si>
  <si>
    <t>Republic of Korea</t>
  </si>
  <si>
    <t>Russian Federation</t>
  </si>
  <si>
    <t>Slovakia</t>
  </si>
  <si>
    <t>Slovenia</t>
  </si>
  <si>
    <t>South Africa</t>
  </si>
  <si>
    <t>Spain</t>
  </si>
  <si>
    <t>Sweden</t>
  </si>
  <si>
    <t>Switzerland</t>
  </si>
  <si>
    <t>Türkiye</t>
  </si>
  <si>
    <t>United Arab Emirates</t>
  </si>
  <si>
    <t>United Kingdom of Great Britain and Northern Ireland</t>
  </si>
  <si>
    <t>United States of America</t>
  </si>
  <si>
    <t>Percentual</t>
  </si>
  <si>
    <t>Type</t>
  </si>
  <si>
    <t>BRICS</t>
  </si>
  <si>
    <t>OECD</t>
  </si>
  <si>
    <t>Saudi Arabia</t>
  </si>
  <si>
    <t>New Zealand</t>
  </si>
  <si>
    <t>area</t>
  </si>
  <si>
    <t>Year</t>
  </si>
  <si>
    <t>GDP_pc</t>
  </si>
  <si>
    <t>Emissions_CH4</t>
  </si>
  <si>
    <t>Emissions_N2O</t>
  </si>
  <si>
    <t>Emissions_CO2</t>
  </si>
  <si>
    <t>Agri_VA_pct</t>
  </si>
  <si>
    <t>Series Name</t>
  </si>
  <si>
    <t>Series Code</t>
  </si>
  <si>
    <t>Country Name</t>
  </si>
  <si>
    <t>Country Code</t>
  </si>
  <si>
    <t>GDP (current US$)</t>
  </si>
  <si>
    <t>NY.GDP.MKTP.CD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</si>
  <si>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</si>
  <si>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</si>
  <si>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</si>
  <si>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</si>
  <si>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</si>
  <si>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</si>
  <si>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</si>
  <si>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</si>
  <si>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..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</si>
  <si>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</si>
  <si>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</si>
  <si>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</si>
  <si>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</si>
  <si>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</si>
  <si>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</si>
  <si>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</si>
  <si>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</si>
  <si>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</si>
  <si>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</si>
  <si>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</si>
  <si>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</si>
  <si>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</si>
  <si>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</si>
  <si>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</si>
  <si>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</si>
  <si>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</si>
  <si>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</si>
  <si>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</si>
  <si>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</si>
  <si>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</si>
  <si>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</si>
  <si>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</si>
  <si>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</si>
  <si>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</si>
  <si>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</si>
  <si>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</si>
  <si>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</si>
  <si>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</si>
  <si>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</si>
  <si>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</si>
  <si>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</si>
  <si>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</si>
  <si>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</si>
  <si>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</si>
  <si>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</si>
  <si>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</si>
  <si>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</si>
  <si>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</si>
  <si>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</si>
  <si>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</si>
  <si>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</si>
  <si>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</si>
  <si>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</si>
  <si>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</si>
  <si>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</si>
  <si>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</si>
  <si>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</si>
  <si>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</si>
  <si>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</si>
  <si>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</si>
  <si>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</si>
  <si>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</si>
  <si>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</si>
  <si>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</si>
  <si>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</si>
  <si>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</si>
  <si>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</si>
  <si>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</si>
  <si>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</si>
  <si>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</si>
  <si>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</si>
  <si>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</si>
  <si>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</si>
  <si>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</si>
  <si>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</si>
  <si>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</si>
  <si>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CHL</t>
  </si>
  <si>
    <t>CHN</t>
  </si>
  <si>
    <t>COL</t>
  </si>
  <si>
    <t>Comoros</t>
  </si>
  <si>
    <t>COM</t>
  </si>
  <si>
    <t>Congo, Dem. Rep.</t>
  </si>
  <si>
    <t>COD</t>
  </si>
  <si>
    <t>Congo, Rep.</t>
  </si>
  <si>
    <t>COG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</si>
  <si>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</si>
  <si>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</si>
  <si>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</si>
  <si>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</si>
  <si>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</si>
  <si>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</si>
  <si>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</si>
  <si>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</si>
  <si>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</si>
  <si>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</si>
  <si>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</si>
  <si>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</si>
  <si>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</si>
  <si>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</si>
  <si>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</si>
  <si>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</si>
  <si>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</si>
  <si>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</si>
  <si>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</si>
  <si>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</si>
  <si>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</si>
  <si>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</si>
  <si>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</t>
  </si>
  <si>
    <t>El Salvador</t>
  </si>
  <si>
    <t>SLV</t>
  </si>
  <si>
    <t>Equatorial Guinea</t>
  </si>
  <si>
    <t>GNQ</t>
  </si>
  <si>
    <t>Eritrea</t>
  </si>
  <si>
    <t>ERI</t>
  </si>
  <si>
    <t>EST</t>
  </si>
  <si>
    <t>Eswatini</t>
  </si>
  <si>
    <t>SWZ</t>
  </si>
  <si>
    <t>ETH</t>
  </si>
  <si>
    <t>Faroe Islands</t>
  </si>
  <si>
    <t>FRO</t>
  </si>
  <si>
    <t>Fiji</t>
  </si>
  <si>
    <t>FJI</t>
  </si>
  <si>
    <t>FIN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</si>
  <si>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</si>
  <si>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</si>
  <si>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</si>
  <si>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</si>
  <si>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</si>
  <si>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</si>
  <si>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</si>
  <si>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</si>
  <si>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</si>
  <si>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DEU</t>
  </si>
  <si>
    <t>Ghana</t>
  </si>
  <si>
    <t>GHA</t>
  </si>
  <si>
    <t>Gibraltar</t>
  </si>
  <si>
    <t>GIB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</si>
  <si>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</si>
  <si>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</si>
  <si>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</si>
  <si>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</si>
  <si>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</si>
  <si>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</si>
  <si>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</si>
  <si>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</si>
  <si>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</si>
  <si>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</si>
  <si>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</si>
  <si>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</si>
  <si>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</si>
  <si>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</si>
  <si>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</si>
  <si>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</si>
  <si>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</si>
  <si>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</si>
  <si>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</si>
  <si>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</si>
  <si>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</si>
  <si>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</si>
  <si>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</si>
  <si>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</si>
  <si>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</si>
  <si>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</t>
  </si>
  <si>
    <t>IDN</t>
  </si>
  <si>
    <t>IRN</t>
  </si>
  <si>
    <t>Iraq</t>
  </si>
  <si>
    <t>IRQ</t>
  </si>
  <si>
    <t>IRL</t>
  </si>
  <si>
    <t>Isle of Man</t>
  </si>
  <si>
    <t>IMN</t>
  </si>
  <si>
    <t>Israel</t>
  </si>
  <si>
    <t>ISR</t>
  </si>
  <si>
    <t>ITA</t>
  </si>
  <si>
    <t>Jamaica</t>
  </si>
  <si>
    <t>JAM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</si>
  <si>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</si>
  <si>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</si>
  <si>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</si>
  <si>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</si>
  <si>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</si>
  <si>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</si>
  <si>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</si>
  <si>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</si>
  <si>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</si>
  <si>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</si>
  <si>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</si>
  <si>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</si>
  <si>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</si>
  <si>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</si>
  <si>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</si>
  <si>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</si>
  <si>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</si>
  <si>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</si>
  <si>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</si>
  <si>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</si>
  <si>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</si>
  <si>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</si>
  <si>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</si>
  <si>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</si>
  <si>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</si>
  <si>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</si>
  <si>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</si>
  <si>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</si>
  <si>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</si>
  <si>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</si>
  <si>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</si>
  <si>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</si>
  <si>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</si>
  <si>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</si>
  <si>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</si>
  <si>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</si>
  <si>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</si>
  <si>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</si>
  <si>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</si>
  <si>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</si>
  <si>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</si>
  <si>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</si>
  <si>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</si>
  <si>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</si>
  <si>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</si>
  <si>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</si>
  <si>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</si>
  <si>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</si>
  <si>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</si>
  <si>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</si>
  <si>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</si>
  <si>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</si>
  <si>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</si>
  <si>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</si>
  <si>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</si>
  <si>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</si>
  <si>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</si>
  <si>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</si>
  <si>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</si>
  <si>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</si>
  <si>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</si>
  <si>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</si>
  <si>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</si>
  <si>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</si>
  <si>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</si>
  <si>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</si>
  <si>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</si>
  <si>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</si>
  <si>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</si>
  <si>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</si>
  <si>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</si>
  <si>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</si>
  <si>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</si>
  <si>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</si>
  <si>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</si>
  <si>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</si>
  <si>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</si>
  <si>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</si>
  <si>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NLD</t>
  </si>
  <si>
    <t>New Caledonia</t>
  </si>
  <si>
    <t>NCL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</si>
  <si>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</si>
  <si>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</si>
  <si>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</si>
  <si>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</si>
  <si>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</si>
  <si>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</si>
  <si>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</si>
  <si>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</si>
  <si>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</si>
  <si>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</si>
  <si>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</si>
  <si>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</si>
  <si>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</si>
  <si>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</si>
  <si>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</si>
  <si>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</si>
  <si>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</si>
  <si>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</si>
  <si>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</si>
  <si>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</si>
  <si>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</si>
  <si>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</si>
  <si>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</si>
  <si>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</si>
  <si>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</si>
  <si>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</si>
  <si>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</si>
  <si>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</si>
  <si>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</t>
  </si>
  <si>
    <t>PRT</t>
  </si>
  <si>
    <t>Puerto Rico (US)</t>
  </si>
  <si>
    <t>PRI</t>
  </si>
  <si>
    <t>Qatar</t>
  </si>
  <si>
    <t>QAT</t>
  </si>
  <si>
    <t>Romania</t>
  </si>
  <si>
    <t>ROU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</si>
  <si>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</si>
  <si>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</si>
  <si>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</si>
  <si>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</si>
  <si>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</si>
  <si>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</si>
  <si>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</si>
  <si>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</si>
  <si>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</si>
  <si>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</si>
  <si>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</si>
  <si>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</si>
  <si>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</si>
  <si>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</si>
  <si>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</si>
  <si>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</si>
  <si>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</si>
  <si>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</si>
  <si>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</si>
  <si>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</si>
  <si>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</si>
  <si>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</si>
  <si>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SVK</t>
  </si>
  <si>
    <t>SVN</t>
  </si>
  <si>
    <t>Solomon Islands</t>
  </si>
  <si>
    <t>SLB</t>
  </si>
  <si>
    <t>Somalia, Fed. Rep.</t>
  </si>
  <si>
    <t>SOM</t>
  </si>
  <si>
    <t>ZAF</t>
  </si>
  <si>
    <t>South Sudan</t>
  </si>
  <si>
    <t>SSD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</si>
  <si>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</si>
  <si>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</si>
  <si>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</si>
  <si>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</si>
  <si>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</si>
  <si>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</si>
  <si>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</si>
  <si>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</si>
  <si>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</si>
  <si>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</si>
  <si>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</si>
  <si>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</si>
  <si>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</si>
  <si>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</si>
  <si>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</si>
  <si>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</si>
  <si>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</si>
  <si>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</si>
  <si>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</si>
  <si>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</si>
  <si>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</si>
  <si>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</si>
  <si>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</si>
  <si>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</si>
  <si>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</si>
  <si>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</si>
  <si>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</si>
  <si>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</si>
  <si>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</si>
  <si>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</si>
  <si>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</si>
  <si>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</si>
  <si>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</si>
  <si>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</si>
  <si>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</si>
  <si>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</si>
  <si>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</si>
  <si>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</si>
  <si>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</si>
  <si>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</si>
  <si>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</si>
  <si>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</si>
  <si>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</si>
  <si>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</si>
  <si>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</si>
  <si>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</si>
  <si>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</si>
  <si>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ARE</t>
  </si>
  <si>
    <t>United Kingdom</t>
  </si>
  <si>
    <t>GBR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</si>
  <si>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</si>
  <si>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</si>
  <si>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</si>
  <si>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</si>
  <si>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</si>
  <si>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</si>
  <si>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</si>
  <si>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</si>
  <si>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</si>
  <si>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</si>
  <si>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</si>
  <si>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</si>
  <si>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</si>
  <si>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</si>
  <si>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</si>
  <si>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</si>
  <si>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</si>
  <si>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</si>
  <si>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</si>
  <si>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</si>
  <si>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</si>
  <si>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</si>
  <si>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</si>
  <si>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</si>
  <si>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</si>
  <si>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</si>
  <si>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</si>
  <si>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</si>
  <si>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</si>
  <si>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</si>
  <si>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</si>
  <si>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</si>
  <si>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</si>
  <si>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</si>
  <si>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</si>
  <si>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</si>
  <si>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</si>
  <si>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</si>
  <si>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</si>
  <si>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</si>
  <si>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</si>
  <si>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</si>
  <si>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</si>
  <si>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</si>
  <si>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</si>
  <si>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</si>
  <si>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</si>
  <si>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</si>
  <si>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</si>
  <si>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</si>
  <si>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</si>
  <si>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</si>
  <si>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</si>
  <si>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</si>
  <si>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</si>
  <si>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</si>
  <si>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</si>
  <si>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</si>
  <si>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</si>
  <si>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</si>
  <si>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</si>
  <si>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</si>
  <si>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</si>
  <si>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</si>
  <si>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</si>
  <si>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</si>
  <si>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</si>
  <si>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</si>
  <si>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</si>
  <si>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</si>
  <si>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</si>
  <si>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</si>
  <si>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</si>
  <si>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</si>
  <si>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</si>
  <si>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</si>
  <si>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</si>
  <si>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</si>
  <si>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</si>
  <si>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</si>
  <si>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</si>
  <si>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</si>
  <si>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</si>
  <si>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</si>
  <si>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</si>
  <si>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</si>
  <si>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</si>
  <si>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</si>
  <si>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</si>
  <si>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North America</t>
  </si>
  <si>
    <t>NAC</t>
  </si>
  <si>
    <t>Not classified</t>
  </si>
  <si>
    <t>INX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</si>
  <si>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</si>
  <si>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</si>
  <si>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</si>
  <si>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</si>
  <si>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</si>
  <si>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</si>
  <si>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</si>
  <si>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</si>
  <si>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</si>
  <si>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</si>
  <si>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</si>
  <si>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</si>
  <si>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</si>
  <si>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</si>
  <si>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</si>
  <si>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</si>
  <si>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</si>
  <si>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</si>
  <si>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</si>
  <si>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</si>
  <si>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</si>
  <si>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</si>
  <si>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</si>
  <si>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UMC</t>
  </si>
  <si>
    <t>World</t>
  </si>
  <si>
    <t>WLD</t>
  </si>
  <si>
    <t>Cereal_Yield</t>
  </si>
  <si>
    <t>Agricultural land (% of land area)</t>
  </si>
  <si>
    <t>AG.LND.AGRI.ZS</t>
  </si>
  <si>
    <t>Cereal yield (kg per hectare)</t>
  </si>
  <si>
    <t>AG.YLD.CREL.KG</t>
  </si>
  <si>
    <t>Carbon dioxide (CO2) emissions from Agriculture (Mt CO2e)</t>
  </si>
  <si>
    <t>EN.GHG.CO2.AG.MT.CE.AR5</t>
  </si>
  <si>
    <t>Nitrous oxide (N2O) emissions from Agriculture (Mt CO2e)</t>
  </si>
  <si>
    <t>EN.GHG.N2O.AG.MT.CE.AR5</t>
  </si>
  <si>
    <t>Agriculture, forestry, and fishing, value added (% of GDP)</t>
  </si>
  <si>
    <t>NV.AGR.TOTL.ZS</t>
  </si>
  <si>
    <t>Agri_Land_prc</t>
  </si>
  <si>
    <t>Methane (CH4) emissions from Agriculture (Mt CO2e)</t>
  </si>
  <si>
    <t>EN.GHG.CH4.AG.MT.CE.AR5</t>
  </si>
  <si>
    <t>EN.GHG.CH4.AG.MT.CE.AR6</t>
  </si>
  <si>
    <t>EN.GHG.CH4.AG.MT.CE.AR7</t>
  </si>
  <si>
    <t>EN.GHG.CH4.AG.MT.CE.AR8</t>
  </si>
  <si>
    <t>EN.GHG.CH4.AG.MT.CE.AR9</t>
  </si>
  <si>
    <t>EN.GHG.CH4.AG.MT.CE.AR10</t>
  </si>
  <si>
    <t>EN.GHG.CH4.AG.MT.CE.AR11</t>
  </si>
  <si>
    <t>EN.GHG.CH4.AG.MT.CE.AR12</t>
  </si>
  <si>
    <t>EN.GHG.CH4.AG.MT.CE.AR13</t>
  </si>
  <si>
    <t>EN.GHG.CH4.AG.MT.CE.AR14</t>
  </si>
  <si>
    <t>EN.GHG.CH4.AG.MT.CE.AR15</t>
  </si>
  <si>
    <t>EN.GHG.CH4.AG.MT.CE.AR16</t>
  </si>
  <si>
    <t>EN.GHG.CH4.AG.MT.CE.AR17</t>
  </si>
  <si>
    <t>EN.GHG.CH4.AG.MT.CE.AR18</t>
  </si>
  <si>
    <t>EN.GHG.CH4.AG.MT.CE.AR19</t>
  </si>
  <si>
    <t>EN.GHG.CH4.AG.MT.CE.AR20</t>
  </si>
  <si>
    <t>EN.GHG.CH4.AG.MT.CE.AR21</t>
  </si>
  <si>
    <t>EN.GHG.CH4.AG.MT.CE.AR22</t>
  </si>
  <si>
    <t>EN.GHG.CH4.AG.MT.CE.AR23</t>
  </si>
  <si>
    <t>EN.GHG.CH4.AG.MT.CE.AR24</t>
  </si>
  <si>
    <t>EN.GHG.CH4.AG.MT.CE.AR25</t>
  </si>
  <si>
    <t>EN.GHG.CH4.AG.MT.CE.AR26</t>
  </si>
  <si>
    <t>EN.GHG.CH4.AG.MT.CE.AR27</t>
  </si>
  <si>
    <t>EN.GHG.CH4.AG.MT.CE.AR28</t>
  </si>
  <si>
    <t>EN.GHG.CH4.AG.MT.CE.AR29</t>
  </si>
  <si>
    <t>EN.GHG.CH4.AG.MT.CE.AR30</t>
  </si>
  <si>
    <t>EN.GHG.CH4.AG.MT.CE.AR31</t>
  </si>
  <si>
    <t>EN.GHG.CH4.AG.MT.CE.AR32</t>
  </si>
  <si>
    <t>EN.GHG.CH4.AG.MT.CE.AR33</t>
  </si>
  <si>
    <t>EN.GHG.CH4.AG.MT.CE.AR34</t>
  </si>
  <si>
    <t>EN.GHG.CH4.AG.MT.CE.AR35</t>
  </si>
  <si>
    <t>EN.GHG.CH4.AG.MT.CE.AR36</t>
  </si>
  <si>
    <t>EN.GHG.CH4.AG.MT.CE.AR37</t>
  </si>
  <si>
    <t>EN.GHG.CH4.AG.MT.CE.AR38</t>
  </si>
  <si>
    <t>EN.GHG.CH4.AG.MT.CE.AR39</t>
  </si>
  <si>
    <t>EN.GHG.CH4.AG.MT.CE.AR40</t>
  </si>
  <si>
    <t>EN.GHG.CH4.AG.MT.CE.AR41</t>
  </si>
  <si>
    <t>EN.GHG.CH4.AG.MT.CE.AR42</t>
  </si>
  <si>
    <t>EN.GHG.CH4.AG.MT.CE.AR43</t>
  </si>
  <si>
    <t>EN.GHG.CH4.AG.MT.CE.AR44</t>
  </si>
  <si>
    <t>EN.GHG.CH4.AG.MT.CE.AR45</t>
  </si>
  <si>
    <t>EN.GHG.CH4.AG.MT.CE.AR46</t>
  </si>
  <si>
    <t>EN.GHG.CH4.AG.MT.CE.AR47</t>
  </si>
  <si>
    <t>EN.GHG.CH4.AG.MT.CE.AR48</t>
  </si>
  <si>
    <t>EN.GHG.CH4.AG.MT.CE.AR49</t>
  </si>
  <si>
    <t>EN.GHG.CH4.AG.MT.CE.AR50</t>
  </si>
  <si>
    <t>EN.GHG.CH4.AG.MT.CE.AR51</t>
  </si>
  <si>
    <t>EN.GHG.CH4.AG.MT.CE.AR52</t>
  </si>
  <si>
    <t>EN.GHG.CH4.AG.MT.CE.AR53</t>
  </si>
  <si>
    <t>EN.GHG.CH4.AG.MT.CE.AR54</t>
  </si>
  <si>
    <t>EN.GHG.CH4.AG.MT.CE.AR55</t>
  </si>
  <si>
    <t>EN.GHG.CH4.AG.MT.CE.AR56</t>
  </si>
  <si>
    <t>EN.GHG.CH4.AG.MT.CE.AR57</t>
  </si>
  <si>
    <t>EN.GHG.CH4.AG.MT.CE.AR58</t>
  </si>
  <si>
    <t>EN.GHG.CH4.AG.MT.CE.AR59</t>
  </si>
  <si>
    <t>EN.GHG.CH4.AG.MT.CE.AR60</t>
  </si>
  <si>
    <t>EN.GHG.CH4.AG.MT.CE.AR61</t>
  </si>
  <si>
    <t>EN.GHG.CH4.AG.MT.CE.AR62</t>
  </si>
  <si>
    <t>EN.GHG.CH4.AG.MT.CE.AR63</t>
  </si>
  <si>
    <t>EN.GHG.CH4.AG.MT.CE.AR64</t>
  </si>
  <si>
    <t>EN.GHG.CH4.AG.MT.CE.AR65</t>
  </si>
  <si>
    <t>EN.GHG.CH4.AG.MT.CE.AR66</t>
  </si>
  <si>
    <t>EN.GHG.CH4.AG.MT.CE.AR67</t>
  </si>
  <si>
    <t>EN.GHG.CH4.AG.MT.CE.AR68</t>
  </si>
  <si>
    <t>EN.GHG.CH4.AG.MT.CE.AR69</t>
  </si>
  <si>
    <t>EN.GHG.CH4.AG.MT.CE.AR70</t>
  </si>
  <si>
    <t>EN.GHG.CH4.AG.MT.CE.AR71</t>
  </si>
  <si>
    <t>EN.GHG.CH4.AG.MT.CE.AR72</t>
  </si>
  <si>
    <t>EN.GHG.CH4.AG.MT.CE.AR73</t>
  </si>
  <si>
    <t>EN.GHG.CH4.AG.MT.CE.AR74</t>
  </si>
  <si>
    <t>EN.GHG.CH4.AG.MT.CE.AR75</t>
  </si>
  <si>
    <t>EN.GHG.CH4.AG.MT.CE.AR76</t>
  </si>
  <si>
    <t>EN.GHG.CH4.AG.MT.CE.AR77</t>
  </si>
  <si>
    <t>EN.GHG.CH4.AG.MT.CE.AR78</t>
  </si>
  <si>
    <t>EN.GHG.CH4.AG.MT.CE.AR79</t>
  </si>
  <si>
    <t>EN.GHG.CH4.AG.MT.CE.AR80</t>
  </si>
  <si>
    <t>EN.GHG.CH4.AG.MT.CE.AR81</t>
  </si>
  <si>
    <t>EN.GHG.CH4.AG.MT.CE.AR82</t>
  </si>
  <si>
    <t>EN.GHG.CH4.AG.MT.CE.AR83</t>
  </si>
  <si>
    <t>EN.GHG.CH4.AG.MT.CE.AR84</t>
  </si>
  <si>
    <t>EN.GHG.CH4.AG.MT.CE.AR85</t>
  </si>
  <si>
    <t>EN.GHG.CH4.AG.MT.CE.AR86</t>
  </si>
  <si>
    <t>EN.GHG.CH4.AG.MT.CE.AR87</t>
  </si>
  <si>
    <t>EN.GHG.CH4.AG.MT.CE.AR88</t>
  </si>
  <si>
    <t>EN.GHG.CH4.AG.MT.CE.AR89</t>
  </si>
  <si>
    <t>EN.GHG.CH4.AG.MT.CE.AR90</t>
  </si>
  <si>
    <t>EN.GHG.CH4.AG.MT.CE.AR91</t>
  </si>
  <si>
    <t>EN.GHG.CH4.AG.MT.CE.AR92</t>
  </si>
  <si>
    <t>EN.GHG.CH4.AG.MT.CE.AR93</t>
  </si>
  <si>
    <t>EN.GHG.CH4.AG.MT.CE.AR94</t>
  </si>
  <si>
    <t>EN.GHG.CH4.AG.MT.CE.AR95</t>
  </si>
  <si>
    <t>EN.GHG.CH4.AG.MT.CE.AR96</t>
  </si>
  <si>
    <t>EN.GHG.CH4.AG.MT.CE.AR97</t>
  </si>
  <si>
    <t>EN.GHG.CH4.AG.MT.CE.AR98</t>
  </si>
  <si>
    <t>EN.GHG.CH4.AG.MT.CE.AR99</t>
  </si>
  <si>
    <t>EN.GHG.CH4.AG.MT.CE.AR100</t>
  </si>
  <si>
    <t>EN.GHG.CH4.AG.MT.CE.AR101</t>
  </si>
  <si>
    <t>EN.GHG.CH4.AG.MT.CE.AR102</t>
  </si>
  <si>
    <t>EN.GHG.CH4.AG.MT.CE.AR103</t>
  </si>
  <si>
    <t>EN.GHG.CH4.AG.MT.CE.AR104</t>
  </si>
  <si>
    <t>EN.GHG.CH4.AG.MT.CE.AR105</t>
  </si>
  <si>
    <t>EN.GHG.CH4.AG.MT.CE.AR106</t>
  </si>
  <si>
    <t>EN.GHG.CH4.AG.MT.CE.AR107</t>
  </si>
  <si>
    <t>EN.GHG.CH4.AG.MT.CE.AR108</t>
  </si>
  <si>
    <t>EN.GHG.CH4.AG.MT.CE.AR109</t>
  </si>
  <si>
    <t>EN.GHG.CH4.AG.MT.CE.AR110</t>
  </si>
  <si>
    <t>EN.GHG.CH4.AG.MT.CE.AR111</t>
  </si>
  <si>
    <t>EN.GHG.CH4.AG.MT.CE.AR112</t>
  </si>
  <si>
    <t>EN.GHG.CH4.AG.MT.CE.AR113</t>
  </si>
  <si>
    <t>EN.GHG.CH4.AG.MT.CE.AR114</t>
  </si>
  <si>
    <t>EN.GHG.CH4.AG.MT.CE.AR115</t>
  </si>
  <si>
    <t>EN.GHG.CH4.AG.MT.CE.AR116</t>
  </si>
  <si>
    <t>EN.GHG.CH4.AG.MT.CE.AR117</t>
  </si>
  <si>
    <t>EN.GHG.CH4.AG.MT.CE.AR118</t>
  </si>
  <si>
    <t>EN.GHG.CH4.AG.MT.CE.AR119</t>
  </si>
  <si>
    <t>EN.GHG.CH4.AG.MT.CE.AR120</t>
  </si>
  <si>
    <t>EN.GHG.CH4.AG.MT.CE.AR121</t>
  </si>
  <si>
    <t>EN.GHG.CH4.AG.MT.CE.AR122</t>
  </si>
  <si>
    <t>EN.GHG.CH4.AG.MT.CE.AR123</t>
  </si>
  <si>
    <t>EN.GHG.CH4.AG.MT.CE.AR124</t>
  </si>
  <si>
    <t>EN.GHG.CH4.AG.MT.CE.AR125</t>
  </si>
  <si>
    <t>EN.GHG.CH4.AG.MT.CE.AR126</t>
  </si>
  <si>
    <t>EN.GHG.CH4.AG.MT.CE.AR127</t>
  </si>
  <si>
    <t>EN.GHG.CH4.AG.MT.CE.AR128</t>
  </si>
  <si>
    <t>EN.GHG.CH4.AG.MT.CE.AR129</t>
  </si>
  <si>
    <t>EN.GHG.CH4.AG.MT.CE.AR130</t>
  </si>
  <si>
    <t>EN.GHG.CH4.AG.MT.CE.AR131</t>
  </si>
  <si>
    <t>EN.GHG.CH4.AG.MT.CE.AR132</t>
  </si>
  <si>
    <t>EN.GHG.CH4.AG.MT.CE.AR133</t>
  </si>
  <si>
    <t>EN.GHG.CH4.AG.MT.CE.AR134</t>
  </si>
  <si>
    <t>EN.GHG.CH4.AG.MT.CE.AR135</t>
  </si>
  <si>
    <t>EN.GHG.CH4.AG.MT.CE.AR136</t>
  </si>
  <si>
    <t>EN.GHG.CH4.AG.MT.CE.AR137</t>
  </si>
  <si>
    <t>EN.GHG.CH4.AG.MT.CE.AR138</t>
  </si>
  <si>
    <t>EN.GHG.CH4.AG.MT.CE.AR139</t>
  </si>
  <si>
    <t>EN.GHG.CH4.AG.MT.CE.AR140</t>
  </si>
  <si>
    <t>EN.GHG.CH4.AG.MT.CE.AR141</t>
  </si>
  <si>
    <t>EN.GHG.CH4.AG.MT.CE.AR142</t>
  </si>
  <si>
    <t>EN.GHG.CH4.AG.MT.CE.AR143</t>
  </si>
  <si>
    <t>EN.GHG.CH4.AG.MT.CE.AR144</t>
  </si>
  <si>
    <t>EN.GHG.CH4.AG.MT.CE.AR145</t>
  </si>
  <si>
    <t>EN.GHG.CH4.AG.MT.CE.AR146</t>
  </si>
  <si>
    <t>EN.GHG.CH4.AG.MT.CE.AR147</t>
  </si>
  <si>
    <t>EN.GHG.CH4.AG.MT.CE.AR148</t>
  </si>
  <si>
    <t>EN.GHG.CH4.AG.MT.CE.AR149</t>
  </si>
  <si>
    <t>EN.GHG.CH4.AG.MT.CE.AR150</t>
  </si>
  <si>
    <t>EN.GHG.CH4.AG.MT.CE.AR151</t>
  </si>
  <si>
    <t>EN.GHG.CH4.AG.MT.CE.AR152</t>
  </si>
  <si>
    <t>EN.GHG.CH4.AG.MT.CE.AR153</t>
  </si>
  <si>
    <t>EN.GHG.CH4.AG.MT.CE.AR154</t>
  </si>
  <si>
    <t>EN.GHG.CH4.AG.MT.CE.AR155</t>
  </si>
  <si>
    <t>EN.GHG.CH4.AG.MT.CE.AR156</t>
  </si>
  <si>
    <t>EN.GHG.CH4.AG.MT.CE.AR157</t>
  </si>
  <si>
    <t>EN.GHG.CH4.AG.MT.CE.AR158</t>
  </si>
  <si>
    <t>EN.GHG.CH4.AG.MT.CE.AR159</t>
  </si>
  <si>
    <t>EN.GHG.CH4.AG.MT.CE.AR160</t>
  </si>
  <si>
    <t>EN.GHG.CH4.AG.MT.CE.AR161</t>
  </si>
  <si>
    <t>EN.GHG.CH4.AG.MT.CE.AR162</t>
  </si>
  <si>
    <t>EN.GHG.CH4.AG.MT.CE.AR163</t>
  </si>
  <si>
    <t>EN.GHG.CH4.AG.MT.CE.AR164</t>
  </si>
  <si>
    <t>EN.GHG.CH4.AG.MT.CE.AR165</t>
  </si>
  <si>
    <t>EN.GHG.CH4.AG.MT.CE.AR166</t>
  </si>
  <si>
    <t>EN.GHG.CH4.AG.MT.CE.AR167</t>
  </si>
  <si>
    <t>EN.GHG.CH4.AG.MT.CE.AR168</t>
  </si>
  <si>
    <t>EN.GHG.CH4.AG.MT.CE.AR169</t>
  </si>
  <si>
    <t>EN.GHG.CH4.AG.MT.CE.AR170</t>
  </si>
  <si>
    <t>EN.GHG.CH4.AG.MT.CE.AR171</t>
  </si>
  <si>
    <t>EN.GHG.CH4.AG.MT.CE.AR172</t>
  </si>
  <si>
    <t>EN.GHG.CH4.AG.MT.CE.AR173</t>
  </si>
  <si>
    <t>EN.GHG.CH4.AG.MT.CE.AR174</t>
  </si>
  <si>
    <t>EN.GHG.CH4.AG.MT.CE.AR175</t>
  </si>
  <si>
    <t>EN.GHG.CH4.AG.MT.CE.AR176</t>
  </si>
  <si>
    <t>EN.GHG.CH4.AG.MT.CE.AR177</t>
  </si>
  <si>
    <t>EN.GHG.CH4.AG.MT.CE.AR178</t>
  </si>
  <si>
    <t>EN.GHG.CH4.AG.MT.CE.AR179</t>
  </si>
  <si>
    <t>EN.GHG.CH4.AG.MT.CE.AR180</t>
  </si>
  <si>
    <t>EN.GHG.CH4.AG.MT.CE.AR181</t>
  </si>
  <si>
    <t>EN.GHG.CH4.AG.MT.CE.AR182</t>
  </si>
  <si>
    <t>EN.GHG.CH4.AG.MT.CE.AR183</t>
  </si>
  <si>
    <t>EN.GHG.CH4.AG.MT.CE.AR184</t>
  </si>
  <si>
    <t>EN.GHG.CH4.AG.MT.CE.AR185</t>
  </si>
  <si>
    <t>EN.GHG.CH4.AG.MT.CE.AR186</t>
  </si>
  <si>
    <t>EN.GHG.CH4.AG.MT.CE.AR187</t>
  </si>
  <si>
    <t>EN.GHG.CH4.AG.MT.CE.AR188</t>
  </si>
  <si>
    <t>EN.GHG.CH4.AG.MT.CE.AR189</t>
  </si>
  <si>
    <t>EN.GHG.CH4.AG.MT.CE.AR190</t>
  </si>
  <si>
    <t>EN.GHG.CH4.AG.MT.CE.AR191</t>
  </si>
  <si>
    <t>EN.GHG.CH4.AG.MT.CE.AR192</t>
  </si>
  <si>
    <t>EN.GHG.CH4.AG.MT.CE.AR193</t>
  </si>
  <si>
    <t>EN.GHG.CH4.AG.MT.CE.AR194</t>
  </si>
  <si>
    <t>EN.GHG.CH4.AG.MT.CE.AR195</t>
  </si>
  <si>
    <t>EN.GHG.CH4.AG.MT.CE.AR196</t>
  </si>
  <si>
    <t>EN.GHG.CH4.AG.MT.CE.AR197</t>
  </si>
  <si>
    <t>EN.GHG.CH4.AG.MT.CE.AR198</t>
  </si>
  <si>
    <t>EN.GHG.CH4.AG.MT.CE.AR199</t>
  </si>
  <si>
    <t>EN.GHG.CH4.AG.MT.CE.AR200</t>
  </si>
  <si>
    <t>EN.GHG.CH4.AG.MT.CE.AR201</t>
  </si>
  <si>
    <t>EN.GHG.CH4.AG.MT.CE.AR202</t>
  </si>
  <si>
    <t>EN.GHG.CH4.AG.MT.CE.AR203</t>
  </si>
  <si>
    <t>EN.GHG.CH4.AG.MT.CE.AR204</t>
  </si>
  <si>
    <t>EN.GHG.CH4.AG.MT.CE.AR205</t>
  </si>
  <si>
    <t>EN.GHG.CH4.AG.MT.CE.AR206</t>
  </si>
  <si>
    <t>EN.GHG.CH4.AG.MT.CE.AR207</t>
  </si>
  <si>
    <t>EN.GHG.CH4.AG.MT.CE.AR208</t>
  </si>
  <si>
    <t>EN.GHG.CH4.AG.MT.CE.AR209</t>
  </si>
  <si>
    <t>EN.GHG.CH4.AG.MT.CE.AR210</t>
  </si>
  <si>
    <t>EN.GHG.CH4.AG.MT.CE.AR211</t>
  </si>
  <si>
    <t>EN.GHG.CH4.AG.MT.CE.AR212</t>
  </si>
  <si>
    <t>EN.GHG.CH4.AG.MT.CE.AR213</t>
  </si>
  <si>
    <t>EN.GHG.CH4.AG.MT.CE.AR214</t>
  </si>
  <si>
    <t>EN.GHG.CH4.AG.MT.CE.AR215</t>
  </si>
  <si>
    <t>EN.GHG.CH4.AG.MT.CE.AR216</t>
  </si>
  <si>
    <t>EN.GHG.CH4.AG.MT.CE.AR217</t>
  </si>
  <si>
    <t>EN.GHG.CH4.AG.MT.CE.AR218</t>
  </si>
  <si>
    <t>EN.GHG.CH4.AG.MT.CE.AR219</t>
  </si>
  <si>
    <t>EN.GHG.CH4.AG.MT.CE.AR220</t>
  </si>
  <si>
    <t>EN.GHG.CH4.AG.MT.CE.AR221</t>
  </si>
  <si>
    <t>EN.GHG.CH4.AG.MT.CE.AR222</t>
  </si>
  <si>
    <t>EN.GHG.CH4.AG.MT.CE.AR223</t>
  </si>
  <si>
    <t>EN.GHG.CH4.AG.MT.CE.AR224</t>
  </si>
  <si>
    <t>EN.GHG.CH4.AG.MT.CE.AR225</t>
  </si>
  <si>
    <t>EN.GHG.CH4.AG.MT.CE.AR226</t>
  </si>
  <si>
    <t>EN.GHG.CH4.AG.MT.CE.AR227</t>
  </si>
  <si>
    <t>EN.GHG.CH4.AG.MT.CE.AR228</t>
  </si>
  <si>
    <t>EN.GHG.CH4.AG.MT.CE.AR229</t>
  </si>
  <si>
    <t>EN.GHG.CH4.AG.MT.CE.AR230</t>
  </si>
  <si>
    <t>EN.GHG.CH4.AG.MT.CE.AR231</t>
  </si>
  <si>
    <t>EN.GHG.CH4.AG.MT.CE.AR232</t>
  </si>
  <si>
    <t>EN.GHG.CH4.AG.MT.CE.AR233</t>
  </si>
  <si>
    <t>EN.GHG.CH4.AG.MT.CE.AR234</t>
  </si>
  <si>
    <t>EN.GHG.CH4.AG.MT.CE.AR235</t>
  </si>
  <si>
    <t>EN.GHG.CH4.AG.MT.CE.AR236</t>
  </si>
  <si>
    <t>EN.GHG.CH4.AG.MT.CE.AR237</t>
  </si>
  <si>
    <t>EN.GHG.CH4.AG.MT.CE.AR238</t>
  </si>
  <si>
    <t>EN.GHG.CH4.AG.MT.CE.AR239</t>
  </si>
  <si>
    <t>EN.GHG.CH4.AG.MT.CE.AR240</t>
  </si>
  <si>
    <t>EN.GHG.CH4.AG.MT.CE.AR241</t>
  </si>
  <si>
    <t>EN.GHG.CH4.AG.MT.CE.AR242</t>
  </si>
  <si>
    <t>EN.GHG.CH4.AG.MT.CE.AR243</t>
  </si>
  <si>
    <t>EN.GHG.CH4.AG.MT.CE.AR244</t>
  </si>
  <si>
    <t>EN.GHG.CH4.AG.MT.CE.AR245</t>
  </si>
  <si>
    <t>EN.GHG.CH4.AG.MT.CE.AR246</t>
  </si>
  <si>
    <t>EN.GHG.CH4.AG.MT.CE.AR247</t>
  </si>
  <si>
    <t>EN.GHG.CH4.AG.MT.CE.AR248</t>
  </si>
  <si>
    <t>EN.GHG.CH4.AG.MT.CE.AR249</t>
  </si>
  <si>
    <t>EN.GHG.CH4.AG.MT.CE.AR250</t>
  </si>
  <si>
    <t>EN.GHG.CH4.AG.MT.CE.AR251</t>
  </si>
  <si>
    <t>EN.GHG.CH4.AG.MT.CE.AR252</t>
  </si>
  <si>
    <t>EN.GHG.CH4.AG.MT.CE.AR253</t>
  </si>
  <si>
    <t>EN.GHG.CH4.AG.MT.CE.AR254</t>
  </si>
  <si>
    <t>EN.GHG.CH4.AG.MT.CE.AR255</t>
  </si>
  <si>
    <t>EN.GHG.CH4.AG.MT.CE.AR256</t>
  </si>
  <si>
    <t>EN.GHG.CH4.AG.MT.CE.AR257</t>
  </si>
  <si>
    <t>EN.GHG.CH4.AG.MT.CE.AR258</t>
  </si>
  <si>
    <t>EN.GHG.CH4.AG.MT.CE.AR259</t>
  </si>
  <si>
    <t>EN.GHG.CH4.AG.MT.CE.AR260</t>
  </si>
  <si>
    <t>EN.GHG.CH4.AG.MT.CE.AR261</t>
  </si>
  <si>
    <t>EN.GHG.CH4.AG.MT.CE.AR262</t>
  </si>
  <si>
    <t>EN.GHG.CH4.AG.MT.CE.AR263</t>
  </si>
  <si>
    <t>EN.GHG.CH4.AG.MT.CE.AR264</t>
  </si>
  <si>
    <t>EN.GHG.CH4.AG.MT.CE.AR265</t>
  </si>
  <si>
    <t>EN.GHG.CH4.AG.MT.CE.AR266</t>
  </si>
  <si>
    <t>EN.GHG.CH4.AG.MT.CE.AR267</t>
  </si>
  <si>
    <t>EN.GHG.CH4.AG.MT.CE.AR268</t>
  </si>
  <si>
    <t>EN.GHG.CH4.AG.MT.CE.AR269</t>
  </si>
  <si>
    <t>EN.GHG.CH4.AG.MT.CE.AR270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</si>
</sst>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0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>
      <alignment vertical="top"/>
      <protection locked="0"/>
    </xf>
  </cellStyleXfs>
  <cellXfs count="15">
    <xf numFmtId="0" fontId="0" fillId="0" borderId="0" xfId="0"/>
    <xf numFmtId="10" fontId="0" fillId="0" borderId="1" xfId="1" applyNumberFormat="1" applyFont="1" applyBorder="1"/>
    <xf numFmtId="0" fontId="0" fillId="0" borderId="1" xfId="0" applyBorder="1"/>
    <xf numFmtId="0" fontId="2" fillId="0" borderId="1" xfId="0" applyFont="1" applyBorder="1"/>
    <xf numFmtId="1" fontId="0" fillId="0" borderId="0" xfId="0" applyNumberFormat="1"/>
    <xf numFmtId="49" fontId="0" fillId="0" borderId="0" xfId="0" applyNumberFormat="1"/>
    <xf numFmtId="2" fontId="0" fillId="0" borderId="0" xfId="1" applyNumberFormat="1" applyFont="1"/>
    <xf numFmtId="0" fontId="2" fillId="0" borderId="0" xfId="0" applyFont="1"/>
    <xf numFmtId="2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0" xfId="0"/>
    <xf numFmtId="0" fontId="0" fillId="0" borderId="0" xfId="0"/>
    <xf numFmtId="49" fontId="0" fillId="0" borderId="0" xfId="0" applyNumberFormat="1"/>
  </cellXfs>
  <cellStyles count="3">
    <cellStyle name="Normale" xfId="0" builtinId="0"/>
    <cellStyle name="Normale 2" xfId="2" xr:uid="{3522C13F-4AB6-4ABA-9A9E-2F8F348CF2F6}"/>
    <cellStyle name="Percentuale" xfId="1" builtinId="5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E2F2-D69D-407D-8738-B4CD933D1127}">
  <dimension ref="A1:G44"/>
  <sheetViews>
    <sheetView workbookViewId="0">
      <selection activeCell="G32" sqref="G32"/>
    </sheetView>
  </sheetViews>
  <sheetFormatPr defaultRowHeight="14.4" x14ac:dyDescent="0.3"/>
  <cols>
    <col min="1" max="1" width="43.44140625" bestFit="1" customWidth="1"/>
    <col min="2" max="3" width="12" bestFit="1" customWidth="1"/>
    <col min="4" max="4" width="17.21875" bestFit="1" customWidth="1"/>
    <col min="5" max="5" width="12.6640625" bestFit="1" customWidth="1"/>
    <col min="6" max="6" width="9.777343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46</v>
      </c>
      <c r="G1" s="3" t="s">
        <v>47</v>
      </c>
    </row>
    <row r="2" spans="1:7" x14ac:dyDescent="0.3">
      <c r="A2" s="2" t="s">
        <v>5</v>
      </c>
      <c r="B2" s="2">
        <v>46126915.049999997</v>
      </c>
      <c r="C2" s="2">
        <v>17608823.629999999</v>
      </c>
      <c r="D2" s="2">
        <v>63735738.679999992</v>
      </c>
      <c r="E2" s="2">
        <v>28518091.419999998</v>
      </c>
      <c r="F2" s="1">
        <v>0.72372135328329423</v>
      </c>
      <c r="G2" s="2" t="s">
        <v>49</v>
      </c>
    </row>
    <row r="3" spans="1:7" x14ac:dyDescent="0.3">
      <c r="A3" s="2" t="s">
        <v>6</v>
      </c>
      <c r="B3" s="2">
        <v>18256071.68</v>
      </c>
      <c r="C3" s="2">
        <v>20105970.57</v>
      </c>
      <c r="D3" s="2">
        <v>38362042.25</v>
      </c>
      <c r="E3" s="2">
        <v>-1849898.8900000006</v>
      </c>
      <c r="F3" s="1">
        <v>0.47588894149659094</v>
      </c>
      <c r="G3" s="2" t="s">
        <v>49</v>
      </c>
    </row>
    <row r="4" spans="1:7" x14ac:dyDescent="0.3">
      <c r="A4" s="2" t="s">
        <v>7</v>
      </c>
      <c r="B4" s="2">
        <v>62422216.57</v>
      </c>
      <c r="C4" s="2">
        <v>52131382.030000001</v>
      </c>
      <c r="D4" s="2">
        <v>114553598.59999999</v>
      </c>
      <c r="E4" s="2">
        <v>10290834.539999999</v>
      </c>
      <c r="F4" s="1">
        <v>0.54491711594296444</v>
      </c>
      <c r="G4" s="2" t="s">
        <v>49</v>
      </c>
    </row>
    <row r="5" spans="1:7" x14ac:dyDescent="0.3">
      <c r="A5" s="2" t="s">
        <v>8</v>
      </c>
      <c r="B5" s="2">
        <v>141894786.74000001</v>
      </c>
      <c r="C5" s="2">
        <v>14925007.439999999</v>
      </c>
      <c r="D5" s="2">
        <v>156819794.18000001</v>
      </c>
      <c r="E5" s="2">
        <v>126969779.30000001</v>
      </c>
      <c r="F5" s="1">
        <v>0.90482701805571264</v>
      </c>
      <c r="G5" s="2" t="s">
        <v>48</v>
      </c>
    </row>
    <row r="6" spans="1:7" x14ac:dyDescent="0.3">
      <c r="A6" s="2" t="s">
        <v>9</v>
      </c>
      <c r="B6" s="2">
        <v>65303505.990000002</v>
      </c>
      <c r="C6" s="2">
        <v>46607781.68</v>
      </c>
      <c r="D6" s="2">
        <v>111911287.67</v>
      </c>
      <c r="E6" s="2">
        <v>18695724.310000002</v>
      </c>
      <c r="F6" s="1">
        <v>0.58352921630715793</v>
      </c>
      <c r="G6" s="2" t="s">
        <v>49</v>
      </c>
    </row>
    <row r="7" spans="1:7" x14ac:dyDescent="0.3">
      <c r="A7" s="2" t="s">
        <v>10</v>
      </c>
      <c r="B7" s="2">
        <v>14633281.02</v>
      </c>
      <c r="C7" s="2">
        <v>9802327.5</v>
      </c>
      <c r="D7" s="2">
        <v>24435608.52</v>
      </c>
      <c r="E7" s="2">
        <v>4830953.5199999996</v>
      </c>
      <c r="F7" s="1">
        <v>0.59885068988656398</v>
      </c>
      <c r="G7" s="2" t="s">
        <v>49</v>
      </c>
    </row>
    <row r="8" spans="1:7" x14ac:dyDescent="0.3">
      <c r="A8" s="2" t="s">
        <v>11</v>
      </c>
      <c r="B8" s="2">
        <v>84328729.069999993</v>
      </c>
      <c r="C8" s="2">
        <v>232697232.27000001</v>
      </c>
      <c r="D8" s="2">
        <v>317025961.34000003</v>
      </c>
      <c r="E8" s="2">
        <v>-148368503.20000002</v>
      </c>
      <c r="F8" s="1">
        <v>0.26599944280134263</v>
      </c>
      <c r="G8" s="2" t="s">
        <v>48</v>
      </c>
    </row>
    <row r="9" spans="1:7" x14ac:dyDescent="0.3">
      <c r="A9" s="2" t="s">
        <v>12</v>
      </c>
      <c r="B9" s="2">
        <v>11281113.539999999</v>
      </c>
      <c r="C9" s="2">
        <v>8403599.8499999996</v>
      </c>
      <c r="D9" s="2">
        <v>19684713.390000001</v>
      </c>
      <c r="E9" s="2">
        <v>2877513.6899999995</v>
      </c>
      <c r="F9" s="1">
        <v>0.57309005808186664</v>
      </c>
      <c r="G9" s="2" t="s">
        <v>49</v>
      </c>
    </row>
    <row r="10" spans="1:7" x14ac:dyDescent="0.3">
      <c r="A10" s="2" t="s">
        <v>13</v>
      </c>
      <c r="B10" s="2">
        <v>6466777.9100000001</v>
      </c>
      <c r="C10" s="2">
        <v>3062035.85</v>
      </c>
      <c r="D10" s="2">
        <v>9528813.7599999998</v>
      </c>
      <c r="E10" s="2">
        <v>3404742.06</v>
      </c>
      <c r="F10" s="1">
        <v>0.67865508476471681</v>
      </c>
      <c r="G10" s="2" t="s">
        <v>49</v>
      </c>
    </row>
    <row r="11" spans="1:7" x14ac:dyDescent="0.3">
      <c r="A11" s="2" t="s">
        <v>14</v>
      </c>
      <c r="B11" s="2">
        <v>19263170.120000001</v>
      </c>
      <c r="C11" s="2">
        <v>13976002.1</v>
      </c>
      <c r="D11" s="2">
        <v>33239172.219999999</v>
      </c>
      <c r="E11" s="2">
        <v>5287168.0200000014</v>
      </c>
      <c r="F11" s="1">
        <v>0.57953218547390173</v>
      </c>
      <c r="G11" s="2" t="s">
        <v>49</v>
      </c>
    </row>
    <row r="12" spans="1:7" x14ac:dyDescent="0.3">
      <c r="A12" s="2" t="s">
        <v>15</v>
      </c>
      <c r="B12" s="2">
        <v>10013682.789999999</v>
      </c>
      <c r="C12" s="2">
        <v>18980652.73</v>
      </c>
      <c r="D12" s="2">
        <v>28994335.52</v>
      </c>
      <c r="E12" s="2">
        <v>-8966969.9400000013</v>
      </c>
      <c r="F12" s="1">
        <v>0.34536686598982969</v>
      </c>
      <c r="G12" s="2" t="s">
        <v>48</v>
      </c>
    </row>
    <row r="13" spans="1:7" x14ac:dyDescent="0.3">
      <c r="A13" s="2" t="s">
        <v>16</v>
      </c>
      <c r="B13" s="2">
        <v>1952218.41</v>
      </c>
      <c r="C13" s="2">
        <v>2623352.52</v>
      </c>
      <c r="D13" s="2">
        <v>4575570.93</v>
      </c>
      <c r="E13" s="2">
        <v>-671134.1100000001</v>
      </c>
      <c r="F13" s="1">
        <v>0.42666116204213234</v>
      </c>
      <c r="G13" s="2" t="s">
        <v>49</v>
      </c>
    </row>
    <row r="14" spans="1:7" x14ac:dyDescent="0.3">
      <c r="A14" s="2" t="s">
        <v>17</v>
      </c>
      <c r="B14" s="2">
        <v>2200918.64</v>
      </c>
      <c r="C14" s="2">
        <v>389724.7</v>
      </c>
      <c r="D14" s="2">
        <v>2590643.3400000003</v>
      </c>
      <c r="E14" s="2">
        <v>1811193.9400000002</v>
      </c>
      <c r="F14" s="1">
        <v>0.84956451010350187</v>
      </c>
      <c r="G14" s="2" t="s">
        <v>48</v>
      </c>
    </row>
    <row r="15" spans="1:7" x14ac:dyDescent="0.3">
      <c r="A15" s="2" t="s">
        <v>18</v>
      </c>
      <c r="B15" s="2">
        <v>2563099.38</v>
      </c>
      <c r="C15" s="2">
        <v>6904553.8899999997</v>
      </c>
      <c r="D15" s="2">
        <v>9467653.2699999996</v>
      </c>
      <c r="E15" s="2">
        <v>-4341454.51</v>
      </c>
      <c r="F15" s="1">
        <v>0.27072172025159091</v>
      </c>
      <c r="G15" s="2" t="s">
        <v>49</v>
      </c>
    </row>
    <row r="16" spans="1:7" x14ac:dyDescent="0.3">
      <c r="A16" s="2" t="s">
        <v>19</v>
      </c>
      <c r="B16" s="2">
        <v>83453146.989999995</v>
      </c>
      <c r="C16" s="2">
        <v>74593855.390000001</v>
      </c>
      <c r="D16" s="2">
        <v>158047002.38</v>
      </c>
      <c r="E16" s="2">
        <v>8859291.599999994</v>
      </c>
      <c r="F16" s="1">
        <v>0.52802739522607067</v>
      </c>
      <c r="G16" s="2" t="s">
        <v>49</v>
      </c>
    </row>
    <row r="17" spans="1:7" x14ac:dyDescent="0.3">
      <c r="A17" s="2" t="s">
        <v>20</v>
      </c>
      <c r="B17" s="2">
        <v>102212053.22</v>
      </c>
      <c r="C17" s="2">
        <v>125118863.77</v>
      </c>
      <c r="D17" s="2">
        <v>227330916.99000001</v>
      </c>
      <c r="E17" s="2">
        <v>-22906810.549999997</v>
      </c>
      <c r="F17" s="1">
        <v>0.44961791635449294</v>
      </c>
      <c r="G17" s="2" t="s">
        <v>49</v>
      </c>
    </row>
    <row r="18" spans="1:7" x14ac:dyDescent="0.3">
      <c r="A18" s="2" t="s">
        <v>21</v>
      </c>
      <c r="B18" s="2">
        <v>10624615.07</v>
      </c>
      <c r="C18" s="2">
        <v>10834924.26</v>
      </c>
      <c r="D18" s="2">
        <v>21459539.329999998</v>
      </c>
      <c r="E18" s="2">
        <v>-210309.18999999948</v>
      </c>
      <c r="F18" s="1">
        <v>0.49509986708554388</v>
      </c>
      <c r="G18" s="2" t="s">
        <v>49</v>
      </c>
    </row>
    <row r="19" spans="1:7" x14ac:dyDescent="0.3">
      <c r="A19" s="2" t="s">
        <v>22</v>
      </c>
      <c r="B19" s="2">
        <v>43966528.700000003</v>
      </c>
      <c r="C19" s="2">
        <v>37755998.729999997</v>
      </c>
      <c r="D19" s="2">
        <v>81722527.430000007</v>
      </c>
      <c r="E19" s="2">
        <v>6210529.9700000063</v>
      </c>
      <c r="F19" s="1">
        <v>0.53799766212149813</v>
      </c>
      <c r="G19" s="2" t="s">
        <v>48</v>
      </c>
    </row>
    <row r="20" spans="1:7" x14ac:dyDescent="0.3">
      <c r="A20" s="2" t="s">
        <v>23</v>
      </c>
      <c r="B20" s="2">
        <v>49860502.049999997</v>
      </c>
      <c r="C20" s="2">
        <v>28642369.030000001</v>
      </c>
      <c r="D20" s="2">
        <v>78502871.079999998</v>
      </c>
      <c r="E20" s="2">
        <v>21218133.019999996</v>
      </c>
      <c r="F20" s="1">
        <v>0.63514240134209365</v>
      </c>
      <c r="G20" s="2" t="s">
        <v>49</v>
      </c>
    </row>
    <row r="21" spans="1:7" x14ac:dyDescent="0.3">
      <c r="A21" s="2" t="s">
        <v>24</v>
      </c>
      <c r="B21" s="2">
        <v>2259016.08</v>
      </c>
      <c r="C21" s="2">
        <v>7897762.8499999996</v>
      </c>
      <c r="D21" s="2">
        <v>10156778.93</v>
      </c>
      <c r="E21" s="2">
        <v>-5638746.7699999996</v>
      </c>
      <c r="F21" s="1">
        <v>0.22241461545722549</v>
      </c>
      <c r="G21" s="2" t="s">
        <v>48</v>
      </c>
    </row>
    <row r="22" spans="1:7" x14ac:dyDescent="0.3">
      <c r="A22" s="2" t="s">
        <v>25</v>
      </c>
      <c r="B22" s="2">
        <v>18331867.52</v>
      </c>
      <c r="C22" s="2">
        <v>13431757.960000001</v>
      </c>
      <c r="D22" s="2">
        <v>31763625.48</v>
      </c>
      <c r="E22" s="2">
        <v>4900109.5599999987</v>
      </c>
      <c r="F22" s="1">
        <v>0.57713397771745789</v>
      </c>
      <c r="G22" s="2" t="s">
        <v>49</v>
      </c>
    </row>
    <row r="23" spans="1:7" x14ac:dyDescent="0.3">
      <c r="A23" s="2" t="s">
        <v>26</v>
      </c>
      <c r="B23" s="2">
        <v>70534055.349999994</v>
      </c>
      <c r="C23" s="2">
        <v>64780478.82</v>
      </c>
      <c r="D23" s="2">
        <v>135314534.16999999</v>
      </c>
      <c r="E23" s="2">
        <v>5753576.5299999937</v>
      </c>
      <c r="F23" s="1">
        <v>0.52126000937479344</v>
      </c>
      <c r="G23" s="2" t="s">
        <v>49</v>
      </c>
    </row>
    <row r="24" spans="1:7" x14ac:dyDescent="0.3">
      <c r="A24" s="2" t="s">
        <v>27</v>
      </c>
      <c r="B24" s="2">
        <v>6292233.6500000004</v>
      </c>
      <c r="C24" s="2">
        <v>58108055.109999999</v>
      </c>
      <c r="D24" s="2">
        <v>64400288.759999998</v>
      </c>
      <c r="E24" s="2">
        <v>-51815821.460000001</v>
      </c>
      <c r="F24" s="1">
        <v>9.7705053364732786E-2</v>
      </c>
      <c r="G24" s="2" t="s">
        <v>49</v>
      </c>
    </row>
    <row r="25" spans="1:7" x14ac:dyDescent="0.3">
      <c r="A25" s="2" t="s">
        <v>28</v>
      </c>
      <c r="B25" s="2">
        <v>4303314.46</v>
      </c>
      <c r="C25" s="2">
        <v>4281134.99</v>
      </c>
      <c r="D25" s="2">
        <v>8584449.4499999993</v>
      </c>
      <c r="E25" s="2">
        <v>22179.469999999739</v>
      </c>
      <c r="F25" s="1">
        <v>0.50129183997932447</v>
      </c>
      <c r="G25" s="2" t="s">
        <v>49</v>
      </c>
    </row>
    <row r="26" spans="1:7" x14ac:dyDescent="0.3">
      <c r="A26" s="2" t="s">
        <v>29</v>
      </c>
      <c r="B26" s="2">
        <v>49449135</v>
      </c>
      <c r="C26" s="2">
        <v>39907726.07</v>
      </c>
      <c r="D26" s="2">
        <v>89356861.069999993</v>
      </c>
      <c r="E26" s="2">
        <v>9541408.9299999997</v>
      </c>
      <c r="F26" s="1">
        <v>0.55338934702801112</v>
      </c>
      <c r="G26" s="2" t="s">
        <v>49</v>
      </c>
    </row>
    <row r="27" spans="1:7" x14ac:dyDescent="0.3">
      <c r="A27" s="2" t="s">
        <v>30</v>
      </c>
      <c r="B27" s="2">
        <v>133895457.64</v>
      </c>
      <c r="C27" s="2">
        <v>91901161.129999995</v>
      </c>
      <c r="D27" s="2">
        <v>225796618.76999998</v>
      </c>
      <c r="E27" s="2">
        <v>41994296.510000005</v>
      </c>
      <c r="F27" s="1">
        <v>0.59299142019654438</v>
      </c>
      <c r="G27" s="2" t="s">
        <v>49</v>
      </c>
    </row>
    <row r="28" spans="1:7" x14ac:dyDescent="0.3">
      <c r="A28" s="2" t="s">
        <v>31</v>
      </c>
      <c r="B28" s="2">
        <v>1211472.69</v>
      </c>
      <c r="C28" s="2">
        <v>8992891.1500000004</v>
      </c>
      <c r="D28" s="2">
        <v>10204363.84</v>
      </c>
      <c r="E28" s="2">
        <v>-7781418.4600000009</v>
      </c>
      <c r="F28" s="1">
        <v>0.11872104023292059</v>
      </c>
      <c r="G28" s="2" t="s">
        <v>49</v>
      </c>
    </row>
    <row r="29" spans="1:7" x14ac:dyDescent="0.3">
      <c r="A29" s="2" t="s">
        <v>32</v>
      </c>
      <c r="B29" s="2">
        <v>53838858.619999997</v>
      </c>
      <c r="C29" s="2">
        <v>34354637.869999997</v>
      </c>
      <c r="D29" s="2">
        <v>88193496.489999995</v>
      </c>
      <c r="E29" s="2">
        <v>19484220.75</v>
      </c>
      <c r="F29" s="1">
        <v>0.61046291124317342</v>
      </c>
      <c r="G29" s="2" t="s">
        <v>49</v>
      </c>
    </row>
    <row r="30" spans="1:7" x14ac:dyDescent="0.3">
      <c r="A30" s="2" t="s">
        <v>33</v>
      </c>
      <c r="B30" s="2">
        <v>11003566.01</v>
      </c>
      <c r="C30" s="2">
        <v>15129699.470000001</v>
      </c>
      <c r="D30" s="2">
        <v>26133265.48</v>
      </c>
      <c r="E30" s="2">
        <v>-4126133.4600000009</v>
      </c>
      <c r="F30" s="1">
        <v>0.42105591505283246</v>
      </c>
      <c r="G30" s="2" t="s">
        <v>49</v>
      </c>
    </row>
    <row r="31" spans="1:7" x14ac:dyDescent="0.3">
      <c r="A31" s="2" t="s">
        <v>34</v>
      </c>
      <c r="B31" s="2">
        <v>9565468.8200000003</v>
      </c>
      <c r="C31" s="2">
        <v>35588276.619999997</v>
      </c>
      <c r="D31" s="2">
        <v>45153745.439999998</v>
      </c>
      <c r="E31" s="2">
        <v>-26022807.799999997</v>
      </c>
      <c r="F31" s="1">
        <v>0.21184220105750767</v>
      </c>
      <c r="G31" s="2" t="s">
        <v>49</v>
      </c>
    </row>
    <row r="32" spans="1:7" x14ac:dyDescent="0.3">
      <c r="A32" s="2" t="s">
        <v>35</v>
      </c>
      <c r="B32" s="2">
        <v>26736597.670000002</v>
      </c>
      <c r="C32" s="2">
        <v>25071756.859999999</v>
      </c>
      <c r="D32" s="2">
        <v>51808354.530000001</v>
      </c>
      <c r="E32" s="2">
        <v>1664840.8100000024</v>
      </c>
      <c r="F32" s="1">
        <v>0.51606730058407824</v>
      </c>
      <c r="G32" s="2" t="s">
        <v>48</v>
      </c>
    </row>
    <row r="33" spans="1:7" x14ac:dyDescent="0.3">
      <c r="A33" s="2" t="s">
        <v>36</v>
      </c>
      <c r="B33" s="2">
        <v>5463159.1699999999</v>
      </c>
      <c r="C33" s="2">
        <v>8322495.7300000004</v>
      </c>
      <c r="D33" s="2">
        <v>13785654.9</v>
      </c>
      <c r="E33" s="2">
        <v>-2859336.5600000005</v>
      </c>
      <c r="F33" s="1">
        <v>0.39629304589657177</v>
      </c>
      <c r="G33" s="2" t="s">
        <v>49</v>
      </c>
    </row>
    <row r="34" spans="1:7" x14ac:dyDescent="0.3">
      <c r="A34" s="2" t="s">
        <v>37</v>
      </c>
      <c r="B34" s="2">
        <v>3700534.53</v>
      </c>
      <c r="C34" s="2">
        <v>5117510.93</v>
      </c>
      <c r="D34" s="2">
        <v>8818045.459999999</v>
      </c>
      <c r="E34" s="2">
        <v>-1416976.4</v>
      </c>
      <c r="F34" s="1">
        <v>0.41965473491673294</v>
      </c>
      <c r="G34" s="2" t="s">
        <v>49</v>
      </c>
    </row>
    <row r="35" spans="1:7" x14ac:dyDescent="0.3">
      <c r="A35" s="2" t="s">
        <v>38</v>
      </c>
      <c r="B35" s="2">
        <v>13191541.289999999</v>
      </c>
      <c r="C35" s="2">
        <v>7140787.6200000001</v>
      </c>
      <c r="D35" s="2">
        <v>20332328.91</v>
      </c>
      <c r="E35" s="2">
        <v>6050753.669999999</v>
      </c>
      <c r="F35" s="1">
        <v>0.64879637489594388</v>
      </c>
      <c r="G35" s="2" t="s">
        <v>48</v>
      </c>
    </row>
    <row r="36" spans="1:7" x14ac:dyDescent="0.3">
      <c r="A36" s="2" t="s">
        <v>39</v>
      </c>
      <c r="B36" s="2">
        <v>74295485.629999995</v>
      </c>
      <c r="C36" s="2">
        <v>50609034.689999998</v>
      </c>
      <c r="D36" s="2">
        <v>124904520.31999999</v>
      </c>
      <c r="E36" s="2">
        <v>23686450.939999998</v>
      </c>
      <c r="F36" s="1">
        <v>0.59481822947366647</v>
      </c>
      <c r="G36" s="2" t="s">
        <v>49</v>
      </c>
    </row>
    <row r="37" spans="1:7" x14ac:dyDescent="0.3">
      <c r="A37" s="2" t="s">
        <v>40</v>
      </c>
      <c r="B37" s="2">
        <v>7497022.9299999997</v>
      </c>
      <c r="C37" s="2">
        <v>16097980.470000001</v>
      </c>
      <c r="D37" s="2">
        <v>23595003.399999999</v>
      </c>
      <c r="E37" s="2">
        <v>-8600957.540000001</v>
      </c>
      <c r="F37" s="1">
        <v>0.31773773467648664</v>
      </c>
      <c r="G37" s="2" t="s">
        <v>49</v>
      </c>
    </row>
    <row r="38" spans="1:7" x14ac:dyDescent="0.3">
      <c r="A38" s="2" t="s">
        <v>41</v>
      </c>
      <c r="B38" s="2">
        <v>11304495.439999999</v>
      </c>
      <c r="C38" s="2">
        <v>16191914.77</v>
      </c>
      <c r="D38" s="2">
        <v>27496410.210000001</v>
      </c>
      <c r="E38" s="2">
        <v>-4887419.33</v>
      </c>
      <c r="F38" s="1">
        <v>0.41112622897547318</v>
      </c>
      <c r="G38" s="2" t="s">
        <v>49</v>
      </c>
    </row>
    <row r="39" spans="1:7" x14ac:dyDescent="0.3">
      <c r="A39" s="2" t="s">
        <v>42</v>
      </c>
      <c r="B39" s="2">
        <v>30666257.850000001</v>
      </c>
      <c r="C39" s="2">
        <v>23059472.879999999</v>
      </c>
      <c r="D39" s="2">
        <v>53725730.730000004</v>
      </c>
      <c r="E39" s="2">
        <v>7606784.9700000025</v>
      </c>
      <c r="F39" s="1">
        <v>0.57079275485547221</v>
      </c>
      <c r="G39" s="2" t="s">
        <v>49</v>
      </c>
    </row>
    <row r="40" spans="1:7" x14ac:dyDescent="0.3">
      <c r="A40" s="2" t="s">
        <v>43</v>
      </c>
      <c r="B40" s="2">
        <v>6445182.2599999998</v>
      </c>
      <c r="C40" s="2">
        <v>25024716.129999999</v>
      </c>
      <c r="D40" s="2">
        <v>31469898.390000001</v>
      </c>
      <c r="E40" s="2">
        <v>-18579533.869999997</v>
      </c>
      <c r="F40" s="1">
        <v>0.20480467334613467</v>
      </c>
      <c r="G40" s="2" t="s">
        <v>48</v>
      </c>
    </row>
    <row r="41" spans="1:7" x14ac:dyDescent="0.3">
      <c r="A41" s="2" t="s">
        <v>44</v>
      </c>
      <c r="B41" s="2">
        <v>29883898.210000001</v>
      </c>
      <c r="C41" s="2">
        <v>80028187.799999997</v>
      </c>
      <c r="D41" s="2">
        <v>109912086.00999999</v>
      </c>
      <c r="E41" s="2">
        <v>-50144289.589999996</v>
      </c>
      <c r="F41" s="1">
        <v>0.27188910059700905</v>
      </c>
      <c r="G41" s="2" t="s">
        <v>49</v>
      </c>
    </row>
    <row r="42" spans="1:7" x14ac:dyDescent="0.3">
      <c r="A42" s="2" t="s">
        <v>45</v>
      </c>
      <c r="B42" s="2">
        <v>172359214</v>
      </c>
      <c r="C42" s="2">
        <v>212366847.83000001</v>
      </c>
      <c r="D42" s="2">
        <v>384726061.83000004</v>
      </c>
      <c r="E42" s="2">
        <v>-40007633.830000013</v>
      </c>
      <c r="F42" s="1">
        <v>0.44800503813063963</v>
      </c>
      <c r="G42" s="2" t="s">
        <v>49</v>
      </c>
    </row>
    <row r="43" spans="1:7" x14ac:dyDescent="0.3">
      <c r="A43" s="2" t="s">
        <v>50</v>
      </c>
      <c r="B43" s="2">
        <v>5718807.7000000002</v>
      </c>
      <c r="C43" s="2">
        <v>29523012.699999999</v>
      </c>
      <c r="D43" s="2">
        <f>SUM(B43:C43)</f>
        <v>35241820.399999999</v>
      </c>
      <c r="E43" s="2">
        <f>B43-C43</f>
        <v>-23804205</v>
      </c>
      <c r="F43" s="1">
        <f>B43/D43</f>
        <v>0.16227333421175941</v>
      </c>
      <c r="G43" s="2" t="s">
        <v>48</v>
      </c>
    </row>
    <row r="44" spans="1:7" x14ac:dyDescent="0.3">
      <c r="A44" s="2" t="s">
        <v>51</v>
      </c>
      <c r="B44" s="2">
        <v>27005233.300000001</v>
      </c>
      <c r="C44" s="2">
        <v>5811156.5</v>
      </c>
      <c r="D44" s="2">
        <f>SUM(B44:C44)</f>
        <v>32816389.800000001</v>
      </c>
      <c r="E44" s="2">
        <f>B44-C44</f>
        <v>21194076.800000001</v>
      </c>
      <c r="F44" s="1">
        <f>B44/D44</f>
        <v>0.82291907990439583</v>
      </c>
      <c r="G44" s="2" t="s">
        <v>49</v>
      </c>
    </row>
  </sheetData>
  <conditionalFormatting sqref="A2:G44">
    <cfRule type="expression" dxfId="0" priority="1">
      <formula>$F2&gt;0.2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8D5C-3DE6-4EC0-A625-E6A5E57C0F57}">
  <dimension ref="A1:J961"/>
  <sheetViews>
    <sheetView tabSelected="1" workbookViewId="0">
      <selection activeCell="E6" sqref="E6"/>
    </sheetView>
  </sheetViews>
  <sheetFormatPr defaultRowHeight="14.4" x14ac:dyDescent="0.3"/>
  <cols>
    <col min="1" max="1" width="43.44140625" bestFit="1" customWidth="1"/>
    <col min="4" max="4" width="17.77734375" bestFit="1" customWidth="1"/>
    <col min="5" max="5" width="13.88671875" bestFit="1" customWidth="1"/>
    <col min="6" max="6" width="14" bestFit="1" customWidth="1"/>
    <col min="7" max="7" width="13.88671875" bestFit="1" customWidth="1"/>
    <col min="8" max="8" width="12" bestFit="1" customWidth="1"/>
    <col min="9" max="9" width="12.5546875" bestFit="1" customWidth="1"/>
    <col min="10" max="10" width="11.44140625" bestFit="1" customWidth="1"/>
  </cols>
  <sheetData>
    <row r="1" spans="1:10" x14ac:dyDescent="0.3">
      <c r="A1" s="7" t="s">
        <v>52</v>
      </c>
      <c r="B1" s="7" t="s">
        <v>53</v>
      </c>
      <c r="C1" s="7" t="s">
        <v>47</v>
      </c>
      <c r="D1" s="11" t="s">
        <v>54</v>
      </c>
      <c r="E1" s="10" t="s">
        <v>55</v>
      </c>
      <c r="F1" s="10" t="s">
        <v>56</v>
      </c>
      <c r="G1" s="10" t="s">
        <v>57</v>
      </c>
      <c r="H1" s="9" t="s">
        <v>58</v>
      </c>
      <c r="I1" s="9" t="s">
        <v>568</v>
      </c>
      <c r="J1" s="9" t="s">
        <v>557</v>
      </c>
    </row>
    <row r="2" spans="1:10" x14ac:dyDescent="0.3">
      <c r="A2" t="s">
        <v>5</v>
      </c>
      <c r="B2" s="4">
        <v>2000</v>
      </c>
      <c r="C2" t="s">
        <v>49</v>
      </c>
      <c r="D2" s="8">
        <f>INDEX(GDP_pc!$E:$ZZ, MATCH(A2, GDP_pc!$C:$C, 0), MATCH(B2, GDP_pc!$E$1:$ZZ$1, 0))</f>
        <v>416901962163.47925</v>
      </c>
      <c r="E2">
        <f>INDEX(CH4_Em!$E:$ZZ, MATCH(A2, CH4_Em!$C:$C, 0), MATCH(B2, CH4_Em!$E$1:$ZZ$1, 0))</f>
        <v>88.528099999999995</v>
      </c>
      <c r="F2">
        <f>INDEX(N2O_Em!$E:$ZZ, MATCH(A2, N2O_Em!$C:$C, 0), MATCH(B2, N2O_Em!$E$1:$ZZ$1, 0))</f>
        <v>34.880699999999997</v>
      </c>
      <c r="G2">
        <f>INDEX(CO2_Em!$E:$ZZ, MATCH(A2, CO2_Em!$C:$C, 0), MATCH(B2, CO2_Em!$E$1:$ZZ$1, 0))</f>
        <v>1.2529999999999999</v>
      </c>
      <c r="H2">
        <f>INDEX(Agri_VA!$E:$ZZ, MATCH(A2, Agri_VA!$C:$C, 0), MATCH(B2, Agri_VA!$E$1:$ZZ$1, 0))</f>
        <v>3.1063067622916862</v>
      </c>
      <c r="I2" s="6">
        <f>INDEX('Agri_land '!$E:$ZZ, MATCH(A2, 'Agri_land '!$C:$C, 0), MATCH(B2, 'Agri_land '!$E$1:$ZZ$1, 0))</f>
        <v>59.288103823073826</v>
      </c>
      <c r="J2">
        <f>INDEX(Cereal_Yield!$E:$ZZ, MATCH(A2, Cereal_Yield!$C:$C, 0), MATCH(B2, Cereal_Yield!$E$1:$ZZ$1, 0))</f>
        <v>2107.3000000000002</v>
      </c>
    </row>
    <row r="3" spans="1:10" x14ac:dyDescent="0.3">
      <c r="A3" t="s">
        <v>5</v>
      </c>
      <c r="B3" s="4">
        <v>2001</v>
      </c>
      <c r="C3" t="s">
        <v>49</v>
      </c>
      <c r="D3" s="8">
        <f>INDEX(GDP_pc!$E:$ZZ, MATCH(A3, GDP_pc!$C:$C, 0), MATCH(B3, GDP_pc!$E$1:$ZZ$1, 0))</f>
        <v>380360222861.1969</v>
      </c>
      <c r="E3">
        <f>INDEX(CH4_Em!$E:$ZZ, MATCH(A3, CH4_Em!$C:$C, 0), MATCH(B3, CH4_Em!$E$1:$ZZ$1, 0))</f>
        <v>87.587599999999995</v>
      </c>
      <c r="F3">
        <f>INDEX(N2O_Em!$E:$ZZ, MATCH(A3, N2O_Em!$C:$C, 0), MATCH(B3, N2O_Em!$E$1:$ZZ$1, 0))</f>
        <v>34.762</v>
      </c>
      <c r="G3">
        <f>INDEX(CO2_Em!$E:$ZZ, MATCH(A3, CO2_Em!$C:$C, 0), MATCH(B3, CO2_Em!$E$1:$ZZ$1, 0))</f>
        <v>1.3771</v>
      </c>
      <c r="H3">
        <f>INDEX(Agri_VA!$E:$ZZ, MATCH(A3, Agri_VA!$C:$C, 0), MATCH(B3, Agri_VA!$E$1:$ZZ$1, 0))</f>
        <v>3.5018708625155903</v>
      </c>
      <c r="I3" s="6">
        <f>INDEX('Agri_land '!$E:$ZZ, MATCH(A3, 'Agri_land '!$C:$C, 0), MATCH(B3, 'Agri_land '!$E$1:$ZZ$1, 0))</f>
        <v>59.318172942998835</v>
      </c>
      <c r="J3">
        <f>INDEX(Cereal_Yield!$E:$ZZ, MATCH(A3, Cereal_Yield!$C:$C, 0), MATCH(B3, Cereal_Yield!$E$1:$ZZ$1, 0))</f>
        <v>1959.6</v>
      </c>
    </row>
    <row r="4" spans="1:10" x14ac:dyDescent="0.3">
      <c r="A4" t="s">
        <v>5</v>
      </c>
      <c r="B4" s="4">
        <v>2002</v>
      </c>
      <c r="C4" t="s">
        <v>49</v>
      </c>
      <c r="D4" s="8">
        <f>INDEX(GDP_pc!$E:$ZZ, MATCH(A4, GDP_pc!$C:$C, 0), MATCH(B4, GDP_pc!$E$1:$ZZ$1, 0))</f>
        <v>396436967262.56342</v>
      </c>
      <c r="E4">
        <f>INDEX(CH4_Em!$E:$ZZ, MATCH(A4, CH4_Em!$C:$C, 0), MATCH(B4, CH4_Em!$E$1:$ZZ$1, 0))</f>
        <v>86.895499999999998</v>
      </c>
      <c r="F4">
        <f>INDEX(N2O_Em!$E:$ZZ, MATCH(A4, N2O_Em!$C:$C, 0), MATCH(B4, N2O_Em!$E$1:$ZZ$1, 0))</f>
        <v>34.458500000000001</v>
      </c>
      <c r="G4">
        <f>INDEX(CO2_Em!$E:$ZZ, MATCH(A4, CO2_Em!$C:$C, 0), MATCH(B4, CO2_Em!$E$1:$ZZ$1, 0))</f>
        <v>1.6823999999999999</v>
      </c>
      <c r="H4">
        <f>INDEX(Agri_VA!$E:$ZZ, MATCH(A4, Agri_VA!$C:$C, 0), MATCH(B4, Agri_VA!$E$1:$ZZ$1, 0))</f>
        <v>3.9442512389713404</v>
      </c>
      <c r="I4" s="6">
        <f>INDEX('Agri_land '!$E:$ZZ, MATCH(A4, 'Agri_land '!$C:$C, 0), MATCH(B4, 'Agri_land '!$E$1:$ZZ$1, 0))</f>
        <v>58.185699595173325</v>
      </c>
      <c r="J4">
        <f>INDEX(Cereal_Yield!$E:$ZZ, MATCH(A4, Cereal_Yield!$C:$C, 0), MATCH(B4, Cereal_Yield!$E$1:$ZZ$1, 0))</f>
        <v>2197.5</v>
      </c>
    </row>
    <row r="5" spans="1:10" x14ac:dyDescent="0.3">
      <c r="A5" t="s">
        <v>5</v>
      </c>
      <c r="B5" s="4">
        <v>2003</v>
      </c>
      <c r="C5" t="s">
        <v>49</v>
      </c>
      <c r="D5" s="8">
        <f>INDEX(GDP_pc!$E:$ZZ, MATCH(A5, GDP_pc!$C:$C, 0), MATCH(B5, GDP_pc!$E$1:$ZZ$1, 0))</f>
        <v>468517181129.87769</v>
      </c>
      <c r="E5">
        <f>INDEX(CH4_Em!$E:$ZZ, MATCH(A5, CH4_Em!$C:$C, 0), MATCH(B5, CH4_Em!$E$1:$ZZ$1, 0))</f>
        <v>82.235200000000006</v>
      </c>
      <c r="F5">
        <f>INDEX(N2O_Em!$E:$ZZ, MATCH(A5, N2O_Em!$C:$C, 0), MATCH(B5, N2O_Em!$E$1:$ZZ$1, 0))</f>
        <v>31.846</v>
      </c>
      <c r="G5">
        <f>INDEX(CO2_Em!$E:$ZZ, MATCH(A5, CO2_Em!$C:$C, 0), MATCH(B5, CO2_Em!$E$1:$ZZ$1, 0))</f>
        <v>1.5745</v>
      </c>
      <c r="H5">
        <f>INDEX(Agri_VA!$E:$ZZ, MATCH(A5, Agri_VA!$C:$C, 0), MATCH(B5, Agri_VA!$E$1:$ZZ$1, 0))</f>
        <v>2.8873358493568229</v>
      </c>
      <c r="I5" s="6">
        <f>INDEX('Agri_land '!$E:$ZZ, MATCH(A5, 'Agri_land '!$C:$C, 0), MATCH(B5, 'Agri_land '!$E$1:$ZZ$1, 0))</f>
        <v>57.209429467737529</v>
      </c>
      <c r="J5">
        <f>INDEX(Cereal_Yield!$E:$ZZ, MATCH(A5, Cereal_Yield!$C:$C, 0), MATCH(B5, Cereal_Yield!$E$1:$ZZ$1, 0))</f>
        <v>1020.7</v>
      </c>
    </row>
    <row r="6" spans="1:10" x14ac:dyDescent="0.3">
      <c r="A6" t="s">
        <v>5</v>
      </c>
      <c r="B6" s="4">
        <v>2004</v>
      </c>
      <c r="C6" t="s">
        <v>49</v>
      </c>
      <c r="D6" s="8">
        <f>INDEX(GDP_pc!$E:$ZZ, MATCH(A6, GDP_pc!$C:$C, 0), MATCH(B6, GDP_pc!$E$1:$ZZ$1, 0))</f>
        <v>615643050220.51501</v>
      </c>
      <c r="E6">
        <f>INDEX(CH4_Em!$E:$ZZ, MATCH(A6, CH4_Em!$C:$C, 0), MATCH(B6, CH4_Em!$E$1:$ZZ$1, 0))</f>
        <v>85.055899999999994</v>
      </c>
      <c r="F6">
        <f>INDEX(N2O_Em!$E:$ZZ, MATCH(A6, N2O_Em!$C:$C, 0), MATCH(B6, N2O_Em!$E$1:$ZZ$1, 0))</f>
        <v>34.771500000000003</v>
      </c>
      <c r="G6">
        <f>INDEX(CO2_Em!$E:$ZZ, MATCH(A6, CO2_Em!$C:$C, 0), MATCH(B6, CO2_Em!$E$1:$ZZ$1, 0))</f>
        <v>1.7662</v>
      </c>
      <c r="H6">
        <f>INDEX(Agri_VA!$E:$ZZ, MATCH(A6, Agri_VA!$C:$C, 0), MATCH(B6, Agri_VA!$E$1:$ZZ$1, 0))</f>
        <v>3.0582191662112308</v>
      </c>
      <c r="I6" s="6">
        <f>INDEX('Agri_land '!$E:$ZZ, MATCH(A6, 'Agri_land '!$C:$C, 0), MATCH(B6, 'Agri_land '!$E$1:$ZZ$1, 0))</f>
        <v>51.404657459354617</v>
      </c>
      <c r="J6">
        <f>INDEX(Cereal_Yield!$E:$ZZ, MATCH(A6, Cereal_Yield!$C:$C, 0), MATCH(B6, Cereal_Yield!$E$1:$ZZ$1, 0))</f>
        <v>2116.4</v>
      </c>
    </row>
    <row r="7" spans="1:10" x14ac:dyDescent="0.3">
      <c r="A7" t="s">
        <v>5</v>
      </c>
      <c r="B7" s="4">
        <v>2005</v>
      </c>
      <c r="C7" t="s">
        <v>49</v>
      </c>
      <c r="D7" s="8">
        <f>INDEX(GDP_pc!$E:$ZZ, MATCH(A7, GDP_pc!$C:$C, 0), MATCH(B7, GDP_pc!$E$1:$ZZ$1, 0))</f>
        <v>696811489612.8158</v>
      </c>
      <c r="E7">
        <f>INDEX(CH4_Em!$E:$ZZ, MATCH(A7, CH4_Em!$C:$C, 0), MATCH(B7, CH4_Em!$E$1:$ZZ$1, 0))</f>
        <v>85.589200000000005</v>
      </c>
      <c r="F7">
        <f>INDEX(N2O_Em!$E:$ZZ, MATCH(A7, N2O_Em!$C:$C, 0), MATCH(B7, N2O_Em!$E$1:$ZZ$1, 0))</f>
        <v>34.221899999999998</v>
      </c>
      <c r="G7">
        <f>INDEX(CO2_Em!$E:$ZZ, MATCH(A7, CO2_Em!$C:$C, 0), MATCH(B7, CO2_Em!$E$1:$ZZ$1, 0))</f>
        <v>1.6164000000000001</v>
      </c>
      <c r="H7">
        <f>INDEX(Agri_VA!$E:$ZZ, MATCH(A7, Agri_VA!$C:$C, 0), MATCH(B7, Agri_VA!$E$1:$ZZ$1, 0))</f>
        <v>2.8892149353241345</v>
      </c>
      <c r="I7" s="6">
        <f>INDEX('Agri_land '!$E:$ZZ, MATCH(A7, 'Agri_land '!$C:$C, 0), MATCH(B7, 'Agri_land '!$E$1:$ZZ$1, 0))</f>
        <v>53.399372583731427</v>
      </c>
      <c r="J7">
        <f>INDEX(Cereal_Yield!$E:$ZZ, MATCH(A7, Cereal_Yield!$C:$C, 0), MATCH(B7, Cereal_Yield!$E$1:$ZZ$1, 0))</f>
        <v>1694.6</v>
      </c>
    </row>
    <row r="8" spans="1:10" x14ac:dyDescent="0.3">
      <c r="A8" t="s">
        <v>5</v>
      </c>
      <c r="B8" s="4">
        <v>2006</v>
      </c>
      <c r="C8" t="s">
        <v>49</v>
      </c>
      <c r="D8" s="8">
        <f>INDEX(GDP_pc!$E:$ZZ, MATCH(A8, GDP_pc!$C:$C, 0), MATCH(B8, GDP_pc!$E$1:$ZZ$1, 0))</f>
        <v>749708370332.98938</v>
      </c>
      <c r="E8">
        <f>INDEX(CH4_Em!$E:$ZZ, MATCH(A8, CH4_Em!$C:$C, 0), MATCH(B8, CH4_Em!$E$1:$ZZ$1, 0))</f>
        <v>85.0017</v>
      </c>
      <c r="F8">
        <f>INDEX(N2O_Em!$E:$ZZ, MATCH(A8, N2O_Em!$C:$C, 0), MATCH(B8, N2O_Em!$E$1:$ZZ$1, 0))</f>
        <v>33.267800000000001</v>
      </c>
      <c r="G8">
        <f>INDEX(CO2_Em!$E:$ZZ, MATCH(A8, CO2_Em!$C:$C, 0), MATCH(B8, CO2_Em!$E$1:$ZZ$1, 0))</f>
        <v>1.5008999999999999</v>
      </c>
      <c r="H8">
        <f>INDEX(Agri_VA!$E:$ZZ, MATCH(A8, Agri_VA!$C:$C, 0), MATCH(B8, Agri_VA!$E$1:$ZZ$1, 0))</f>
        <v>2.7401131918318922</v>
      </c>
      <c r="I8" s="6">
        <f>INDEX('Agri_land '!$E:$ZZ, MATCH(A8, 'Agri_land '!$C:$C, 0), MATCH(B8, 'Agri_land '!$E$1:$ZZ$1, 0))</f>
        <v>53.278575426630049</v>
      </c>
      <c r="J8">
        <f>INDEX(Cereal_Yield!$E:$ZZ, MATCH(A8, Cereal_Yield!$C:$C, 0), MATCH(B8, Cereal_Yield!$E$1:$ZZ$1, 0))</f>
        <v>2111.6999999999998</v>
      </c>
    </row>
    <row r="9" spans="1:10" x14ac:dyDescent="0.3">
      <c r="A9" t="s">
        <v>5</v>
      </c>
      <c r="B9" s="4">
        <v>2007</v>
      </c>
      <c r="C9" t="s">
        <v>49</v>
      </c>
      <c r="D9" s="8">
        <f>INDEX(GDP_pc!$E:$ZZ, MATCH(A9, GDP_pc!$C:$C, 0), MATCH(B9, GDP_pc!$E$1:$ZZ$1, 0))</f>
        <v>856603595823.19226</v>
      </c>
      <c r="E9">
        <f>INDEX(CH4_Em!$E:$ZZ, MATCH(A9, CH4_Em!$C:$C, 0), MATCH(B9, CH4_Em!$E$1:$ZZ$1, 0))</f>
        <v>82.57</v>
      </c>
      <c r="F9">
        <f>INDEX(N2O_Em!$E:$ZZ, MATCH(A9, N2O_Em!$C:$C, 0), MATCH(B9, N2O_Em!$E$1:$ZZ$1, 0))</f>
        <v>31.372599999999998</v>
      </c>
      <c r="G9">
        <f>INDEX(CO2_Em!$E:$ZZ, MATCH(A9, CO2_Em!$C:$C, 0), MATCH(B9, CO2_Em!$E$1:$ZZ$1, 0))</f>
        <v>1.4408000000000001</v>
      </c>
      <c r="H9">
        <f>INDEX(Agri_VA!$E:$ZZ, MATCH(A9, Agri_VA!$C:$C, 0), MATCH(B9, Agri_VA!$E$1:$ZZ$1, 0))</f>
        <v>2.2128103415406728</v>
      </c>
      <c r="I9" s="6">
        <f>INDEX('Agri_land '!$E:$ZZ, MATCH(A9, 'Agri_land '!$C:$C, 0), MATCH(B9, 'Agri_land '!$E$1:$ZZ$1, 0))</f>
        <v>51.853676633299926</v>
      </c>
      <c r="J9">
        <f>INDEX(Cereal_Yield!$E:$ZZ, MATCH(A9, Cereal_Yield!$C:$C, 0), MATCH(B9, Cereal_Yield!$E$1:$ZZ$1, 0))</f>
        <v>981.3</v>
      </c>
    </row>
    <row r="10" spans="1:10" x14ac:dyDescent="0.3">
      <c r="A10" t="s">
        <v>5</v>
      </c>
      <c r="B10" s="4">
        <v>2008</v>
      </c>
      <c r="C10" t="s">
        <v>49</v>
      </c>
      <c r="D10" s="8">
        <f>INDEX(GDP_pc!$E:$ZZ, MATCH(A10, GDP_pc!$C:$C, 0), MATCH(B10, GDP_pc!$E$1:$ZZ$1, 0))</f>
        <v>1058448244063.7662</v>
      </c>
      <c r="E10">
        <f>INDEX(CH4_Em!$E:$ZZ, MATCH(A10, CH4_Em!$C:$C, 0), MATCH(B10, CH4_Em!$E$1:$ZZ$1, 0))</f>
        <v>78.668199999999999</v>
      </c>
      <c r="F10">
        <f>INDEX(N2O_Em!$E:$ZZ, MATCH(A10, N2O_Em!$C:$C, 0), MATCH(B10, N2O_Em!$E$1:$ZZ$1, 0))</f>
        <v>30.361499999999999</v>
      </c>
      <c r="G10">
        <f>INDEX(CO2_Em!$E:$ZZ, MATCH(A10, CO2_Em!$C:$C, 0), MATCH(B10, CO2_Em!$E$1:$ZZ$1, 0))</f>
        <v>1.4447000000000001</v>
      </c>
      <c r="H10">
        <f>INDEX(Agri_VA!$E:$ZZ, MATCH(A10, Agri_VA!$C:$C, 0), MATCH(B10, Agri_VA!$E$1:$ZZ$1, 0))</f>
        <v>2.3541791077600278</v>
      </c>
      <c r="I10" s="6">
        <f>INDEX('Agri_land '!$E:$ZZ, MATCH(A10, 'Agri_land '!$C:$C, 0), MATCH(B10, 'Agri_land '!$E$1:$ZZ$1, 0))</f>
        <v>50.673366049230054</v>
      </c>
      <c r="J10">
        <f>INDEX(Cereal_Yield!$E:$ZZ, MATCH(A10, Cereal_Yield!$C:$C, 0), MATCH(B10, Cereal_Yield!$E$1:$ZZ$1, 0))</f>
        <v>1332.7</v>
      </c>
    </row>
    <row r="11" spans="1:10" x14ac:dyDescent="0.3">
      <c r="A11" t="s">
        <v>5</v>
      </c>
      <c r="B11" s="4">
        <v>2009</v>
      </c>
      <c r="C11" t="s">
        <v>49</v>
      </c>
      <c r="D11" s="8">
        <f>INDEX(GDP_pc!$E:$ZZ, MATCH(A11, GDP_pc!$C:$C, 0), MATCH(B11, GDP_pc!$E$1:$ZZ$1, 0))</f>
        <v>931761689770.84314</v>
      </c>
      <c r="E11">
        <f>INDEX(CH4_Em!$E:$ZZ, MATCH(A11, CH4_Em!$C:$C, 0), MATCH(B11, CH4_Em!$E$1:$ZZ$1, 0))</f>
        <v>79.324600000000004</v>
      </c>
      <c r="F11">
        <f>INDEX(N2O_Em!$E:$ZZ, MATCH(A11, N2O_Em!$C:$C, 0), MATCH(B11, N2O_Em!$E$1:$ZZ$1, 0))</f>
        <v>30.814599999999999</v>
      </c>
      <c r="G11">
        <f>INDEX(CO2_Em!$E:$ZZ, MATCH(A11, CO2_Em!$C:$C, 0), MATCH(B11, CO2_Em!$E$1:$ZZ$1, 0))</f>
        <v>1.4902</v>
      </c>
      <c r="H11">
        <f>INDEX(Agri_VA!$E:$ZZ, MATCH(A11, Agri_VA!$C:$C, 0), MATCH(B11, Agri_VA!$E$1:$ZZ$1, 0))</f>
        <v>2.3142357064120143</v>
      </c>
      <c r="I11" s="6">
        <f>INDEX('Agri_land '!$E:$ZZ, MATCH(A11, 'Agri_land '!$C:$C, 0), MATCH(B11, 'Agri_land '!$E$1:$ZZ$1, 0))</f>
        <v>50.018484047746114</v>
      </c>
      <c r="J11">
        <f>INDEX(Cereal_Yield!$E:$ZZ, MATCH(A11, Cereal_Yield!$C:$C, 0), MATCH(B11, Cereal_Yield!$E$1:$ZZ$1, 0))</f>
        <v>1651.4</v>
      </c>
    </row>
    <row r="12" spans="1:10" x14ac:dyDescent="0.3">
      <c r="A12" t="s">
        <v>5</v>
      </c>
      <c r="B12" s="4">
        <v>2010</v>
      </c>
      <c r="C12" t="s">
        <v>49</v>
      </c>
      <c r="D12" s="8">
        <f>INDEX(GDP_pc!$E:$ZZ, MATCH(A12, GDP_pc!$C:$C, 0), MATCH(B12, GDP_pc!$E$1:$ZZ$1, 0))</f>
        <v>1152566632022.1255</v>
      </c>
      <c r="E12">
        <f>INDEX(CH4_Em!$E:$ZZ, MATCH(A12, CH4_Em!$C:$C, 0), MATCH(B12, CH4_Em!$E$1:$ZZ$1, 0))</f>
        <v>75.910899999999998</v>
      </c>
      <c r="F12">
        <f>INDEX(N2O_Em!$E:$ZZ, MATCH(A12, N2O_Em!$C:$C, 0), MATCH(B12, N2O_Em!$E$1:$ZZ$1, 0))</f>
        <v>30.588699999999999</v>
      </c>
      <c r="G12">
        <f>INDEX(CO2_Em!$E:$ZZ, MATCH(A12, CO2_Em!$C:$C, 0), MATCH(B12, CO2_Em!$E$1:$ZZ$1, 0))</f>
        <v>1.6956</v>
      </c>
      <c r="H12">
        <f>INDEX(Agri_VA!$E:$ZZ, MATCH(A12, Agri_VA!$C:$C, 0), MATCH(B12, Agri_VA!$E$1:$ZZ$1, 0))</f>
        <v>2.2182483732055589</v>
      </c>
      <c r="I12" s="6">
        <f>INDEX('Agri_land '!$E:$ZZ, MATCH(A12, 'Agri_land '!$C:$C, 0), MATCH(B12, 'Agri_land '!$E$1:$ZZ$1, 0))</f>
        <v>48.992098720435287</v>
      </c>
      <c r="J12">
        <f>INDEX(Cereal_Yield!$E:$ZZ, MATCH(A12, Cereal_Yield!$C:$C, 0), MATCH(B12, Cereal_Yield!$E$1:$ZZ$1, 0))</f>
        <v>1661.5</v>
      </c>
    </row>
    <row r="13" spans="1:10" x14ac:dyDescent="0.3">
      <c r="A13" t="s">
        <v>5</v>
      </c>
      <c r="B13" s="4">
        <v>2011</v>
      </c>
      <c r="C13" t="s">
        <v>49</v>
      </c>
      <c r="D13" s="8">
        <f>INDEX(GDP_pc!$E:$ZZ, MATCH(A13, GDP_pc!$C:$C, 0), MATCH(B13, GDP_pc!$E$1:$ZZ$1, 0))</f>
        <v>1402939868653.3967</v>
      </c>
      <c r="E13">
        <f>INDEX(CH4_Em!$E:$ZZ, MATCH(A13, CH4_Em!$C:$C, 0), MATCH(B13, CH4_Em!$E$1:$ZZ$1, 0))</f>
        <v>81.325000000000003</v>
      </c>
      <c r="F13">
        <f>INDEX(N2O_Em!$E:$ZZ, MATCH(A13, N2O_Em!$C:$C, 0), MATCH(B13, N2O_Em!$E$1:$ZZ$1, 0))</f>
        <v>32.961599999999997</v>
      </c>
      <c r="G13">
        <f>INDEX(CO2_Em!$E:$ZZ, MATCH(A13, CO2_Em!$C:$C, 0), MATCH(B13, CO2_Em!$E$1:$ZZ$1, 0))</f>
        <v>1.8323</v>
      </c>
      <c r="H13">
        <f>INDEX(Agri_VA!$E:$ZZ, MATCH(A13, Agri_VA!$C:$C, 0), MATCH(B13, Agri_VA!$E$1:$ZZ$1, 0))</f>
        <v>2.3048596226149898</v>
      </c>
      <c r="I13" s="6">
        <f>INDEX('Agri_land '!$E:$ZZ, MATCH(A13, 'Agri_land '!$C:$C, 0), MATCH(B13, 'Agri_land '!$E$1:$ZZ$1, 0))</f>
        <v>51.562813219999214</v>
      </c>
      <c r="J13">
        <f>INDEX(Cereal_Yield!$E:$ZZ, MATCH(A13, Cereal_Yield!$C:$C, 0), MATCH(B13, Cereal_Yield!$E$1:$ZZ$1, 0))</f>
        <v>2097.5</v>
      </c>
    </row>
    <row r="14" spans="1:10" x14ac:dyDescent="0.3">
      <c r="A14" t="s">
        <v>5</v>
      </c>
      <c r="B14" s="4">
        <v>2012</v>
      </c>
      <c r="C14" t="s">
        <v>49</v>
      </c>
      <c r="D14" s="8">
        <f>INDEX(GDP_pc!$E:$ZZ, MATCH(A14, GDP_pc!$C:$C, 0), MATCH(B14, GDP_pc!$E$1:$ZZ$1, 0))</f>
        <v>1552728401401.5811</v>
      </c>
      <c r="E14">
        <f>INDEX(CH4_Em!$E:$ZZ, MATCH(A14, CH4_Em!$C:$C, 0), MATCH(B14, CH4_Em!$E$1:$ZZ$1, 0))</f>
        <v>82.139600000000002</v>
      </c>
      <c r="F14">
        <f>INDEX(N2O_Em!$E:$ZZ, MATCH(A14, N2O_Em!$C:$C, 0), MATCH(B14, N2O_Em!$E$1:$ZZ$1, 0))</f>
        <v>33.367600000000003</v>
      </c>
      <c r="G14">
        <f>INDEX(CO2_Em!$E:$ZZ, MATCH(A14, CO2_Em!$C:$C, 0), MATCH(B14, CO2_Em!$E$1:$ZZ$1, 0))</f>
        <v>1.8509</v>
      </c>
      <c r="H14">
        <f>INDEX(Agri_VA!$E:$ZZ, MATCH(A14, Agri_VA!$C:$C, 0), MATCH(B14, Agri_VA!$E$1:$ZZ$1, 0))</f>
        <v>2.273178564953509</v>
      </c>
      <c r="I14" s="6">
        <f>INDEX('Agri_land '!$E:$ZZ, MATCH(A14, 'Agri_land '!$C:$C, 0), MATCH(B14, 'Agri_land '!$E$1:$ZZ$1, 0))</f>
        <v>50.385431446311642</v>
      </c>
      <c r="J14">
        <f>INDEX(Cereal_Yield!$E:$ZZ, MATCH(A14, Cereal_Yield!$C:$C, 0), MATCH(B14, Cereal_Yield!$E$1:$ZZ$1, 0))</f>
        <v>2231.6</v>
      </c>
    </row>
    <row r="15" spans="1:10" x14ac:dyDescent="0.3">
      <c r="A15" t="s">
        <v>5</v>
      </c>
      <c r="B15" s="4">
        <v>2013</v>
      </c>
      <c r="C15" t="s">
        <v>49</v>
      </c>
      <c r="D15" s="8">
        <f>INDEX(GDP_pc!$E:$ZZ, MATCH(A15, GDP_pc!$C:$C, 0), MATCH(B15, GDP_pc!$E$1:$ZZ$1, 0))</f>
        <v>1583737461925.3928</v>
      </c>
      <c r="E15">
        <f>INDEX(CH4_Em!$E:$ZZ, MATCH(A15, CH4_Em!$C:$C, 0), MATCH(B15, CH4_Em!$E$1:$ZZ$1, 0))</f>
        <v>84.324200000000005</v>
      </c>
      <c r="F15">
        <f>INDEX(N2O_Em!$E:$ZZ, MATCH(A15, N2O_Em!$C:$C, 0), MATCH(B15, N2O_Em!$E$1:$ZZ$1, 0))</f>
        <v>34.679499999999997</v>
      </c>
      <c r="G15">
        <f>INDEX(CO2_Em!$E:$ZZ, MATCH(A15, CO2_Em!$C:$C, 0), MATCH(B15, CO2_Em!$E$1:$ZZ$1, 0))</f>
        <v>2.1692999999999998</v>
      </c>
      <c r="H15">
        <f>INDEX(Agri_VA!$E:$ZZ, MATCH(A15, Agri_VA!$C:$C, 0), MATCH(B15, Agri_VA!$E$1:$ZZ$1, 0))</f>
        <v>2.2907681325216136</v>
      </c>
      <c r="I15" s="6">
        <f>INDEX('Agri_land '!$E:$ZZ, MATCH(A15, 'Agri_land '!$C:$C, 0), MATCH(B15, 'Agri_land '!$E$1:$ZZ$1, 0))</f>
        <v>48.393710216992311</v>
      </c>
      <c r="J15">
        <f>INDEX(Cereal_Yield!$E:$ZZ, MATCH(A15, Cereal_Yield!$C:$C, 0), MATCH(B15, Cereal_Yield!$E$1:$ZZ$1, 0))</f>
        <v>1936.1</v>
      </c>
    </row>
    <row r="16" spans="1:10" x14ac:dyDescent="0.3">
      <c r="A16" t="s">
        <v>5</v>
      </c>
      <c r="B16" s="4">
        <v>2014</v>
      </c>
      <c r="C16" t="s">
        <v>49</v>
      </c>
      <c r="D16" s="8">
        <f>INDEX(GDP_pc!$E:$ZZ, MATCH(A16, GDP_pc!$C:$C, 0), MATCH(B16, GDP_pc!$E$1:$ZZ$1, 0))</f>
        <v>1474677007565.6382</v>
      </c>
      <c r="E16">
        <f>INDEX(CH4_Em!$E:$ZZ, MATCH(A16, CH4_Em!$C:$C, 0), MATCH(B16, CH4_Em!$E$1:$ZZ$1, 0))</f>
        <v>83.241</v>
      </c>
      <c r="F16">
        <f>INDEX(N2O_Em!$E:$ZZ, MATCH(A16, N2O_Em!$C:$C, 0), MATCH(B16, N2O_Em!$E$1:$ZZ$1, 0))</f>
        <v>34.932200000000002</v>
      </c>
      <c r="G16">
        <f>INDEX(CO2_Em!$E:$ZZ, MATCH(A16, CO2_Em!$C:$C, 0), MATCH(B16, CO2_Em!$E$1:$ZZ$1, 0))</f>
        <v>2.3129</v>
      </c>
      <c r="H16">
        <f>INDEX(Agri_VA!$E:$ZZ, MATCH(A16, Agri_VA!$C:$C, 0), MATCH(B16, Agri_VA!$E$1:$ZZ$1, 0))</f>
        <v>2.2269576926596679</v>
      </c>
      <c r="I16" s="6">
        <f>INDEX('Agri_land '!$E:$ZZ, MATCH(A16, 'Agri_land '!$C:$C, 0), MATCH(B16, 'Agri_land '!$E$1:$ZZ$1, 0))</f>
        <v>48.738398656652308</v>
      </c>
      <c r="J16">
        <f>INDEX(Cereal_Yield!$E:$ZZ, MATCH(A16, Cereal_Yield!$C:$C, 0), MATCH(B16, Cereal_Yield!$E$1:$ZZ$1, 0))</f>
        <v>2137.9</v>
      </c>
    </row>
    <row r="17" spans="1:10" x14ac:dyDescent="0.3">
      <c r="A17" t="s">
        <v>5</v>
      </c>
      <c r="B17" s="4">
        <v>2015</v>
      </c>
      <c r="C17" t="s">
        <v>49</v>
      </c>
      <c r="D17" s="8">
        <f>INDEX(GDP_pc!$E:$ZZ, MATCH(A17, GDP_pc!$C:$C, 0), MATCH(B17, GDP_pc!$E$1:$ZZ$1, 0))</f>
        <v>1356805839935.9031</v>
      </c>
      <c r="E17">
        <f>INDEX(CH4_Em!$E:$ZZ, MATCH(A17, CH4_Em!$C:$C, 0), MATCH(B17, CH4_Em!$E$1:$ZZ$1, 0))</f>
        <v>79.659099999999995</v>
      </c>
      <c r="F17">
        <f>INDEX(N2O_Em!$E:$ZZ, MATCH(A17, N2O_Em!$C:$C, 0), MATCH(B17, N2O_Em!$E$1:$ZZ$1, 0))</f>
        <v>33.418900000000001</v>
      </c>
      <c r="G17">
        <f>INDEX(CO2_Em!$E:$ZZ, MATCH(A17, CO2_Em!$C:$C, 0), MATCH(B17, CO2_Em!$E$1:$ZZ$1, 0))</f>
        <v>2.3249</v>
      </c>
      <c r="H17">
        <f>INDEX(Agri_VA!$E:$ZZ, MATCH(A17, Agri_VA!$C:$C, 0), MATCH(B17, Agri_VA!$E$1:$ZZ$1, 0))</f>
        <v>2.3766439148705505</v>
      </c>
      <c r="I17" s="6">
        <f>INDEX('Agri_land '!$E:$ZZ, MATCH(A17, 'Agri_land '!$C:$C, 0), MATCH(B17, 'Agri_land '!$E$1:$ZZ$1, 0))</f>
        <v>45.314424065709488</v>
      </c>
      <c r="J17">
        <f>INDEX(Cereal_Yield!$E:$ZZ, MATCH(A17, Cereal_Yield!$C:$C, 0), MATCH(B17, Cereal_Yield!$E$1:$ZZ$1, 0))</f>
        <v>2027.3</v>
      </c>
    </row>
    <row r="18" spans="1:10" x14ac:dyDescent="0.3">
      <c r="A18" t="s">
        <v>5</v>
      </c>
      <c r="B18" s="4">
        <v>2016</v>
      </c>
      <c r="C18" t="s">
        <v>49</v>
      </c>
      <c r="D18" s="8">
        <f>INDEX(GDP_pc!$E:$ZZ, MATCH(A18, GDP_pc!$C:$C, 0), MATCH(B18, GDP_pc!$E$1:$ZZ$1, 0))</f>
        <v>1211588128417.6074</v>
      </c>
      <c r="E18">
        <f>INDEX(CH4_Em!$E:$ZZ, MATCH(A18, CH4_Em!$C:$C, 0), MATCH(B18, CH4_Em!$E$1:$ZZ$1, 0))</f>
        <v>73.421000000000006</v>
      </c>
      <c r="F18">
        <f>INDEX(N2O_Em!$E:$ZZ, MATCH(A18, N2O_Em!$C:$C, 0), MATCH(B18, N2O_Em!$E$1:$ZZ$1, 0))</f>
        <v>32.610599999999998</v>
      </c>
      <c r="G18">
        <f>INDEX(CO2_Em!$E:$ZZ, MATCH(A18, CO2_Em!$C:$C, 0), MATCH(B18, CO2_Em!$E$1:$ZZ$1, 0))</f>
        <v>2.5426000000000002</v>
      </c>
      <c r="H18">
        <f>INDEX(Agri_VA!$E:$ZZ, MATCH(A18, Agri_VA!$C:$C, 0), MATCH(B18, Agri_VA!$E$1:$ZZ$1, 0))</f>
        <v>2.4130023233025382</v>
      </c>
      <c r="I18" s="6">
        <f>INDEX('Agri_land '!$E:$ZZ, MATCH(A18, 'Agri_land '!$C:$C, 0), MATCH(B18, 'Agri_land '!$E$1:$ZZ$1, 0))</f>
        <v>44.539925793224668</v>
      </c>
      <c r="J18">
        <f>INDEX(Cereal_Yield!$E:$ZZ, MATCH(A18, Cereal_Yield!$C:$C, 0), MATCH(B18, Cereal_Yield!$E$1:$ZZ$1, 0))</f>
        <v>2075.1999999999998</v>
      </c>
    </row>
    <row r="19" spans="1:10" x14ac:dyDescent="0.3">
      <c r="A19" t="s">
        <v>5</v>
      </c>
      <c r="B19" s="4">
        <v>2017</v>
      </c>
      <c r="C19" t="s">
        <v>49</v>
      </c>
      <c r="D19" s="8">
        <f>INDEX(GDP_pc!$E:$ZZ, MATCH(A19, GDP_pc!$C:$C, 0), MATCH(B19, GDP_pc!$E$1:$ZZ$1, 0))</f>
        <v>1330890554614.0916</v>
      </c>
      <c r="E19">
        <f>INDEX(CH4_Em!$E:$ZZ, MATCH(A19, CH4_Em!$C:$C, 0), MATCH(B19, CH4_Em!$E$1:$ZZ$1, 0))</f>
        <v>77.367900000000006</v>
      </c>
      <c r="F19">
        <f>INDEX(N2O_Em!$E:$ZZ, MATCH(A19, N2O_Em!$C:$C, 0), MATCH(B19, N2O_Em!$E$1:$ZZ$1, 0))</f>
        <v>35.837699999999998</v>
      </c>
      <c r="G19">
        <f>INDEX(CO2_Em!$E:$ZZ, MATCH(A19, CO2_Em!$C:$C, 0), MATCH(B19, CO2_Em!$E$1:$ZZ$1, 0))</f>
        <v>2.9498000000000002</v>
      </c>
      <c r="H19">
        <f>INDEX(Agri_VA!$E:$ZZ, MATCH(A19, Agri_VA!$C:$C, 0), MATCH(B19, Agri_VA!$E$1:$ZZ$1, 0))</f>
        <v>2.7209831965106677</v>
      </c>
      <c r="I19" s="6">
        <f>INDEX('Agri_land '!$E:$ZZ, MATCH(A19, 'Agri_land '!$C:$C, 0), MATCH(B19, 'Agri_land '!$E$1:$ZZ$1, 0))</f>
        <v>48.340617939110928</v>
      </c>
      <c r="J19">
        <f>INDEX(Cereal_Yield!$E:$ZZ, MATCH(A19, Cereal_Yield!$C:$C, 0), MATCH(B19, Cereal_Yield!$E$1:$ZZ$1, 0))</f>
        <v>2674.2</v>
      </c>
    </row>
    <row r="20" spans="1:10" x14ac:dyDescent="0.3">
      <c r="A20" t="s">
        <v>5</v>
      </c>
      <c r="B20" s="4">
        <v>2018</v>
      </c>
      <c r="C20" t="s">
        <v>49</v>
      </c>
      <c r="D20" s="8">
        <f>INDEX(GDP_pc!$E:$ZZ, MATCH(A20, GDP_pc!$C:$C, 0), MATCH(B20, GDP_pc!$E$1:$ZZ$1, 0))</f>
        <v>1433144978761.6658</v>
      </c>
      <c r="E20">
        <f>INDEX(CH4_Em!$E:$ZZ, MATCH(A20, CH4_Em!$C:$C, 0), MATCH(B20, CH4_Em!$E$1:$ZZ$1, 0))</f>
        <v>77.230800000000002</v>
      </c>
      <c r="F20">
        <f>INDEX(N2O_Em!$E:$ZZ, MATCH(A20, N2O_Em!$C:$C, 0), MATCH(B20, N2O_Em!$E$1:$ZZ$1, 0))</f>
        <v>32.2639</v>
      </c>
      <c r="G20">
        <f>INDEX(CO2_Em!$E:$ZZ, MATCH(A20, CO2_Em!$C:$C, 0), MATCH(B20, CO2_Em!$E$1:$ZZ$1, 0))</f>
        <v>2.1307</v>
      </c>
      <c r="H20">
        <f>INDEX(Agri_VA!$E:$ZZ, MATCH(A20, Agri_VA!$C:$C, 0), MATCH(B20, Agri_VA!$E$1:$ZZ$1, 0))</f>
        <v>2.4719175263084736</v>
      </c>
      <c r="I20" s="6">
        <f>INDEX('Agri_land '!$E:$ZZ, MATCH(A20, 'Agri_land '!$C:$C, 0), MATCH(B20, 'Agri_land '!$E$1:$ZZ$1, 0))</f>
        <v>46.658095012753478</v>
      </c>
      <c r="J20">
        <f>INDEX(Cereal_Yield!$E:$ZZ, MATCH(A20, Cereal_Yield!$C:$C, 0), MATCH(B20, Cereal_Yield!$E$1:$ZZ$1, 0))</f>
        <v>2035.6</v>
      </c>
    </row>
    <row r="21" spans="1:10" x14ac:dyDescent="0.3">
      <c r="A21" t="s">
        <v>5</v>
      </c>
      <c r="B21" s="4">
        <v>2019</v>
      </c>
      <c r="C21" t="s">
        <v>49</v>
      </c>
      <c r="D21" s="8">
        <f>INDEX(GDP_pc!$E:$ZZ, MATCH(A21, GDP_pc!$C:$C, 0), MATCH(B21, GDP_pc!$E$1:$ZZ$1, 0))</f>
        <v>1398349602956.3535</v>
      </c>
      <c r="E21">
        <f>INDEX(CH4_Em!$E:$ZZ, MATCH(A21, CH4_Em!$C:$C, 0), MATCH(B21, CH4_Em!$E$1:$ZZ$1, 0))</f>
        <v>72.140799999999999</v>
      </c>
      <c r="F21">
        <f>INDEX(N2O_Em!$E:$ZZ, MATCH(A21, N2O_Em!$C:$C, 0), MATCH(B21, N2O_Em!$E$1:$ZZ$1, 0))</f>
        <v>30.947299999999998</v>
      </c>
      <c r="G21">
        <f>INDEX(CO2_Em!$E:$ZZ, MATCH(A21, CO2_Em!$C:$C, 0), MATCH(B21, CO2_Em!$E$1:$ZZ$1, 0))</f>
        <v>2.2755999999999998</v>
      </c>
      <c r="H21">
        <f>INDEX(Agri_VA!$E:$ZZ, MATCH(A21, Agri_VA!$C:$C, 0), MATCH(B21, Agri_VA!$E$1:$ZZ$1, 0))</f>
        <v>2.1242491119766163</v>
      </c>
      <c r="I21" s="6">
        <f>INDEX('Agri_land '!$E:$ZZ, MATCH(A21, 'Agri_land '!$C:$C, 0), MATCH(B21, 'Agri_land '!$E$1:$ZZ$1, 0))</f>
        <v>47.123772429088852</v>
      </c>
      <c r="J21">
        <f>INDEX(Cereal_Yield!$E:$ZZ, MATCH(A21, Cereal_Yield!$C:$C, 0), MATCH(B21, Cereal_Yield!$E$1:$ZZ$1, 0))</f>
        <v>1769</v>
      </c>
    </row>
    <row r="22" spans="1:10" x14ac:dyDescent="0.3">
      <c r="A22" t="s">
        <v>5</v>
      </c>
      <c r="B22" s="4">
        <v>2020</v>
      </c>
      <c r="C22" t="s">
        <v>49</v>
      </c>
      <c r="D22" s="8">
        <f>INDEX(GDP_pc!$E:$ZZ, MATCH(A22, GDP_pc!$C:$C, 0), MATCH(B22, GDP_pc!$E$1:$ZZ$1, 0))</f>
        <v>1333336461648.0901</v>
      </c>
      <c r="E22">
        <f>INDEX(CH4_Em!$E:$ZZ, MATCH(A22, CH4_Em!$C:$C, 0), MATCH(B22, CH4_Em!$E$1:$ZZ$1, 0))</f>
        <v>69.0154</v>
      </c>
      <c r="F22">
        <f>INDEX(N2O_Em!$E:$ZZ, MATCH(A22, N2O_Em!$C:$C, 0), MATCH(B22, N2O_Em!$E$1:$ZZ$1, 0))</f>
        <v>31.194800000000001</v>
      </c>
      <c r="G22">
        <f>INDEX(CO2_Em!$E:$ZZ, MATCH(A22, CO2_Em!$C:$C, 0), MATCH(B22, CO2_Em!$E$1:$ZZ$1, 0))</f>
        <v>2.6642999999999999</v>
      </c>
      <c r="H22">
        <f>INDEX(Agri_VA!$E:$ZZ, MATCH(A22, Agri_VA!$C:$C, 0), MATCH(B22, Agri_VA!$E$1:$ZZ$1, 0))</f>
        <v>2.0151271539653477</v>
      </c>
      <c r="I22" s="6">
        <f>INDEX('Agri_land '!$E:$ZZ, MATCH(A22, 'Agri_land '!$C:$C, 0), MATCH(B22, 'Agri_land '!$E$1:$ZZ$1, 0))</f>
        <v>46.252479842746119</v>
      </c>
      <c r="J22">
        <f>INDEX(Cereal_Yield!$E:$ZZ, MATCH(A22, Cereal_Yield!$C:$C, 0), MATCH(B22, Cereal_Yield!$E$1:$ZZ$1, 0))</f>
        <v>1650.5</v>
      </c>
    </row>
    <row r="23" spans="1:10" x14ac:dyDescent="0.3">
      <c r="A23" t="s">
        <v>5</v>
      </c>
      <c r="B23" s="4">
        <v>2021</v>
      </c>
      <c r="C23" t="s">
        <v>49</v>
      </c>
      <c r="D23" s="8">
        <f>INDEX(GDP_pc!$E:$ZZ, MATCH(A23, GDP_pc!$C:$C, 0), MATCH(B23, GDP_pc!$E$1:$ZZ$1, 0))</f>
        <v>1560617493202.6936</v>
      </c>
      <c r="E23">
        <f>INDEX(CH4_Em!$E:$ZZ, MATCH(A23, CH4_Em!$C:$C, 0), MATCH(B23, CH4_Em!$E$1:$ZZ$1, 0))</f>
        <v>72.594200000000001</v>
      </c>
      <c r="F23">
        <f>INDEX(N2O_Em!$E:$ZZ, MATCH(A23, N2O_Em!$C:$C, 0), MATCH(B23, N2O_Em!$E$1:$ZZ$1, 0))</f>
        <v>35.424999999999997</v>
      </c>
      <c r="G23">
        <f>INDEX(CO2_Em!$E:$ZZ, MATCH(A23, CO2_Em!$C:$C, 0), MATCH(B23, CO2_Em!$E$1:$ZZ$1, 0))</f>
        <v>3.2538999999999998</v>
      </c>
      <c r="H23">
        <f>INDEX(Agri_VA!$E:$ZZ, MATCH(A23, Agri_VA!$C:$C, 0), MATCH(B23, Agri_VA!$E$1:$ZZ$1, 0))</f>
        <v>2.3053787548008797</v>
      </c>
      <c r="I23" s="6">
        <f>INDEX('Agri_land '!$E:$ZZ, MATCH(A23, 'Agri_land '!$C:$C, 0), MATCH(B23, 'Agri_land '!$E$1:$ZZ$1, 0))</f>
        <v>47.259237495482331</v>
      </c>
      <c r="J23">
        <f>INDEX(Cereal_Yield!$E:$ZZ, MATCH(A23, Cereal_Yield!$C:$C, 0), MATCH(B23, Cereal_Yield!$E$1:$ZZ$1, 0))</f>
        <v>2547.9</v>
      </c>
    </row>
    <row r="24" spans="1:10" x14ac:dyDescent="0.3">
      <c r="A24" t="s">
        <v>5</v>
      </c>
      <c r="B24" s="4">
        <v>2022</v>
      </c>
      <c r="C24" t="s">
        <v>49</v>
      </c>
      <c r="D24" s="8">
        <f>INDEX(GDP_pc!$E:$ZZ, MATCH(A24, GDP_pc!$C:$C, 0), MATCH(B24, GDP_pc!$E$1:$ZZ$1, 0))</f>
        <v>1695627535475.8005</v>
      </c>
      <c r="E24">
        <f>INDEX(CH4_Em!$E:$ZZ, MATCH(A24, CH4_Em!$C:$C, 0), MATCH(B24, CH4_Em!$E$1:$ZZ$1, 0))</f>
        <v>73.042900000000003</v>
      </c>
      <c r="F24">
        <f>INDEX(N2O_Em!$E:$ZZ, MATCH(A24, N2O_Em!$C:$C, 0), MATCH(B24, N2O_Em!$E$1:$ZZ$1, 0))</f>
        <v>34.652000000000001</v>
      </c>
      <c r="G24">
        <f>INDEX(CO2_Em!$E:$ZZ, MATCH(A24, CO2_Em!$C:$C, 0), MATCH(B24, CO2_Em!$E$1:$ZZ$1, 0))</f>
        <v>2.8626999999999998</v>
      </c>
      <c r="H24">
        <f>INDEX(Agri_VA!$E:$ZZ, MATCH(A24, Agri_VA!$C:$C, 0), MATCH(B24, Agri_VA!$E$1:$ZZ$1, 0))</f>
        <v>2.6724269995061838</v>
      </c>
      <c r="I24" s="6">
        <f>INDEX('Agri_land '!$E:$ZZ, MATCH(A24, 'Agri_land '!$C:$C, 0), MATCH(B24, 'Agri_land '!$E$1:$ZZ$1, 0))</f>
        <v>47.259237495482331</v>
      </c>
      <c r="J24">
        <f>INDEX(Cereal_Yield!$E:$ZZ, MATCH(A24, Cereal_Yield!$C:$C, 0), MATCH(B24, Cereal_Yield!$E$1:$ZZ$1, 0))</f>
        <v>2880.6</v>
      </c>
    </row>
    <row r="25" spans="1:10" x14ac:dyDescent="0.3">
      <c r="A25" t="s">
        <v>5</v>
      </c>
      <c r="B25" s="4">
        <v>2023</v>
      </c>
      <c r="C25" t="s">
        <v>49</v>
      </c>
      <c r="D25" s="8">
        <f>INDEX(GDP_pc!$E:$ZZ, MATCH(A25, GDP_pc!$C:$C, 0), MATCH(B25, GDP_pc!$E$1:$ZZ$1, 0))</f>
        <v>1734451264655.6016</v>
      </c>
      <c r="E25">
        <f>INDEX(CH4_Em!$E:$ZZ, MATCH(A25, CH4_Em!$C:$C, 0), MATCH(B25, CH4_Em!$E$1:$ZZ$1, 0))</f>
        <v>84.628100000000003</v>
      </c>
      <c r="F25">
        <f>INDEX(N2O_Em!$E:$ZZ, MATCH(A25, N2O_Em!$C:$C, 0), MATCH(B25, N2O_Em!$E$1:$ZZ$1, 0))</f>
        <v>37.945</v>
      </c>
      <c r="G25">
        <f>INDEX(CO2_Em!$E:$ZZ, MATCH(A25, CO2_Em!$C:$C, 0), MATCH(B25, CO2_Em!$E$1:$ZZ$1, 0))</f>
        <v>2.8102999999999998</v>
      </c>
      <c r="H25">
        <f>INDEX(Agri_VA!$E:$ZZ, MATCH(A25, Agri_VA!$C:$C, 0), MATCH(B25, Agri_VA!$E$1:$ZZ$1, 0))</f>
        <v>2.5716983189452285</v>
      </c>
      <c r="I25" s="6">
        <f>INDEX('Agri_land '!$E:$ZZ, MATCH(A25, 'Agri_land '!$C:$C, 0), MATCH(B25, 'Agri_land '!$E$1:$ZZ$1, 0))</f>
        <v>47.22344432281767</v>
      </c>
      <c r="J25">
        <f>INDEX(Cereal_Yield!$E:$ZZ, MATCH(A25, Cereal_Yield!$C:$C, 0), MATCH(B25, Cereal_Yield!$E$1:$ZZ$1, 0))</f>
        <v>3230.7</v>
      </c>
    </row>
    <row r="26" spans="1:10" x14ac:dyDescent="0.3">
      <c r="A26" t="s">
        <v>6</v>
      </c>
      <c r="B26" s="4">
        <v>2000</v>
      </c>
      <c r="C26" t="s">
        <v>49</v>
      </c>
      <c r="D26" s="8">
        <f>INDEX(GDP_pc!$E:$ZZ, MATCH(A26, GDP_pc!$C:$C, 0), MATCH(B26, GDP_pc!$E$1:$ZZ$1, 0))</f>
        <v>196181599831.28668</v>
      </c>
      <c r="E26">
        <f>INDEX(CH4_Em!$E:$ZZ, MATCH(A26, CH4_Em!$C:$C, 0), MATCH(B26, CH4_Em!$E$1:$ZZ$1, 0))</f>
        <v>5.7815000000000003</v>
      </c>
      <c r="F26">
        <f>INDEX(N2O_Em!$E:$ZZ, MATCH(A26, N2O_Em!$C:$C, 0), MATCH(B26, N2O_Em!$E$1:$ZZ$1, 0))</f>
        <v>2.1861999999999999</v>
      </c>
      <c r="G26">
        <f>INDEX(CO2_Em!$E:$ZZ, MATCH(A26, CO2_Em!$C:$C, 0), MATCH(B26, CO2_Em!$E$1:$ZZ$1, 0))</f>
        <v>1.2E-2</v>
      </c>
      <c r="H26">
        <f>INDEX(Agri_VA!$E:$ZZ, MATCH(A26, Agri_VA!$C:$C, 0), MATCH(B26, Agri_VA!$E$1:$ZZ$1, 0))</f>
        <v>1.6708960115050921</v>
      </c>
      <c r="I26" s="6">
        <f>INDEX('Agri_land '!$E:$ZZ, MATCH(A26, 'Agri_land '!$C:$C, 0), MATCH(B26, 'Agri_land '!$E$1:$ZZ$1, 0))</f>
        <v>35.630150266602037</v>
      </c>
      <c r="J26">
        <f>INDEX(Cereal_Yield!$E:$ZZ, MATCH(A26, Cereal_Yield!$C:$C, 0), MATCH(B26, Cereal_Yield!$E$1:$ZZ$1, 0))</f>
        <v>5403.9</v>
      </c>
    </row>
    <row r="27" spans="1:10" x14ac:dyDescent="0.3">
      <c r="A27" t="s">
        <v>6</v>
      </c>
      <c r="B27" s="4">
        <v>2001</v>
      </c>
      <c r="C27" t="s">
        <v>49</v>
      </c>
      <c r="D27" s="8">
        <f>INDEX(GDP_pc!$E:$ZZ, MATCH(A27, GDP_pc!$C:$C, 0), MATCH(B27, GDP_pc!$E$1:$ZZ$1, 0))</f>
        <v>196477206829.33017</v>
      </c>
      <c r="E27">
        <f>INDEX(CH4_Em!$E:$ZZ, MATCH(A27, CH4_Em!$C:$C, 0), MATCH(B27, CH4_Em!$E$1:$ZZ$1, 0))</f>
        <v>5.7874999999999996</v>
      </c>
      <c r="F27">
        <f>INDEX(N2O_Em!$E:$ZZ, MATCH(A27, N2O_Em!$C:$C, 0), MATCH(B27, N2O_Em!$E$1:$ZZ$1, 0))</f>
        <v>2.1918000000000002</v>
      </c>
      <c r="G27">
        <f>INDEX(CO2_Em!$E:$ZZ, MATCH(A27, CO2_Em!$C:$C, 0), MATCH(B27, CO2_Em!$E$1:$ZZ$1, 0))</f>
        <v>1.2E-2</v>
      </c>
      <c r="H27">
        <f>INDEX(Agri_VA!$E:$ZZ, MATCH(A27, Agri_VA!$C:$C, 0), MATCH(B27, Agri_VA!$E$1:$ZZ$1, 0))</f>
        <v>1.7082552734698775</v>
      </c>
      <c r="I27" s="6">
        <f>INDEX('Agri_land '!$E:$ZZ, MATCH(A27, 'Agri_land '!$C:$C, 0), MATCH(B27, 'Agri_land '!$E$1:$ZZ$1, 0))</f>
        <v>35.338099854580705</v>
      </c>
      <c r="J27">
        <f>INDEX(Cereal_Yield!$E:$ZZ, MATCH(A27, Cereal_Yield!$C:$C, 0), MATCH(B27, Cereal_Yield!$E$1:$ZZ$1, 0))</f>
        <v>5856.2</v>
      </c>
    </row>
    <row r="28" spans="1:10" x14ac:dyDescent="0.3">
      <c r="A28" t="s">
        <v>6</v>
      </c>
      <c r="B28" s="4">
        <v>2002</v>
      </c>
      <c r="C28" t="s">
        <v>49</v>
      </c>
      <c r="D28" s="8">
        <f>INDEX(GDP_pc!$E:$ZZ, MATCH(A28, GDP_pc!$C:$C, 0), MATCH(B28, GDP_pc!$E$1:$ZZ$1, 0))</f>
        <v>212837224022.81332</v>
      </c>
      <c r="E28">
        <f>INDEX(CH4_Em!$E:$ZZ, MATCH(A28, CH4_Em!$C:$C, 0), MATCH(B28, CH4_Em!$E$1:$ZZ$1, 0))</f>
        <v>5.7419000000000002</v>
      </c>
      <c r="F28">
        <f>INDEX(N2O_Em!$E:$ZZ, MATCH(A28, N2O_Em!$C:$C, 0), MATCH(B28, N2O_Em!$E$1:$ZZ$1, 0))</f>
        <v>2.101</v>
      </c>
      <c r="G28">
        <f>INDEX(CO2_Em!$E:$ZZ, MATCH(A28, CO2_Em!$C:$C, 0), MATCH(B28, CO2_Em!$E$1:$ZZ$1, 0))</f>
        <v>1.2E-2</v>
      </c>
      <c r="H28">
        <f>INDEX(Agri_VA!$E:$ZZ, MATCH(A28, Agri_VA!$C:$C, 0), MATCH(B28, Agri_VA!$E$1:$ZZ$1, 0))</f>
        <v>1.5922342629838409</v>
      </c>
      <c r="I28" s="6">
        <f>INDEX('Agri_land '!$E:$ZZ, MATCH(A28, 'Agri_land '!$C:$C, 0), MATCH(B28, 'Agri_land '!$E$1:$ZZ$1, 0))</f>
        <v>35.169655841008243</v>
      </c>
      <c r="J28">
        <f>INDEX(Cereal_Yield!$E:$ZZ, MATCH(A28, Cereal_Yield!$C:$C, 0), MATCH(B28, Cereal_Yield!$E$1:$ZZ$1, 0))</f>
        <v>5831</v>
      </c>
    </row>
    <row r="29" spans="1:10" x14ac:dyDescent="0.3">
      <c r="A29" t="s">
        <v>6</v>
      </c>
      <c r="B29" s="4">
        <v>2003</v>
      </c>
      <c r="C29" t="s">
        <v>49</v>
      </c>
      <c r="D29" s="8">
        <f>INDEX(GDP_pc!$E:$ZZ, MATCH(A29, GDP_pc!$C:$C, 0), MATCH(B29, GDP_pc!$E$1:$ZZ$1, 0))</f>
        <v>260779834340.09671</v>
      </c>
      <c r="E29">
        <f>INDEX(CH4_Em!$E:$ZZ, MATCH(A29, CH4_Em!$C:$C, 0), MATCH(B29, CH4_Em!$E$1:$ZZ$1, 0))</f>
        <v>5.5892999999999997</v>
      </c>
      <c r="F29">
        <f>INDEX(N2O_Em!$E:$ZZ, MATCH(A29, N2O_Em!$C:$C, 0), MATCH(B29, N2O_Em!$E$1:$ZZ$1, 0))</f>
        <v>2.0253999999999999</v>
      </c>
      <c r="G29">
        <f>INDEX(CO2_Em!$E:$ZZ, MATCH(A29, CO2_Em!$C:$C, 0), MATCH(B29, CO2_Em!$E$1:$ZZ$1, 0))</f>
        <v>1.6199999999999999E-2</v>
      </c>
      <c r="H29">
        <f>INDEX(Agri_VA!$E:$ZZ, MATCH(A29, Agri_VA!$C:$C, 0), MATCH(B29, Agri_VA!$E$1:$ZZ$1, 0))</f>
        <v>1.486930755901904</v>
      </c>
      <c r="I29" s="6">
        <f>INDEX('Agri_land '!$E:$ZZ, MATCH(A29, 'Agri_land '!$C:$C, 0), MATCH(B29, 'Agri_land '!$E$1:$ZZ$1, 0))</f>
        <v>34.964008725157534</v>
      </c>
      <c r="J29">
        <f>INDEX(Cereal_Yield!$E:$ZZ, MATCH(A29, Cereal_Yield!$C:$C, 0), MATCH(B29, Cereal_Yield!$E$1:$ZZ$1, 0))</f>
        <v>5255.4</v>
      </c>
    </row>
    <row r="30" spans="1:10" x14ac:dyDescent="0.3">
      <c r="A30" t="s">
        <v>6</v>
      </c>
      <c r="B30" s="4">
        <v>2004</v>
      </c>
      <c r="C30" t="s">
        <v>49</v>
      </c>
      <c r="D30" s="8">
        <f>INDEX(GDP_pc!$E:$ZZ, MATCH(A30, GDP_pc!$C:$C, 0), MATCH(B30, GDP_pc!$E$1:$ZZ$1, 0))</f>
        <v>299210411454.82281</v>
      </c>
      <c r="E30">
        <f>INDEX(CH4_Em!$E:$ZZ, MATCH(A30, CH4_Em!$C:$C, 0), MATCH(B30, CH4_Em!$E$1:$ZZ$1, 0))</f>
        <v>5.5171999999999999</v>
      </c>
      <c r="F30">
        <f>INDEX(N2O_Em!$E:$ZZ, MATCH(A30, N2O_Em!$C:$C, 0), MATCH(B30, N2O_Em!$E$1:$ZZ$1, 0))</f>
        <v>2.0508000000000002</v>
      </c>
      <c r="G30">
        <f>INDEX(CO2_Em!$E:$ZZ, MATCH(A30, CO2_Em!$C:$C, 0), MATCH(B30, CO2_Em!$E$1:$ZZ$1, 0))</f>
        <v>2.2499999999999999E-2</v>
      </c>
      <c r="H30">
        <f>INDEX(Agri_VA!$E:$ZZ, MATCH(A30, Agri_VA!$C:$C, 0), MATCH(B30, Agri_VA!$E$1:$ZZ$1, 0))</f>
        <v>1.4931762753994029</v>
      </c>
      <c r="I30" s="6">
        <f>INDEX('Agri_land '!$E:$ZZ, MATCH(A30, 'Agri_land '!$C:$C, 0), MATCH(B30, 'Agri_land '!$E$1:$ZZ$1, 0))</f>
        <v>34.747939893359188</v>
      </c>
      <c r="J30">
        <f>INDEX(Cereal_Yield!$E:$ZZ, MATCH(A30, Cereal_Yield!$C:$C, 0), MATCH(B30, Cereal_Yield!$E$1:$ZZ$1, 0))</f>
        <v>6495.5</v>
      </c>
    </row>
    <row r="31" spans="1:10" x14ac:dyDescent="0.3">
      <c r="A31" t="s">
        <v>6</v>
      </c>
      <c r="B31" s="4">
        <v>2005</v>
      </c>
      <c r="C31" t="s">
        <v>49</v>
      </c>
      <c r="D31" s="8">
        <f>INDEX(GDP_pc!$E:$ZZ, MATCH(A31, GDP_pc!$C:$C, 0), MATCH(B31, GDP_pc!$E$1:$ZZ$1, 0))</f>
        <v>313952317330.77649</v>
      </c>
      <c r="E31">
        <f>INDEX(CH4_Em!$E:$ZZ, MATCH(A31, CH4_Em!$C:$C, 0), MATCH(B31, CH4_Em!$E$1:$ZZ$1, 0))</f>
        <v>5.4</v>
      </c>
      <c r="F31">
        <f>INDEX(N2O_Em!$E:$ZZ, MATCH(A31, N2O_Em!$C:$C, 0), MATCH(B31, N2O_Em!$E$1:$ZZ$1, 0))</f>
        <v>2.0501999999999998</v>
      </c>
      <c r="G31">
        <f>INDEX(CO2_Em!$E:$ZZ, MATCH(A31, CO2_Em!$C:$C, 0), MATCH(B31, CO2_Em!$E$1:$ZZ$1, 0))</f>
        <v>1.44E-2</v>
      </c>
      <c r="H31">
        <f>INDEX(Agri_VA!$E:$ZZ, MATCH(A31, Agri_VA!$C:$C, 0), MATCH(B31, Agri_VA!$E$1:$ZZ$1, 0))</f>
        <v>1.2823949829425367</v>
      </c>
      <c r="I31" s="6">
        <f>INDEX('Agri_land '!$E:$ZZ, MATCH(A31, 'Agri_land '!$C:$C, 0), MATCH(B31, 'Agri_land '!$E$1:$ZZ$1, 0))</f>
        <v>34.619486185167233</v>
      </c>
      <c r="J31">
        <f>INDEX(Cereal_Yield!$E:$ZZ, MATCH(A31, Cereal_Yield!$C:$C, 0), MATCH(B31, Cereal_Yield!$E$1:$ZZ$1, 0))</f>
        <v>6133.1</v>
      </c>
    </row>
    <row r="32" spans="1:10" x14ac:dyDescent="0.3">
      <c r="A32" t="s">
        <v>6</v>
      </c>
      <c r="B32" s="4">
        <v>2006</v>
      </c>
      <c r="C32" t="s">
        <v>49</v>
      </c>
      <c r="D32" s="8">
        <f>INDEX(GDP_pc!$E:$ZZ, MATCH(A32, GDP_pc!$C:$C, 0), MATCH(B32, GDP_pc!$E$1:$ZZ$1, 0))</f>
        <v>333905979332.48071</v>
      </c>
      <c r="E32">
        <f>INDEX(CH4_Em!$E:$ZZ, MATCH(A32, CH4_Em!$C:$C, 0), MATCH(B32, CH4_Em!$E$1:$ZZ$1, 0))</f>
        <v>5.4203999999999999</v>
      </c>
      <c r="F32">
        <f>INDEX(N2O_Em!$E:$ZZ, MATCH(A32, N2O_Em!$C:$C, 0), MATCH(B32, N2O_Em!$E$1:$ZZ$1, 0))</f>
        <v>2.0363000000000002</v>
      </c>
      <c r="G32">
        <f>INDEX(CO2_Em!$E:$ZZ, MATCH(A32, CO2_Em!$C:$C, 0), MATCH(B32, CO2_Em!$E$1:$ZZ$1, 0))</f>
        <v>3.5299999999999998E-2</v>
      </c>
      <c r="H32">
        <f>INDEX(Agri_VA!$E:$ZZ, MATCH(A32, Agri_VA!$C:$C, 0), MATCH(B32, Agri_VA!$E$1:$ZZ$1, 0))</f>
        <v>1.3275179680062377</v>
      </c>
      <c r="I32" s="6">
        <f>INDEX('Agri_land '!$E:$ZZ, MATCH(A32, 'Agri_land '!$C:$C, 0), MATCH(B32, 'Agri_land '!$E$1:$ZZ$1, 0))</f>
        <v>34.455889481337856</v>
      </c>
      <c r="J32">
        <f>INDEX(Cereal_Yield!$E:$ZZ, MATCH(A32, Cereal_Yield!$C:$C, 0), MATCH(B32, Cereal_Yield!$E$1:$ZZ$1, 0))</f>
        <v>5721.8</v>
      </c>
    </row>
    <row r="33" spans="1:10" x14ac:dyDescent="0.3">
      <c r="A33" t="s">
        <v>6</v>
      </c>
      <c r="B33" s="4">
        <v>2007</v>
      </c>
      <c r="C33" t="s">
        <v>49</v>
      </c>
      <c r="D33" s="8">
        <f>INDEX(GDP_pc!$E:$ZZ, MATCH(A33, GDP_pc!$C:$C, 0), MATCH(B33, GDP_pc!$E$1:$ZZ$1, 0))</f>
        <v>386760177589.49652</v>
      </c>
      <c r="E33">
        <f>INDEX(CH4_Em!$E:$ZZ, MATCH(A33, CH4_Em!$C:$C, 0), MATCH(B33, CH4_Em!$E$1:$ZZ$1, 0))</f>
        <v>5.3954000000000004</v>
      </c>
      <c r="F33">
        <f>INDEX(N2O_Em!$E:$ZZ, MATCH(A33, N2O_Em!$C:$C, 0), MATCH(B33, N2O_Em!$E$1:$ZZ$1, 0))</f>
        <v>2.0354000000000001</v>
      </c>
      <c r="G33">
        <f>INDEX(CO2_Em!$E:$ZZ, MATCH(A33, CO2_Em!$C:$C, 0), MATCH(B33, CO2_Em!$E$1:$ZZ$1, 0))</f>
        <v>5.3999999999999999E-2</v>
      </c>
      <c r="H33">
        <f>INDEX(Agri_VA!$E:$ZZ, MATCH(A33, Agri_VA!$C:$C, 0), MATCH(B33, Agri_VA!$E$1:$ZZ$1, 0))</f>
        <v>1.4619634033560616</v>
      </c>
      <c r="I33" s="6">
        <f>INDEX('Agri_land '!$E:$ZZ, MATCH(A33, 'Agri_land '!$C:$C, 0), MATCH(B33, 'Agri_land '!$E$1:$ZZ$1, 0))</f>
        <v>34.295928259815803</v>
      </c>
      <c r="J33">
        <f>INDEX(Cereal_Yield!$E:$ZZ, MATCH(A33, Cereal_Yield!$C:$C, 0), MATCH(B33, Cereal_Yield!$E$1:$ZZ$1, 0))</f>
        <v>5844.1</v>
      </c>
    </row>
    <row r="34" spans="1:10" x14ac:dyDescent="0.3">
      <c r="A34" t="s">
        <v>6</v>
      </c>
      <c r="B34" s="4">
        <v>2008</v>
      </c>
      <c r="C34" t="s">
        <v>49</v>
      </c>
      <c r="D34" s="8">
        <f>INDEX(GDP_pc!$E:$ZZ, MATCH(A34, GDP_pc!$C:$C, 0), MATCH(B34, GDP_pc!$E$1:$ZZ$1, 0))</f>
        <v>429234399096.17255</v>
      </c>
      <c r="E34">
        <f>INDEX(CH4_Em!$E:$ZZ, MATCH(A34, CH4_Em!$C:$C, 0), MATCH(B34, CH4_Em!$E$1:$ZZ$1, 0))</f>
        <v>5.4458000000000002</v>
      </c>
      <c r="F34">
        <f>INDEX(N2O_Em!$E:$ZZ, MATCH(A34, N2O_Em!$C:$C, 0), MATCH(B34, N2O_Em!$E$1:$ZZ$1, 0))</f>
        <v>1.9961</v>
      </c>
      <c r="G34">
        <f>INDEX(CO2_Em!$E:$ZZ, MATCH(A34, CO2_Em!$C:$C, 0), MATCH(B34, CO2_Em!$E$1:$ZZ$1, 0))</f>
        <v>3.3000000000000002E-2</v>
      </c>
      <c r="H34">
        <f>INDEX(Agri_VA!$E:$ZZ, MATCH(A34, Agri_VA!$C:$C, 0), MATCH(B34, Agri_VA!$E$1:$ZZ$1, 0))</f>
        <v>1.3850411478541662</v>
      </c>
      <c r="I34" s="6">
        <f>INDEX('Agri_land '!$E:$ZZ, MATCH(A34, 'Agri_land '!$C:$C, 0), MATCH(B34, 'Agri_land '!$E$1:$ZZ$1, 0))</f>
        <v>34.045079980610758</v>
      </c>
      <c r="J34">
        <f>INDEX(Cereal_Yield!$E:$ZZ, MATCH(A34, Cereal_Yield!$C:$C, 0), MATCH(B34, Cereal_Yield!$E$1:$ZZ$1, 0))</f>
        <v>6807.3</v>
      </c>
    </row>
    <row r="35" spans="1:10" x14ac:dyDescent="0.3">
      <c r="A35" t="s">
        <v>6</v>
      </c>
      <c r="B35" s="4">
        <v>2009</v>
      </c>
      <c r="C35" t="s">
        <v>49</v>
      </c>
      <c r="D35" s="8">
        <f>INDEX(GDP_pc!$E:$ZZ, MATCH(A35, GDP_pc!$C:$C, 0), MATCH(B35, GDP_pc!$E$1:$ZZ$1, 0))</f>
        <v>399290118782.42865</v>
      </c>
      <c r="E35">
        <f>INDEX(CH4_Em!$E:$ZZ, MATCH(A35, CH4_Em!$C:$C, 0), MATCH(B35, CH4_Em!$E$1:$ZZ$1, 0))</f>
        <v>5.4313000000000002</v>
      </c>
      <c r="F35">
        <f>INDEX(N2O_Em!$E:$ZZ, MATCH(A35, N2O_Em!$C:$C, 0), MATCH(B35, N2O_Em!$E$1:$ZZ$1, 0))</f>
        <v>1.9773000000000001</v>
      </c>
      <c r="G35">
        <f>INDEX(CO2_Em!$E:$ZZ, MATCH(A35, CO2_Em!$C:$C, 0), MATCH(B35, CO2_Em!$E$1:$ZZ$1, 0))</f>
        <v>4.0899999999999999E-2</v>
      </c>
      <c r="H35">
        <f>INDEX(Agri_VA!$E:$ZZ, MATCH(A35, Agri_VA!$C:$C, 0), MATCH(B35, Agri_VA!$E$1:$ZZ$1, 0))</f>
        <v>1.1765530636883335</v>
      </c>
      <c r="I35" s="6">
        <f>INDEX('Agri_land '!$E:$ZZ, MATCH(A35, 'Agri_land '!$C:$C, 0), MATCH(B35, 'Agri_land '!$E$1:$ZZ$1, 0))</f>
        <v>33.870576829859431</v>
      </c>
      <c r="J35">
        <f>INDEX(Cereal_Yield!$E:$ZZ, MATCH(A35, Cereal_Yield!$C:$C, 0), MATCH(B35, Cereal_Yield!$E$1:$ZZ$1, 0))</f>
        <v>6149.5</v>
      </c>
    </row>
    <row r="36" spans="1:10" x14ac:dyDescent="0.3">
      <c r="A36" t="s">
        <v>6</v>
      </c>
      <c r="B36" s="4">
        <v>2010</v>
      </c>
      <c r="C36" t="s">
        <v>49</v>
      </c>
      <c r="D36" s="8">
        <f>INDEX(GDP_pc!$E:$ZZ, MATCH(A36, GDP_pc!$C:$C, 0), MATCH(B36, GDP_pc!$E$1:$ZZ$1, 0))</f>
        <v>389827789217.63409</v>
      </c>
      <c r="E36">
        <f>INDEX(CH4_Em!$E:$ZZ, MATCH(A36, CH4_Em!$C:$C, 0), MATCH(B36, CH4_Em!$E$1:$ZZ$1, 0))</f>
        <v>5.5450999999999997</v>
      </c>
      <c r="F36">
        <f>INDEX(N2O_Em!$E:$ZZ, MATCH(A36, N2O_Em!$C:$C, 0), MATCH(B36, N2O_Em!$E$1:$ZZ$1, 0))</f>
        <v>2.0720000000000001</v>
      </c>
      <c r="G36">
        <f>INDEX(CO2_Em!$E:$ZZ, MATCH(A36, CO2_Em!$C:$C, 0), MATCH(B36, CO2_Em!$E$1:$ZZ$1, 0))</f>
        <v>3.1399999999999997E-2</v>
      </c>
      <c r="H36">
        <f>INDEX(Agri_VA!$E:$ZZ, MATCH(A36, Agri_VA!$C:$C, 0), MATCH(B36, Agri_VA!$E$1:$ZZ$1, 0))</f>
        <v>1.2928859599085472</v>
      </c>
      <c r="I36" s="6">
        <f>INDEX('Agri_land '!$E:$ZZ, MATCH(A36, 'Agri_land '!$C:$C, 0), MATCH(B36, 'Agri_land '!$E$1:$ZZ$1, 0))</f>
        <v>33.679108095007273</v>
      </c>
      <c r="J36">
        <f>INDEX(Cereal_Yield!$E:$ZZ, MATCH(A36, Cereal_Yield!$C:$C, 0), MATCH(B36, Cereal_Yield!$E$1:$ZZ$1, 0))</f>
        <v>5903.1</v>
      </c>
    </row>
    <row r="37" spans="1:10" x14ac:dyDescent="0.3">
      <c r="A37" t="s">
        <v>6</v>
      </c>
      <c r="B37" s="4">
        <v>2011</v>
      </c>
      <c r="C37" t="s">
        <v>49</v>
      </c>
      <c r="D37" s="8">
        <f>INDEX(GDP_pc!$E:$ZZ, MATCH(A37, GDP_pc!$C:$C, 0), MATCH(B37, GDP_pc!$E$1:$ZZ$1, 0))</f>
        <v>428954737064.05725</v>
      </c>
      <c r="E37">
        <f>INDEX(CH4_Em!$E:$ZZ, MATCH(A37, CH4_Em!$C:$C, 0), MATCH(B37, CH4_Em!$E$1:$ZZ$1, 0))</f>
        <v>5.5542999999999996</v>
      </c>
      <c r="F37">
        <f>INDEX(N2O_Em!$E:$ZZ, MATCH(A37, N2O_Em!$C:$C, 0), MATCH(B37, N2O_Em!$E$1:$ZZ$1, 0))</f>
        <v>2.0905999999999998</v>
      </c>
      <c r="G37">
        <f>INDEX(CO2_Em!$E:$ZZ, MATCH(A37, CO2_Em!$C:$C, 0), MATCH(B37, CO2_Em!$E$1:$ZZ$1, 0))</f>
        <v>2.7799999999999998E-2</v>
      </c>
      <c r="H37">
        <f>INDEX(Agri_VA!$E:$ZZ, MATCH(A37, Agri_VA!$C:$C, 0), MATCH(B37, Agri_VA!$E$1:$ZZ$1, 0))</f>
        <v>1.4613064807108107</v>
      </c>
      <c r="I37" s="6">
        <f>INDEX('Agri_land '!$E:$ZZ, MATCH(A37, 'Agri_land '!$C:$C, 0), MATCH(B37, 'Agri_land '!$E$1:$ZZ$1, 0))</f>
        <v>33.413717886572954</v>
      </c>
      <c r="J37">
        <f>INDEX(Cereal_Yield!$E:$ZZ, MATCH(A37, Cereal_Yield!$C:$C, 0), MATCH(B37, Cereal_Yield!$E$1:$ZZ$1, 0))</f>
        <v>7056.7</v>
      </c>
    </row>
    <row r="38" spans="1:10" x14ac:dyDescent="0.3">
      <c r="A38" t="s">
        <v>6</v>
      </c>
      <c r="B38" s="4">
        <v>2012</v>
      </c>
      <c r="C38" t="s">
        <v>49</v>
      </c>
      <c r="D38" s="8">
        <f>INDEX(GDP_pc!$E:$ZZ, MATCH(A38, GDP_pc!$C:$C, 0), MATCH(B38, GDP_pc!$E$1:$ZZ$1, 0))</f>
        <v>406750487603.5899</v>
      </c>
      <c r="E38">
        <f>INDEX(CH4_Em!$E:$ZZ, MATCH(A38, CH4_Em!$C:$C, 0), MATCH(B38, CH4_Em!$E$1:$ZZ$1, 0))</f>
        <v>5.4710000000000001</v>
      </c>
      <c r="F38">
        <f>INDEX(N2O_Em!$E:$ZZ, MATCH(A38, N2O_Em!$C:$C, 0), MATCH(B38, N2O_Em!$E$1:$ZZ$1, 0))</f>
        <v>2.0291000000000001</v>
      </c>
      <c r="G38">
        <f>INDEX(CO2_Em!$E:$ZZ, MATCH(A38, CO2_Em!$C:$C, 0), MATCH(B38, CO2_Em!$E$1:$ZZ$1, 0))</f>
        <v>4.19E-2</v>
      </c>
      <c r="H38">
        <f>INDEX(Agri_VA!$E:$ZZ, MATCH(A38, Agri_VA!$C:$C, 0), MATCH(B38, Agri_VA!$E$1:$ZZ$1, 0))</f>
        <v>1.4176813431630579</v>
      </c>
      <c r="I38" s="6">
        <f>INDEX('Agri_land '!$E:$ZZ, MATCH(A38, 'Agri_land '!$C:$C, 0), MATCH(B38, 'Agri_land '!$E$1:$ZZ$1, 0))</f>
        <v>33.145904023267086</v>
      </c>
      <c r="J38">
        <f>INDEX(Cereal_Yield!$E:$ZZ, MATCH(A38, Cereal_Yield!$C:$C, 0), MATCH(B38, Cereal_Yield!$E$1:$ZZ$1, 0))</f>
        <v>6002.9</v>
      </c>
    </row>
    <row r="39" spans="1:10" x14ac:dyDescent="0.3">
      <c r="A39" t="s">
        <v>6</v>
      </c>
      <c r="B39" s="4">
        <v>2013</v>
      </c>
      <c r="C39" t="s">
        <v>49</v>
      </c>
      <c r="D39" s="8">
        <f>INDEX(GDP_pc!$E:$ZZ, MATCH(A39, GDP_pc!$C:$C, 0), MATCH(B39, GDP_pc!$E$1:$ZZ$1, 0))</f>
        <v>426580502769.4165</v>
      </c>
      <c r="E39">
        <f>INDEX(CH4_Em!$E:$ZZ, MATCH(A39, CH4_Em!$C:$C, 0), MATCH(B39, CH4_Em!$E$1:$ZZ$1, 0))</f>
        <v>5.4508999999999999</v>
      </c>
      <c r="F39">
        <f>INDEX(N2O_Em!$E:$ZZ, MATCH(A39, N2O_Em!$C:$C, 0), MATCH(B39, N2O_Em!$E$1:$ZZ$1, 0))</f>
        <v>2.0629</v>
      </c>
      <c r="G39">
        <f>INDEX(CO2_Em!$E:$ZZ, MATCH(A39, CO2_Em!$C:$C, 0), MATCH(B39, CO2_Em!$E$1:$ZZ$1, 0))</f>
        <v>6.0299999999999999E-2</v>
      </c>
      <c r="H39">
        <f>INDEX(Agri_VA!$E:$ZZ, MATCH(A39, Agri_VA!$C:$C, 0), MATCH(B39, Agri_VA!$E$1:$ZZ$1, 0))</f>
        <v>1.2778499210887166</v>
      </c>
      <c r="I39" s="6">
        <f>INDEX('Agri_land '!$E:$ZZ, MATCH(A39, 'Agri_land '!$C:$C, 0), MATCH(B39, 'Agri_land '!$E$1:$ZZ$1, 0))</f>
        <v>32.918080465341738</v>
      </c>
      <c r="J39">
        <f>INDEX(Cereal_Yield!$E:$ZZ, MATCH(A39, Cereal_Yield!$C:$C, 0), MATCH(B39, Cereal_Yield!$E$1:$ZZ$1, 0))</f>
        <v>5846.8</v>
      </c>
    </row>
    <row r="40" spans="1:10" x14ac:dyDescent="0.3">
      <c r="A40" t="s">
        <v>6</v>
      </c>
      <c r="B40" s="4">
        <v>2014</v>
      </c>
      <c r="C40" t="s">
        <v>49</v>
      </c>
      <c r="D40" s="8">
        <f>INDEX(GDP_pc!$E:$ZZ, MATCH(A40, GDP_pc!$C:$C, 0), MATCH(B40, GDP_pc!$E$1:$ZZ$1, 0))</f>
        <v>438556021078.03412</v>
      </c>
      <c r="E40">
        <f>INDEX(CH4_Em!$E:$ZZ, MATCH(A40, CH4_Em!$C:$C, 0), MATCH(B40, CH4_Em!$E$1:$ZZ$1, 0))</f>
        <v>5.4631999999999996</v>
      </c>
      <c r="F40">
        <f>INDEX(N2O_Em!$E:$ZZ, MATCH(A40, N2O_Em!$C:$C, 0), MATCH(B40, N2O_Em!$E$1:$ZZ$1, 0))</f>
        <v>2.1524000000000001</v>
      </c>
      <c r="G40">
        <f>INDEX(CO2_Em!$E:$ZZ, MATCH(A40, CO2_Em!$C:$C, 0), MATCH(B40, CO2_Em!$E$1:$ZZ$1, 0))</f>
        <v>6.2899999999999998E-2</v>
      </c>
      <c r="H40">
        <f>INDEX(Agri_VA!$E:$ZZ, MATCH(A40, Agri_VA!$C:$C, 0), MATCH(B40, Agri_VA!$E$1:$ZZ$1, 0))</f>
        <v>1.27555801772568</v>
      </c>
      <c r="I40" s="6">
        <f>INDEX('Agri_land '!$E:$ZZ, MATCH(A40, 'Agri_land '!$C:$C, 0), MATCH(B40, 'Agri_land '!$E$1:$ZZ$1, 0))</f>
        <v>32.891420261754725</v>
      </c>
      <c r="J40">
        <f>INDEX(Cereal_Yield!$E:$ZZ, MATCH(A40, Cereal_Yield!$C:$C, 0), MATCH(B40, Cereal_Yield!$E$1:$ZZ$1, 0))</f>
        <v>7046.7</v>
      </c>
    </row>
    <row r="41" spans="1:10" x14ac:dyDescent="0.3">
      <c r="A41" t="s">
        <v>6</v>
      </c>
      <c r="B41" s="4">
        <v>2015</v>
      </c>
      <c r="C41" t="s">
        <v>49</v>
      </c>
      <c r="D41" s="8">
        <f>INDEX(GDP_pc!$E:$ZZ, MATCH(A41, GDP_pc!$C:$C, 0), MATCH(B41, GDP_pc!$E$1:$ZZ$1, 0))</f>
        <v>379546097300.63263</v>
      </c>
      <c r="E41">
        <f>INDEX(CH4_Em!$E:$ZZ, MATCH(A41, CH4_Em!$C:$C, 0), MATCH(B41, CH4_Em!$E$1:$ZZ$1, 0))</f>
        <v>5.4809000000000001</v>
      </c>
      <c r="F41">
        <f>INDEX(N2O_Em!$E:$ZZ, MATCH(A41, N2O_Em!$C:$C, 0), MATCH(B41, N2O_Em!$E$1:$ZZ$1, 0))</f>
        <v>2.1152000000000002</v>
      </c>
      <c r="G41">
        <f>INDEX(CO2_Em!$E:$ZZ, MATCH(A41, CO2_Em!$C:$C, 0), MATCH(B41, CO2_Em!$E$1:$ZZ$1, 0))</f>
        <v>8.1100000000000005E-2</v>
      </c>
      <c r="H41">
        <f>INDEX(Agri_VA!$E:$ZZ, MATCH(A41, Agri_VA!$C:$C, 0), MATCH(B41, Agri_VA!$E$1:$ZZ$1, 0))</f>
        <v>1.1436285417298944</v>
      </c>
      <c r="I41" s="6">
        <f>INDEX('Agri_land '!$E:$ZZ, MATCH(A41, 'Agri_land '!$C:$C, 0), MATCH(B41, 'Agri_land '!$E$1:$ZZ$1, 0))</f>
        <v>32.942922927775086</v>
      </c>
      <c r="J41">
        <f>INDEX(Cereal_Yield!$E:$ZZ, MATCH(A41, Cereal_Yield!$C:$C, 0), MATCH(B41, Cereal_Yield!$E$1:$ZZ$1, 0))</f>
        <v>6198.1</v>
      </c>
    </row>
    <row r="42" spans="1:10" x14ac:dyDescent="0.3">
      <c r="A42" t="s">
        <v>6</v>
      </c>
      <c r="B42" s="4">
        <v>2016</v>
      </c>
      <c r="C42" t="s">
        <v>49</v>
      </c>
      <c r="D42" s="8">
        <f>INDEX(GDP_pc!$E:$ZZ, MATCH(A42, GDP_pc!$C:$C, 0), MATCH(B42, GDP_pc!$E$1:$ZZ$1, 0))</f>
        <v>393687359770.27332</v>
      </c>
      <c r="E42">
        <f>INDEX(CH4_Em!$E:$ZZ, MATCH(A42, CH4_Em!$C:$C, 0), MATCH(B42, CH4_Em!$E$1:$ZZ$1, 0))</f>
        <v>5.4718</v>
      </c>
      <c r="F42">
        <f>INDEX(N2O_Em!$E:$ZZ, MATCH(A42, N2O_Em!$C:$C, 0), MATCH(B42, N2O_Em!$E$1:$ZZ$1, 0))</f>
        <v>2.137</v>
      </c>
      <c r="G42">
        <f>INDEX(CO2_Em!$E:$ZZ, MATCH(A42, CO2_Em!$C:$C, 0), MATCH(B42, CO2_Em!$E$1:$ZZ$1, 0))</f>
        <v>7.1499999999999994E-2</v>
      </c>
      <c r="H42">
        <f>INDEX(Agri_VA!$E:$ZZ, MATCH(A42, Agri_VA!$C:$C, 0), MATCH(B42, Agri_VA!$E$1:$ZZ$1, 0))</f>
        <v>1.1492826407726808</v>
      </c>
      <c r="I42" s="6">
        <f>INDEX('Agri_land '!$E:$ZZ, MATCH(A42, 'Agri_land '!$C:$C, 0), MATCH(B42, 'Agri_land '!$E$1:$ZZ$1, 0))</f>
        <v>32.357852641783808</v>
      </c>
      <c r="J42">
        <f>INDEX(Cereal_Yield!$E:$ZZ, MATCH(A42, Cereal_Yield!$C:$C, 0), MATCH(B42, Cereal_Yield!$E$1:$ZZ$1, 0))</f>
        <v>7246.4</v>
      </c>
    </row>
    <row r="43" spans="1:10" x14ac:dyDescent="0.3">
      <c r="A43" t="s">
        <v>6</v>
      </c>
      <c r="B43" s="4">
        <v>2017</v>
      </c>
      <c r="C43" t="s">
        <v>49</v>
      </c>
      <c r="D43" s="8">
        <f>INDEX(GDP_pc!$E:$ZZ, MATCH(A43, GDP_pc!$C:$C, 0), MATCH(B43, GDP_pc!$E$1:$ZZ$1, 0))</f>
        <v>414926138132.69128</v>
      </c>
      <c r="E43">
        <f>INDEX(CH4_Em!$E:$ZZ, MATCH(A43, CH4_Em!$C:$C, 0), MATCH(B43, CH4_Em!$E$1:$ZZ$1, 0))</f>
        <v>5.4694000000000003</v>
      </c>
      <c r="F43">
        <f>INDEX(N2O_Em!$E:$ZZ, MATCH(A43, N2O_Em!$C:$C, 0), MATCH(B43, N2O_Em!$E$1:$ZZ$1, 0))</f>
        <v>2.0402</v>
      </c>
      <c r="G43">
        <f>INDEX(CO2_Em!$E:$ZZ, MATCH(A43, CO2_Em!$C:$C, 0), MATCH(B43, CO2_Em!$E$1:$ZZ$1, 0))</f>
        <v>6.6400000000000001E-2</v>
      </c>
      <c r="H43">
        <f>INDEX(Agri_VA!$E:$ZZ, MATCH(A43, Agri_VA!$C:$C, 0), MATCH(B43, Agri_VA!$E$1:$ZZ$1, 0))</f>
        <v>1.1999020307668142</v>
      </c>
      <c r="I43" s="6">
        <f>INDEX('Agri_land '!$E:$ZZ, MATCH(A43, 'Agri_land '!$C:$C, 0), MATCH(B43, 'Agri_land '!$E$1:$ZZ$1, 0))</f>
        <v>32.169413475521083</v>
      </c>
      <c r="J43">
        <f>INDEX(Cereal_Yield!$E:$ZZ, MATCH(A43, Cereal_Yield!$C:$C, 0), MATCH(B43, Cereal_Yield!$E$1:$ZZ$1, 0))</f>
        <v>6260.6</v>
      </c>
    </row>
    <row r="44" spans="1:10" x14ac:dyDescent="0.3">
      <c r="A44" t="s">
        <v>6</v>
      </c>
      <c r="B44" s="4">
        <v>2018</v>
      </c>
      <c r="C44" t="s">
        <v>49</v>
      </c>
      <c r="D44" s="8">
        <f>INDEX(GDP_pc!$E:$ZZ, MATCH(A44, GDP_pc!$C:$C, 0), MATCH(B44, GDP_pc!$E$1:$ZZ$1, 0))</f>
        <v>452582294972.77539</v>
      </c>
      <c r="E44">
        <f>INDEX(CH4_Em!$E:$ZZ, MATCH(A44, CH4_Em!$C:$C, 0), MATCH(B44, CH4_Em!$E$1:$ZZ$1, 0))</f>
        <v>5.3837000000000002</v>
      </c>
      <c r="F44">
        <f>INDEX(N2O_Em!$E:$ZZ, MATCH(A44, N2O_Em!$C:$C, 0), MATCH(B44, N2O_Em!$E$1:$ZZ$1, 0))</f>
        <v>2.0011999999999999</v>
      </c>
      <c r="G44">
        <f>INDEX(CO2_Em!$E:$ZZ, MATCH(A44, CO2_Em!$C:$C, 0), MATCH(B44, CO2_Em!$E$1:$ZZ$1, 0))</f>
        <v>5.4100000000000002E-2</v>
      </c>
      <c r="H44">
        <f>INDEX(Agri_VA!$E:$ZZ, MATCH(A44, Agri_VA!$C:$C, 0), MATCH(B44, Agri_VA!$E$1:$ZZ$1, 0))</f>
        <v>1.1091141402141187</v>
      </c>
      <c r="I44" s="6">
        <f>INDEX('Agri_land '!$E:$ZZ, MATCH(A44, 'Agri_land '!$C:$C, 0), MATCH(B44, 'Agri_land '!$E$1:$ZZ$1, 0))</f>
        <v>32.147721764420744</v>
      </c>
      <c r="J44">
        <f>INDEX(Cereal_Yield!$E:$ZZ, MATCH(A44, Cereal_Yield!$C:$C, 0), MATCH(B44, Cereal_Yield!$E$1:$ZZ$1, 0))</f>
        <v>6145.8</v>
      </c>
    </row>
    <row r="45" spans="1:10" x14ac:dyDescent="0.3">
      <c r="A45" t="s">
        <v>6</v>
      </c>
      <c r="B45" s="4">
        <v>2019</v>
      </c>
      <c r="C45" t="s">
        <v>49</v>
      </c>
      <c r="D45" s="8">
        <f>INDEX(GDP_pc!$E:$ZZ, MATCH(A45, GDP_pc!$C:$C, 0), MATCH(B45, GDP_pc!$E$1:$ZZ$1, 0))</f>
        <v>442983642371.84241</v>
      </c>
      <c r="E45">
        <f>INDEX(CH4_Em!$E:$ZZ, MATCH(A45, CH4_Em!$C:$C, 0), MATCH(B45, CH4_Em!$E$1:$ZZ$1, 0))</f>
        <v>5.3064999999999998</v>
      </c>
      <c r="F45">
        <f>INDEX(N2O_Em!$E:$ZZ, MATCH(A45, N2O_Em!$C:$C, 0), MATCH(B45, N2O_Em!$E$1:$ZZ$1, 0))</f>
        <v>2.0447000000000002</v>
      </c>
      <c r="G45">
        <f>INDEX(CO2_Em!$E:$ZZ, MATCH(A45, CO2_Em!$C:$C, 0), MATCH(B45, CO2_Em!$E$1:$ZZ$1, 0))</f>
        <v>5.2900000000000003E-2</v>
      </c>
      <c r="H45">
        <f>INDEX(Agri_VA!$E:$ZZ, MATCH(A45, Agri_VA!$C:$C, 0), MATCH(B45, Agri_VA!$E$1:$ZZ$1, 0))</f>
        <v>1.0446341365349903</v>
      </c>
      <c r="I45" s="6">
        <f>INDEX('Agri_land '!$E:$ZZ, MATCH(A45, 'Agri_land '!$C:$C, 0), MATCH(B45, 'Agri_land '!$E$1:$ZZ$1, 0))</f>
        <v>32.128090159961218</v>
      </c>
      <c r="J45">
        <f>INDEX(Cereal_Yield!$E:$ZZ, MATCH(A45, Cereal_Yield!$C:$C, 0), MATCH(B45, Cereal_Yield!$E$1:$ZZ$1, 0))</f>
        <v>6954.3</v>
      </c>
    </row>
    <row r="46" spans="1:10" x14ac:dyDescent="0.3">
      <c r="A46" t="s">
        <v>6</v>
      </c>
      <c r="B46" s="4">
        <v>2020</v>
      </c>
      <c r="C46" t="s">
        <v>49</v>
      </c>
      <c r="D46" s="8">
        <f>INDEX(GDP_pc!$E:$ZZ, MATCH(A46, GDP_pc!$C:$C, 0), MATCH(B46, GDP_pc!$E$1:$ZZ$1, 0))</f>
        <v>434397601557.69617</v>
      </c>
      <c r="E46">
        <f>INDEX(CH4_Em!$E:$ZZ, MATCH(A46, CH4_Em!$C:$C, 0), MATCH(B46, CH4_Em!$E$1:$ZZ$1, 0))</f>
        <v>5.2710999999999997</v>
      </c>
      <c r="F46">
        <f>INDEX(N2O_Em!$E:$ZZ, MATCH(A46, N2O_Em!$C:$C, 0), MATCH(B46, N2O_Em!$E$1:$ZZ$1, 0))</f>
        <v>2.0369000000000002</v>
      </c>
      <c r="G46">
        <f>INDEX(CO2_Em!$E:$ZZ, MATCH(A46, CO2_Em!$C:$C, 0), MATCH(B46, CO2_Em!$E$1:$ZZ$1, 0))</f>
        <v>5.0200000000000002E-2</v>
      </c>
      <c r="H46">
        <f>INDEX(Agri_VA!$E:$ZZ, MATCH(A46, Agri_VA!$C:$C, 0), MATCH(B46, Agri_VA!$E$1:$ZZ$1, 0))</f>
        <v>1.0713811327287088</v>
      </c>
      <c r="I46" s="6">
        <f>INDEX('Agri_land '!$E:$ZZ, MATCH(A46, 'Agri_land '!$C:$C, 0), MATCH(B46, 'Agri_land '!$E$1:$ZZ$1, 0))</f>
        <v>31.539812166747456</v>
      </c>
      <c r="J46">
        <f>INDEX(Cereal_Yield!$E:$ZZ, MATCH(A46, Cereal_Yield!$C:$C, 0), MATCH(B46, Cereal_Yield!$E$1:$ZZ$1, 0))</f>
        <v>7386.4</v>
      </c>
    </row>
    <row r="47" spans="1:10" x14ac:dyDescent="0.3">
      <c r="A47" t="s">
        <v>6</v>
      </c>
      <c r="B47" s="4">
        <v>2021</v>
      </c>
      <c r="C47" t="s">
        <v>49</v>
      </c>
      <c r="D47" s="8">
        <f>INDEX(GDP_pc!$E:$ZZ, MATCH(A47, GDP_pc!$C:$C, 0), MATCH(B47, GDP_pc!$E$1:$ZZ$1, 0))</f>
        <v>480466363176.80621</v>
      </c>
      <c r="E47">
        <f>INDEX(CH4_Em!$E:$ZZ, MATCH(A47, CH4_Em!$C:$C, 0), MATCH(B47, CH4_Em!$E$1:$ZZ$1, 0))</f>
        <v>5.3000999999999996</v>
      </c>
      <c r="F47">
        <f>INDEX(N2O_Em!$E:$ZZ, MATCH(A47, N2O_Em!$C:$C, 0), MATCH(B47, N2O_Em!$E$1:$ZZ$1, 0))</f>
        <v>1.9643999999999999</v>
      </c>
      <c r="G47">
        <f>INDEX(CO2_Em!$E:$ZZ, MATCH(A47, CO2_Em!$C:$C, 0), MATCH(B47, CO2_Em!$E$1:$ZZ$1, 0))</f>
        <v>3.9899999999999998E-2</v>
      </c>
      <c r="H47">
        <f>INDEX(Agri_VA!$E:$ZZ, MATCH(A47, Agri_VA!$C:$C, 0), MATCH(B47, Agri_VA!$E$1:$ZZ$1, 0))</f>
        <v>1.2152388657487989</v>
      </c>
      <c r="I47" s="6">
        <f>INDEX('Agri_land '!$E:$ZZ, MATCH(A47, 'Agri_land '!$C:$C, 0), MATCH(B47, 'Agri_land '!$E$1:$ZZ$1, 0))</f>
        <v>31.537668444013573</v>
      </c>
      <c r="J47">
        <f>INDEX(Cereal_Yield!$E:$ZZ, MATCH(A47, Cereal_Yield!$C:$C, 0), MATCH(B47, Cereal_Yield!$E$1:$ZZ$1, 0))</f>
        <v>7112.4</v>
      </c>
    </row>
    <row r="48" spans="1:10" x14ac:dyDescent="0.3">
      <c r="A48" t="s">
        <v>6</v>
      </c>
      <c r="B48" s="4">
        <v>2022</v>
      </c>
      <c r="C48" t="s">
        <v>49</v>
      </c>
      <c r="D48" s="8">
        <f>INDEX(GDP_pc!$E:$ZZ, MATCH(A48, GDP_pc!$C:$C, 0), MATCH(B48, GDP_pc!$E$1:$ZZ$1, 0))</f>
        <v>473221298968.21582</v>
      </c>
      <c r="E48">
        <f>INDEX(CH4_Em!$E:$ZZ, MATCH(A48, CH4_Em!$C:$C, 0), MATCH(B48, CH4_Em!$E$1:$ZZ$1, 0))</f>
        <v>5.2986000000000004</v>
      </c>
      <c r="F48">
        <f>INDEX(N2O_Em!$E:$ZZ, MATCH(A48, N2O_Em!$C:$C, 0), MATCH(B48, N2O_Em!$E$1:$ZZ$1, 0))</f>
        <v>1.9716</v>
      </c>
      <c r="G48">
        <f>INDEX(CO2_Em!$E:$ZZ, MATCH(A48, CO2_Em!$C:$C, 0), MATCH(B48, CO2_Em!$E$1:$ZZ$1, 0))</f>
        <v>4.0899999999999999E-2</v>
      </c>
      <c r="H48">
        <f>INDEX(Agri_VA!$E:$ZZ, MATCH(A48, Agri_VA!$C:$C, 0), MATCH(B48, Agri_VA!$E$1:$ZZ$1, 0))</f>
        <v>1.3464959645730148</v>
      </c>
      <c r="I48" s="6">
        <f>INDEX('Agri_land '!$E:$ZZ, MATCH(A48, 'Agri_land '!$C:$C, 0), MATCH(B48, 'Agri_land '!$E$1:$ZZ$1, 0))</f>
        <v>31.476583858458557</v>
      </c>
      <c r="J48">
        <f>INDEX(Cereal_Yield!$E:$ZZ, MATCH(A48, Cereal_Yield!$C:$C, 0), MATCH(B48, Cereal_Yield!$E$1:$ZZ$1, 0))</f>
        <v>6895.5</v>
      </c>
    </row>
    <row r="49" spans="1:10" x14ac:dyDescent="0.3">
      <c r="A49" t="s">
        <v>6</v>
      </c>
      <c r="B49" s="4">
        <v>2023</v>
      </c>
      <c r="C49" t="s">
        <v>49</v>
      </c>
      <c r="D49" s="8">
        <f>INDEX(GDP_pc!$E:$ZZ, MATCH(A49, GDP_pc!$C:$C, 0), MATCH(B49, GDP_pc!$E$1:$ZZ$1, 0))</f>
        <v>516670509628.87579</v>
      </c>
      <c r="E49">
        <f>INDEX(CH4_Em!$E:$ZZ, MATCH(A49, CH4_Em!$C:$C, 0), MATCH(B49, CH4_Em!$E$1:$ZZ$1, 0))</f>
        <v>5.2077</v>
      </c>
      <c r="F49">
        <f>INDEX(N2O_Em!$E:$ZZ, MATCH(A49, N2O_Em!$C:$C, 0), MATCH(B49, N2O_Em!$E$1:$ZZ$1, 0))</f>
        <v>1.9625999999999999</v>
      </c>
      <c r="G49">
        <f>INDEX(CO2_Em!$E:$ZZ, MATCH(A49, CO2_Em!$C:$C, 0), MATCH(B49, CO2_Em!$E$1:$ZZ$1, 0))</f>
        <v>4.19E-2</v>
      </c>
      <c r="H49">
        <f>INDEX(Agri_VA!$E:$ZZ, MATCH(A49, Agri_VA!$C:$C, 0), MATCH(B49, Agri_VA!$E$1:$ZZ$1, 0))</f>
        <v>1.2417617203893359</v>
      </c>
      <c r="I49" s="6">
        <f>INDEX('Agri_land '!$E:$ZZ, MATCH(A49, 'Agri_land '!$C:$C, 0), MATCH(B49, 'Agri_land '!$E$1:$ZZ$1, 0))</f>
        <v>31.474345613184685</v>
      </c>
      <c r="J49">
        <f>INDEX(Cereal_Yield!$E:$ZZ, MATCH(A49, Cereal_Yield!$C:$C, 0), MATCH(B49, Cereal_Yield!$E$1:$ZZ$1, 0))</f>
        <v>7051</v>
      </c>
    </row>
    <row r="50" spans="1:10" x14ac:dyDescent="0.3">
      <c r="A50" t="s">
        <v>7</v>
      </c>
      <c r="B50" s="4">
        <v>2000</v>
      </c>
      <c r="C50" t="s">
        <v>49</v>
      </c>
      <c r="D50" s="8">
        <f>INDEX(GDP_pc!$E:$ZZ, MATCH(A50, GDP_pc!$C:$C, 0), MATCH(B50, GDP_pc!$E$1:$ZZ$1, 0))</f>
        <v>236792460312.4711</v>
      </c>
      <c r="E50">
        <f>INDEX(CH4_Em!$E:$ZZ, MATCH(A50, CH4_Em!$C:$C, 0), MATCH(B50, CH4_Em!$E$1:$ZZ$1, 0))</f>
        <v>8.7025000000000006</v>
      </c>
      <c r="F50">
        <f>INDEX(N2O_Em!$E:$ZZ, MATCH(A50, N2O_Em!$C:$C, 0), MATCH(B50, N2O_Em!$E$1:$ZZ$1, 0))</f>
        <v>2.7869000000000002</v>
      </c>
      <c r="G50">
        <f>INDEX(CO2_Em!$E:$ZZ, MATCH(A50, CO2_Em!$C:$C, 0), MATCH(B50, CO2_Em!$E$1:$ZZ$1, 0))</f>
        <v>4.3499999999999997E-2</v>
      </c>
      <c r="H50">
        <f>INDEX(Agri_VA!$E:$ZZ, MATCH(A50, Agri_VA!$C:$C, 0), MATCH(B50, Agri_VA!$E$1:$ZZ$1, 0))</f>
        <v>1.1760052797371365</v>
      </c>
      <c r="I50" s="6">
        <f>INDEX('Agri_land '!$E:$ZZ, MATCH(A50, 'Agri_land '!$C:$C, 0), MATCH(B50, 'Agri_land '!$E$1:$ZZ$1, 0))</f>
        <v>45.811492433982792</v>
      </c>
      <c r="J50">
        <f>INDEX(Cereal_Yield!$E:$ZZ, MATCH(A50, Cereal_Yield!$C:$C, 0), MATCH(B50, Cereal_Yield!$E$1:$ZZ$1, 0))</f>
        <v>8021.4</v>
      </c>
    </row>
    <row r="51" spans="1:10" x14ac:dyDescent="0.3">
      <c r="A51" t="s">
        <v>7</v>
      </c>
      <c r="B51" s="4">
        <v>2001</v>
      </c>
      <c r="C51" t="s">
        <v>49</v>
      </c>
      <c r="D51" s="8">
        <f>INDEX(GDP_pc!$E:$ZZ, MATCH(A51, GDP_pc!$C:$C, 0), MATCH(B51, GDP_pc!$E$1:$ZZ$1, 0))</f>
        <v>236746141604.37039</v>
      </c>
      <c r="E51">
        <f>INDEX(CH4_Em!$E:$ZZ, MATCH(A51, CH4_Em!$C:$C, 0), MATCH(B51, CH4_Em!$E$1:$ZZ$1, 0))</f>
        <v>8.5625999999999998</v>
      </c>
      <c r="F51">
        <f>INDEX(N2O_Em!$E:$ZZ, MATCH(A51, N2O_Em!$C:$C, 0), MATCH(B51, N2O_Em!$E$1:$ZZ$1, 0))</f>
        <v>2.7464</v>
      </c>
      <c r="G51">
        <f>INDEX(CO2_Em!$E:$ZZ, MATCH(A51, CO2_Em!$C:$C, 0), MATCH(B51, CO2_Em!$E$1:$ZZ$1, 0))</f>
        <v>4.7699999999999999E-2</v>
      </c>
      <c r="H51">
        <f>INDEX(Agri_VA!$E:$ZZ, MATCH(A51, Agri_VA!$C:$C, 0), MATCH(B51, Agri_VA!$E$1:$ZZ$1, 0))</f>
        <v>1.1093502976716276</v>
      </c>
      <c r="I51" s="6">
        <f>INDEX('Agri_land '!$E:$ZZ, MATCH(A51, 'Agri_land '!$C:$C, 0), MATCH(B51, 'Agri_land '!$E$1:$ZZ$1, 0))</f>
        <v>45.719183727293704</v>
      </c>
      <c r="J51">
        <f>INDEX(Cereal_Yield!$E:$ZZ, MATCH(A51, Cereal_Yield!$C:$C, 0), MATCH(B51, Cereal_Yield!$E$1:$ZZ$1, 0))</f>
        <v>8218.1</v>
      </c>
    </row>
    <row r="52" spans="1:10" x14ac:dyDescent="0.3">
      <c r="A52" t="s">
        <v>7</v>
      </c>
      <c r="B52" s="4">
        <v>2002</v>
      </c>
      <c r="C52" t="s">
        <v>49</v>
      </c>
      <c r="D52" s="8">
        <f>INDEX(GDP_pc!$E:$ZZ, MATCH(A52, GDP_pc!$C:$C, 0), MATCH(B52, GDP_pc!$E$1:$ZZ$1, 0))</f>
        <v>258383599375.17697</v>
      </c>
      <c r="E52">
        <f>INDEX(CH4_Em!$E:$ZZ, MATCH(A52, CH4_Em!$C:$C, 0), MATCH(B52, CH4_Em!$E$1:$ZZ$1, 0))</f>
        <v>8.1844999999999999</v>
      </c>
      <c r="F52">
        <f>INDEX(N2O_Em!$E:$ZZ, MATCH(A52, N2O_Em!$C:$C, 0), MATCH(B52, N2O_Em!$E$1:$ZZ$1, 0))</f>
        <v>2.7050000000000001</v>
      </c>
      <c r="G52">
        <f>INDEX(CO2_Em!$E:$ZZ, MATCH(A52, CO2_Em!$C:$C, 0), MATCH(B52, CO2_Em!$E$1:$ZZ$1, 0))</f>
        <v>5.3999999999999999E-2</v>
      </c>
      <c r="H52">
        <f>INDEX(Agri_VA!$E:$ZZ, MATCH(A52, Agri_VA!$C:$C, 0), MATCH(B52, Agri_VA!$E$1:$ZZ$1, 0))</f>
        <v>1.0331341427577592</v>
      </c>
      <c r="I52" s="6">
        <f>INDEX('Agri_land '!$E:$ZZ, MATCH(A52, 'Agri_land '!$C:$C, 0), MATCH(B52, 'Agri_land '!$E$1:$ZZ$1, 0))</f>
        <v>45.79500873635974</v>
      </c>
      <c r="J52">
        <f>INDEX(Cereal_Yield!$E:$ZZ, MATCH(A52, Cereal_Yield!$C:$C, 0), MATCH(B52, Cereal_Yield!$E$1:$ZZ$1, 0))</f>
        <v>8500.9</v>
      </c>
    </row>
    <row r="53" spans="1:10" x14ac:dyDescent="0.3">
      <c r="A53" t="s">
        <v>7</v>
      </c>
      <c r="B53" s="4">
        <v>2003</v>
      </c>
      <c r="C53" t="s">
        <v>49</v>
      </c>
      <c r="D53" s="8">
        <f>INDEX(GDP_pc!$E:$ZZ, MATCH(A53, GDP_pc!$C:$C, 0), MATCH(B53, GDP_pc!$E$1:$ZZ$1, 0))</f>
        <v>318082528506.58759</v>
      </c>
      <c r="E53">
        <f>INDEX(CH4_Em!$E:$ZZ, MATCH(A53, CH4_Em!$C:$C, 0), MATCH(B53, CH4_Em!$E$1:$ZZ$1, 0))</f>
        <v>7.8422999999999998</v>
      </c>
      <c r="F53">
        <f>INDEX(N2O_Em!$E:$ZZ, MATCH(A53, N2O_Em!$C:$C, 0), MATCH(B53, N2O_Em!$E$1:$ZZ$1, 0))</f>
        <v>2.6211000000000002</v>
      </c>
      <c r="G53">
        <f>INDEX(CO2_Em!$E:$ZZ, MATCH(A53, CO2_Em!$C:$C, 0), MATCH(B53, CO2_Em!$E$1:$ZZ$1, 0))</f>
        <v>5.8700000000000002E-2</v>
      </c>
      <c r="H53">
        <f>INDEX(Agri_VA!$E:$ZZ, MATCH(A53, Agri_VA!$C:$C, 0), MATCH(B53, Agri_VA!$E$1:$ZZ$1, 0))</f>
        <v>1.0294445025288033</v>
      </c>
      <c r="I53" s="6">
        <f>INDEX('Agri_land '!$E:$ZZ, MATCH(A53, 'Agri_land '!$C:$C, 0), MATCH(B53, 'Agri_land '!$E$1:$ZZ$1, 0))</f>
        <v>45.897207661622659</v>
      </c>
      <c r="J53">
        <f>INDEX(Cereal_Yield!$E:$ZZ, MATCH(A53, Cereal_Yield!$C:$C, 0), MATCH(B53, Cereal_Yield!$E$1:$ZZ$1, 0))</f>
        <v>8530.7000000000007</v>
      </c>
    </row>
    <row r="54" spans="1:10" x14ac:dyDescent="0.3">
      <c r="A54" t="s">
        <v>7</v>
      </c>
      <c r="B54" s="4">
        <v>2004</v>
      </c>
      <c r="C54" t="s">
        <v>49</v>
      </c>
      <c r="D54" s="8">
        <f>INDEX(GDP_pc!$E:$ZZ, MATCH(A54, GDP_pc!$C:$C, 0), MATCH(B54, GDP_pc!$E$1:$ZZ$1, 0))</f>
        <v>369214712443.20557</v>
      </c>
      <c r="E54">
        <f>INDEX(CH4_Em!$E:$ZZ, MATCH(A54, CH4_Em!$C:$C, 0), MATCH(B54, CH4_Em!$E$1:$ZZ$1, 0))</f>
        <v>7.7388000000000003</v>
      </c>
      <c r="F54">
        <f>INDEX(N2O_Em!$E:$ZZ, MATCH(A54, N2O_Em!$C:$C, 0), MATCH(B54, N2O_Em!$E$1:$ZZ$1, 0))</f>
        <v>2.6126</v>
      </c>
      <c r="G54">
        <f>INDEX(CO2_Em!$E:$ZZ, MATCH(A54, CO2_Em!$C:$C, 0), MATCH(B54, CO2_Em!$E$1:$ZZ$1, 0))</f>
        <v>5.3999999999999999E-2</v>
      </c>
      <c r="H54">
        <f>INDEX(Agri_VA!$E:$ZZ, MATCH(A54, Agri_VA!$C:$C, 0), MATCH(B54, Agri_VA!$E$1:$ZZ$1, 0))</f>
        <v>1.0229105413151485</v>
      </c>
      <c r="I54" s="6">
        <f>INDEX('Agri_land '!$E:$ZZ, MATCH(A54, 'Agri_land '!$C:$C, 0), MATCH(B54, 'Agri_land '!$E$1:$ZZ$1, 0))</f>
        <v>45.867537005901163</v>
      </c>
      <c r="J54">
        <f>INDEX(Cereal_Yield!$E:$ZZ, MATCH(A54, Cereal_Yield!$C:$C, 0), MATCH(B54, Cereal_Yield!$E$1:$ZZ$1, 0))</f>
        <v>9184.9</v>
      </c>
    </row>
    <row r="55" spans="1:10" x14ac:dyDescent="0.3">
      <c r="A55" t="s">
        <v>7</v>
      </c>
      <c r="B55" s="4">
        <v>2005</v>
      </c>
      <c r="C55" t="s">
        <v>49</v>
      </c>
      <c r="D55" s="8">
        <f>INDEX(GDP_pc!$E:$ZZ, MATCH(A55, GDP_pc!$C:$C, 0), MATCH(B55, GDP_pc!$E$1:$ZZ$1, 0))</f>
        <v>385714762230.03876</v>
      </c>
      <c r="E55">
        <f>INDEX(CH4_Em!$E:$ZZ, MATCH(A55, CH4_Em!$C:$C, 0), MATCH(B55, CH4_Em!$E$1:$ZZ$1, 0))</f>
        <v>7.5720999999999998</v>
      </c>
      <c r="F55">
        <f>INDEX(N2O_Em!$E:$ZZ, MATCH(A55, N2O_Em!$C:$C, 0), MATCH(B55, N2O_Em!$E$1:$ZZ$1, 0))</f>
        <v>2.5640999999999998</v>
      </c>
      <c r="G55">
        <f>INDEX(CO2_Em!$E:$ZZ, MATCH(A55, CO2_Em!$C:$C, 0), MATCH(B55, CO2_Em!$E$1:$ZZ$1, 0))</f>
        <v>5.3999999999999999E-2</v>
      </c>
      <c r="H55">
        <f>INDEX(Agri_VA!$E:$ZZ, MATCH(A55, Agri_VA!$C:$C, 0), MATCH(B55, Agri_VA!$E$1:$ZZ$1, 0))</f>
        <v>0.84063997399025148</v>
      </c>
      <c r="I55" s="6">
        <f>INDEX('Agri_land '!$E:$ZZ, MATCH(A55, 'Agri_land '!$C:$C, 0), MATCH(B55, 'Agri_land '!$E$1:$ZZ$1, 0))</f>
        <v>45.593907625358518</v>
      </c>
      <c r="J55">
        <f>INDEX(Cereal_Yield!$E:$ZZ, MATCH(A55, Cereal_Yield!$C:$C, 0), MATCH(B55, Cereal_Yield!$E$1:$ZZ$1, 0))</f>
        <v>8649.5</v>
      </c>
    </row>
    <row r="56" spans="1:10" x14ac:dyDescent="0.3">
      <c r="A56" t="s">
        <v>7</v>
      </c>
      <c r="B56" s="4">
        <v>2006</v>
      </c>
      <c r="C56" t="s">
        <v>49</v>
      </c>
      <c r="D56" s="8">
        <f>INDEX(GDP_pc!$E:$ZZ, MATCH(A56, GDP_pc!$C:$C, 0), MATCH(B56, GDP_pc!$E$1:$ZZ$1, 0))</f>
        <v>408259840868.82294</v>
      </c>
      <c r="E56">
        <f>INDEX(CH4_Em!$E:$ZZ, MATCH(A56, CH4_Em!$C:$C, 0), MATCH(B56, CH4_Em!$E$1:$ZZ$1, 0))</f>
        <v>7.4694000000000003</v>
      </c>
      <c r="F56">
        <f>INDEX(N2O_Em!$E:$ZZ, MATCH(A56, N2O_Em!$C:$C, 0), MATCH(B56, N2O_Em!$E$1:$ZZ$1, 0))</f>
        <v>2.516</v>
      </c>
      <c r="G56">
        <f>INDEX(CO2_Em!$E:$ZZ, MATCH(A56, CO2_Em!$C:$C, 0), MATCH(B56, CO2_Em!$E$1:$ZZ$1, 0))</f>
        <v>5.3999999999999999E-2</v>
      </c>
      <c r="H56">
        <f>INDEX(Agri_VA!$E:$ZZ, MATCH(A56, Agri_VA!$C:$C, 0), MATCH(B56, Agri_VA!$E$1:$ZZ$1, 0))</f>
        <v>0.90726938058105222</v>
      </c>
      <c r="I56" s="6">
        <f>INDEX('Agri_land '!$E:$ZZ, MATCH(A56, 'Agri_land '!$C:$C, 0), MATCH(B56, 'Agri_land '!$E$1:$ZZ$1, 0))</f>
        <v>45.495005439620215</v>
      </c>
      <c r="J56">
        <f>INDEX(Cereal_Yield!$E:$ZZ, MATCH(A56, Cereal_Yield!$C:$C, 0), MATCH(B56, Cereal_Yield!$E$1:$ZZ$1, 0))</f>
        <v>8373.2999999999993</v>
      </c>
    </row>
    <row r="57" spans="1:10" x14ac:dyDescent="0.3">
      <c r="A57" t="s">
        <v>7</v>
      </c>
      <c r="B57" s="4">
        <v>2007</v>
      </c>
      <c r="C57" t="s">
        <v>49</v>
      </c>
      <c r="D57" s="8">
        <f>INDEX(GDP_pc!$E:$ZZ, MATCH(A57, GDP_pc!$C:$C, 0), MATCH(B57, GDP_pc!$E$1:$ZZ$1, 0))</f>
        <v>470922156309.45251</v>
      </c>
      <c r="E57">
        <f>INDEX(CH4_Em!$E:$ZZ, MATCH(A57, CH4_Em!$C:$C, 0), MATCH(B57, CH4_Em!$E$1:$ZZ$1, 0))</f>
        <v>7.4062999999999999</v>
      </c>
      <c r="F57">
        <f>INDEX(N2O_Em!$E:$ZZ, MATCH(A57, N2O_Em!$C:$C, 0), MATCH(B57, N2O_Em!$E$1:$ZZ$1, 0))</f>
        <v>2.5552999999999999</v>
      </c>
      <c r="G57">
        <f>INDEX(CO2_Em!$E:$ZZ, MATCH(A57, CO2_Em!$C:$C, 0), MATCH(B57, CO2_Em!$E$1:$ZZ$1, 0))</f>
        <v>6.6500000000000004E-2</v>
      </c>
      <c r="H57">
        <f>INDEX(Agri_VA!$E:$ZZ, MATCH(A57, Agri_VA!$C:$C, 0), MATCH(B57, Agri_VA!$E$1:$ZZ$1, 0))</f>
        <v>0.88752394003938673</v>
      </c>
      <c r="I57" s="6">
        <f>INDEX('Agri_land '!$E:$ZZ, MATCH(A57, 'Agri_land '!$C:$C, 0), MATCH(B57, 'Agri_land '!$E$1:$ZZ$1, 0))</f>
        <v>45.063132561896282</v>
      </c>
      <c r="J57">
        <f>INDEX(Cereal_Yield!$E:$ZZ, MATCH(A57, Cereal_Yield!$C:$C, 0), MATCH(B57, Cereal_Yield!$E$1:$ZZ$1, 0))</f>
        <v>8637.7000000000007</v>
      </c>
    </row>
    <row r="58" spans="1:10" x14ac:dyDescent="0.3">
      <c r="A58" t="s">
        <v>7</v>
      </c>
      <c r="B58" s="4">
        <v>2008</v>
      </c>
      <c r="C58" t="s">
        <v>49</v>
      </c>
      <c r="D58" s="8">
        <f>INDEX(GDP_pc!$E:$ZZ, MATCH(A58, GDP_pc!$C:$C, 0), MATCH(B58, GDP_pc!$E$1:$ZZ$1, 0))</f>
        <v>517328087920.078</v>
      </c>
      <c r="E58">
        <f>INDEX(CH4_Em!$E:$ZZ, MATCH(A58, CH4_Em!$C:$C, 0), MATCH(B58, CH4_Em!$E$1:$ZZ$1, 0))</f>
        <v>7.4177</v>
      </c>
      <c r="F58">
        <f>INDEX(N2O_Em!$E:$ZZ, MATCH(A58, N2O_Em!$C:$C, 0), MATCH(B58, N2O_Em!$E$1:$ZZ$1, 0))</f>
        <v>2.4781</v>
      </c>
      <c r="G58">
        <f>INDEX(CO2_Em!$E:$ZZ, MATCH(A58, CO2_Em!$C:$C, 0), MATCH(B58, CO2_Em!$E$1:$ZZ$1, 0))</f>
        <v>4.7699999999999999E-2</v>
      </c>
      <c r="H58">
        <f>INDEX(Agri_VA!$E:$ZZ, MATCH(A58, Agri_VA!$C:$C, 0), MATCH(B58, Agri_VA!$E$1:$ZZ$1, 0))</f>
        <v>0.71233806718596615</v>
      </c>
      <c r="I58" s="6">
        <f>INDEX('Agri_land '!$E:$ZZ, MATCH(A58, 'Agri_land '!$C:$C, 0), MATCH(B58, 'Agri_land '!$E$1:$ZZ$1, 0))</f>
        <v>45.010384729502526</v>
      </c>
      <c r="J58">
        <f>INDEX(Cereal_Yield!$E:$ZZ, MATCH(A58, Cereal_Yield!$C:$C, 0), MATCH(B58, Cereal_Yield!$E$1:$ZZ$1, 0))</f>
        <v>8885.7999999999993</v>
      </c>
    </row>
    <row r="59" spans="1:10" x14ac:dyDescent="0.3">
      <c r="A59" t="s">
        <v>7</v>
      </c>
      <c r="B59" s="4">
        <v>2009</v>
      </c>
      <c r="C59" t="s">
        <v>49</v>
      </c>
      <c r="D59" s="8">
        <f>INDEX(GDP_pc!$E:$ZZ, MATCH(A59, GDP_pc!$C:$C, 0), MATCH(B59, GDP_pc!$E$1:$ZZ$1, 0))</f>
        <v>485014525992.46063</v>
      </c>
      <c r="E59">
        <f>INDEX(CH4_Em!$E:$ZZ, MATCH(A59, CH4_Em!$C:$C, 0), MATCH(B59, CH4_Em!$E$1:$ZZ$1, 0))</f>
        <v>7.3922999999999996</v>
      </c>
      <c r="F59">
        <f>INDEX(N2O_Em!$E:$ZZ, MATCH(A59, N2O_Em!$C:$C, 0), MATCH(B59, N2O_Em!$E$1:$ZZ$1, 0))</f>
        <v>2.5958999999999999</v>
      </c>
      <c r="G59">
        <f>INDEX(CO2_Em!$E:$ZZ, MATCH(A59, CO2_Em!$C:$C, 0), MATCH(B59, CO2_Em!$E$1:$ZZ$1, 0))</f>
        <v>6.0199999999999997E-2</v>
      </c>
      <c r="H59">
        <f>INDEX(Agri_VA!$E:$ZZ, MATCH(A59, Agri_VA!$C:$C, 0), MATCH(B59, Agri_VA!$E$1:$ZZ$1, 0))</f>
        <v>0.7186796608565893</v>
      </c>
      <c r="I59" s="6">
        <f>INDEX('Agri_land '!$E:$ZZ, MATCH(A59, 'Agri_land '!$C:$C, 0), MATCH(B59, 'Agri_land '!$E$1:$ZZ$1, 0))</f>
        <v>44.954340157584149</v>
      </c>
      <c r="J59">
        <f>INDEX(Cereal_Yield!$E:$ZZ, MATCH(A59, Cereal_Yield!$C:$C, 0), MATCH(B59, Cereal_Yield!$E$1:$ZZ$1, 0))</f>
        <v>9710</v>
      </c>
    </row>
    <row r="60" spans="1:10" x14ac:dyDescent="0.3">
      <c r="A60" t="s">
        <v>7</v>
      </c>
      <c r="B60" s="4">
        <v>2010</v>
      </c>
      <c r="C60" t="s">
        <v>49</v>
      </c>
      <c r="D60" s="8">
        <f>INDEX(GDP_pc!$E:$ZZ, MATCH(A60, GDP_pc!$C:$C, 0), MATCH(B60, GDP_pc!$E$1:$ZZ$1, 0))</f>
        <v>481556503720.00092</v>
      </c>
      <c r="E60">
        <f>INDEX(CH4_Em!$E:$ZZ, MATCH(A60, CH4_Em!$C:$C, 0), MATCH(B60, CH4_Em!$E$1:$ZZ$1, 0))</f>
        <v>7.4024000000000001</v>
      </c>
      <c r="F60">
        <f>INDEX(N2O_Em!$E:$ZZ, MATCH(A60, N2O_Em!$C:$C, 0), MATCH(B60, N2O_Em!$E$1:$ZZ$1, 0))</f>
        <v>2.7006000000000001</v>
      </c>
      <c r="G60">
        <f>INDEX(CO2_Em!$E:$ZZ, MATCH(A60, CO2_Em!$C:$C, 0), MATCH(B60, CO2_Em!$E$1:$ZZ$1, 0))</f>
        <v>4.4999999999999998E-2</v>
      </c>
      <c r="H60">
        <f>INDEX(Agri_VA!$E:$ZZ, MATCH(A60, Agri_VA!$C:$C, 0), MATCH(B60, Agri_VA!$E$1:$ZZ$1, 0))</f>
        <v>0.84791863504921228</v>
      </c>
      <c r="I60" s="6">
        <f>INDEX('Agri_land '!$E:$ZZ, MATCH(A60, 'Agri_land '!$C:$C, 0), MATCH(B60, 'Agri_land '!$E$1:$ZZ$1, 0))</f>
        <v>44.693897735139949</v>
      </c>
      <c r="J60">
        <f>INDEX(Cereal_Yield!$E:$ZZ, MATCH(A60, Cereal_Yield!$C:$C, 0), MATCH(B60, Cereal_Yield!$E$1:$ZZ$1, 0))</f>
        <v>9348.1</v>
      </c>
    </row>
    <row r="61" spans="1:10" x14ac:dyDescent="0.3">
      <c r="A61" t="s">
        <v>7</v>
      </c>
      <c r="B61" s="4">
        <v>2011</v>
      </c>
      <c r="C61" t="s">
        <v>49</v>
      </c>
      <c r="D61" s="8">
        <f>INDEX(GDP_pc!$E:$ZZ, MATCH(A61, GDP_pc!$C:$C, 0), MATCH(B61, GDP_pc!$E$1:$ZZ$1, 0))</f>
        <v>527196649048.63916</v>
      </c>
      <c r="E61">
        <f>INDEX(CH4_Em!$E:$ZZ, MATCH(A61, CH4_Em!$C:$C, 0), MATCH(B61, CH4_Em!$E$1:$ZZ$1, 0))</f>
        <v>7.2840999999999996</v>
      </c>
      <c r="F61">
        <f>INDEX(N2O_Em!$E:$ZZ, MATCH(A61, N2O_Em!$C:$C, 0), MATCH(B61, N2O_Em!$E$1:$ZZ$1, 0))</f>
        <v>2.6979000000000002</v>
      </c>
      <c r="G61">
        <f>INDEX(CO2_Em!$E:$ZZ, MATCH(A61, CO2_Em!$C:$C, 0), MATCH(B61, CO2_Em!$E$1:$ZZ$1, 0))</f>
        <v>4.4999999999999998E-2</v>
      </c>
      <c r="H61">
        <f>INDEX(Agri_VA!$E:$ZZ, MATCH(A61, Agri_VA!$C:$C, 0), MATCH(B61, Agri_VA!$E$1:$ZZ$1, 0))</f>
        <v>0.7262398434410029</v>
      </c>
      <c r="I61" s="6">
        <f>INDEX('Agri_land '!$E:$ZZ, MATCH(A61, 'Agri_land '!$C:$C, 0), MATCH(B61, 'Agri_land '!$E$1:$ZZ$1, 0))</f>
        <v>44.034549830217919</v>
      </c>
      <c r="J61">
        <f>INDEX(Cereal_Yield!$E:$ZZ, MATCH(A61, Cereal_Yield!$C:$C, 0), MATCH(B61, Cereal_Yield!$E$1:$ZZ$1, 0))</f>
        <v>9009</v>
      </c>
    </row>
    <row r="62" spans="1:10" x14ac:dyDescent="0.3">
      <c r="A62" t="s">
        <v>7</v>
      </c>
      <c r="B62" s="4">
        <v>2012</v>
      </c>
      <c r="C62" t="s">
        <v>49</v>
      </c>
      <c r="D62" s="8">
        <f>INDEX(GDP_pc!$E:$ZZ, MATCH(A62, GDP_pc!$C:$C, 0), MATCH(B62, GDP_pc!$E$1:$ZZ$1, 0))</f>
        <v>498414364944.96106</v>
      </c>
      <c r="E62">
        <f>INDEX(CH4_Em!$E:$ZZ, MATCH(A62, CH4_Em!$C:$C, 0), MATCH(B62, CH4_Em!$E$1:$ZZ$1, 0))</f>
        <v>7.1525999999999996</v>
      </c>
      <c r="F62">
        <f>INDEX(N2O_Em!$E:$ZZ, MATCH(A62, N2O_Em!$C:$C, 0), MATCH(B62, N2O_Em!$E$1:$ZZ$1, 0))</f>
        <v>2.6861000000000002</v>
      </c>
      <c r="G62">
        <f>INDEX(CO2_Em!$E:$ZZ, MATCH(A62, CO2_Em!$C:$C, 0), MATCH(B62, CO2_Em!$E$1:$ZZ$1, 0))</f>
        <v>4.4999999999999998E-2</v>
      </c>
      <c r="H62">
        <f>INDEX(Agri_VA!$E:$ZZ, MATCH(A62, Agri_VA!$C:$C, 0), MATCH(B62, Agri_VA!$E$1:$ZZ$1, 0))</f>
        <v>0.84457469539347962</v>
      </c>
      <c r="I62" s="6">
        <f>INDEX('Agri_land '!$E:$ZZ, MATCH(A62, 'Agri_land '!$C:$C, 0), MATCH(B62, 'Agri_land '!$E$1:$ZZ$1, 0))</f>
        <v>43.912570467807335</v>
      </c>
      <c r="J62">
        <f>INDEX(Cereal_Yield!$E:$ZZ, MATCH(A62, Cereal_Yield!$C:$C, 0), MATCH(B62, Cereal_Yield!$E$1:$ZZ$1, 0))</f>
        <v>8666.2999999999993</v>
      </c>
    </row>
    <row r="63" spans="1:10" x14ac:dyDescent="0.3">
      <c r="A63" t="s">
        <v>7</v>
      </c>
      <c r="B63" s="4">
        <v>2013</v>
      </c>
      <c r="C63" t="s">
        <v>49</v>
      </c>
      <c r="D63" s="8">
        <f>INDEX(GDP_pc!$E:$ZZ, MATCH(A63, GDP_pc!$C:$C, 0), MATCH(B63, GDP_pc!$E$1:$ZZ$1, 0))</f>
        <v>524097026598.55048</v>
      </c>
      <c r="E63">
        <f>INDEX(CH4_Em!$E:$ZZ, MATCH(A63, CH4_Em!$C:$C, 0), MATCH(B63, CH4_Em!$E$1:$ZZ$1, 0))</f>
        <v>6.9794999999999998</v>
      </c>
      <c r="F63">
        <f>INDEX(N2O_Em!$E:$ZZ, MATCH(A63, N2O_Em!$C:$C, 0), MATCH(B63, N2O_Em!$E$1:$ZZ$1, 0))</f>
        <v>2.6671</v>
      </c>
      <c r="G63">
        <f>INDEX(CO2_Em!$E:$ZZ, MATCH(A63, CO2_Em!$C:$C, 0), MATCH(B63, CO2_Em!$E$1:$ZZ$1, 0))</f>
        <v>4.6600000000000003E-2</v>
      </c>
      <c r="H63">
        <f>INDEX(Agri_VA!$E:$ZZ, MATCH(A63, Agri_VA!$C:$C, 0), MATCH(B63, Agri_VA!$E$1:$ZZ$1, 0))</f>
        <v>0.76456547790854057</v>
      </c>
      <c r="I63" s="6">
        <f>INDEX('Agri_land '!$E:$ZZ, MATCH(A63, 'Agri_land '!$C:$C, 0), MATCH(B63, 'Agri_land '!$E$1:$ZZ$1, 0))</f>
        <v>44.060923746414801</v>
      </c>
      <c r="J63">
        <f>INDEX(Cereal_Yield!$E:$ZZ, MATCH(A63, Cereal_Yield!$C:$C, 0), MATCH(B63, Cereal_Yield!$E$1:$ZZ$1, 0))</f>
        <v>9212.5</v>
      </c>
    </row>
    <row r="64" spans="1:10" x14ac:dyDescent="0.3">
      <c r="A64" t="s">
        <v>7</v>
      </c>
      <c r="B64" s="4">
        <v>2014</v>
      </c>
      <c r="C64" t="s">
        <v>49</v>
      </c>
      <c r="D64" s="8">
        <f>INDEX(GDP_pc!$E:$ZZ, MATCH(A64, GDP_pc!$C:$C, 0), MATCH(B64, GDP_pc!$E$1:$ZZ$1, 0))</f>
        <v>537987419164.35107</v>
      </c>
      <c r="E64">
        <f>INDEX(CH4_Em!$E:$ZZ, MATCH(A64, CH4_Em!$C:$C, 0), MATCH(B64, CH4_Em!$E$1:$ZZ$1, 0))</f>
        <v>7.0236999999999998</v>
      </c>
      <c r="F64">
        <f>INDEX(N2O_Em!$E:$ZZ, MATCH(A64, N2O_Em!$C:$C, 0), MATCH(B64, N2O_Em!$E$1:$ZZ$1, 0))</f>
        <v>2.6728000000000001</v>
      </c>
      <c r="G64">
        <f>INDEX(CO2_Em!$E:$ZZ, MATCH(A64, CO2_Em!$C:$C, 0), MATCH(B64, CO2_Em!$E$1:$ZZ$1, 0))</f>
        <v>4.6600000000000003E-2</v>
      </c>
      <c r="H64">
        <f>INDEX(Agri_VA!$E:$ZZ, MATCH(A64, Agri_VA!$C:$C, 0), MATCH(B64, Agri_VA!$E$1:$ZZ$1, 0))</f>
        <v>0.71651821928331882</v>
      </c>
      <c r="I64" s="6">
        <f>INDEX('Agri_land '!$E:$ZZ, MATCH(A64, 'Agri_land '!$C:$C, 0), MATCH(B64, 'Agri_land '!$E$1:$ZZ$1, 0))</f>
        <v>43.889493291135068</v>
      </c>
      <c r="J64">
        <f>INDEX(Cereal_Yield!$E:$ZZ, MATCH(A64, Cereal_Yield!$C:$C, 0), MATCH(B64, Cereal_Yield!$E$1:$ZZ$1, 0))</f>
        <v>9435.4</v>
      </c>
    </row>
    <row r="65" spans="1:10" x14ac:dyDescent="0.3">
      <c r="A65" t="s">
        <v>7</v>
      </c>
      <c r="B65" s="4">
        <v>2015</v>
      </c>
      <c r="C65" t="s">
        <v>49</v>
      </c>
      <c r="D65" s="8">
        <f>INDEX(GDP_pc!$E:$ZZ, MATCH(A65, GDP_pc!$C:$C, 0), MATCH(B65, GDP_pc!$E$1:$ZZ$1, 0))</f>
        <v>461044767544.53101</v>
      </c>
      <c r="E65">
        <f>INDEX(CH4_Em!$E:$ZZ, MATCH(A65, CH4_Em!$C:$C, 0), MATCH(B65, CH4_Em!$E$1:$ZZ$1, 0))</f>
        <v>7.1571999999999996</v>
      </c>
      <c r="F65">
        <f>INDEX(N2O_Em!$E:$ZZ, MATCH(A65, N2O_Em!$C:$C, 0), MATCH(B65, N2O_Em!$E$1:$ZZ$1, 0))</f>
        <v>2.6802999999999999</v>
      </c>
      <c r="G65">
        <f>INDEX(CO2_Em!$E:$ZZ, MATCH(A65, CO2_Em!$C:$C, 0), MATCH(B65, CO2_Em!$E$1:$ZZ$1, 0))</f>
        <v>4.0300000000000002E-2</v>
      </c>
      <c r="H65">
        <f>INDEX(Agri_VA!$E:$ZZ, MATCH(A65, Agri_VA!$C:$C, 0), MATCH(B65, Agri_VA!$E$1:$ZZ$1, 0))</f>
        <v>0.75061727206657392</v>
      </c>
      <c r="I65" s="6">
        <f>INDEX('Agri_land '!$E:$ZZ, MATCH(A65, 'Agri_land '!$C:$C, 0), MATCH(B65, 'Agri_land '!$E$1:$ZZ$1, 0))</f>
        <v>43.780700886822935</v>
      </c>
      <c r="J65">
        <f>INDEX(Cereal_Yield!$E:$ZZ, MATCH(A65, Cereal_Yield!$C:$C, 0), MATCH(B65, Cereal_Yield!$E$1:$ZZ$1, 0))</f>
        <v>9842.2000000000007</v>
      </c>
    </row>
    <row r="66" spans="1:10" x14ac:dyDescent="0.3">
      <c r="A66" t="s">
        <v>7</v>
      </c>
      <c r="B66" s="4">
        <v>2016</v>
      </c>
      <c r="C66" t="s">
        <v>49</v>
      </c>
      <c r="D66" s="8">
        <f>INDEX(GDP_pc!$E:$ZZ, MATCH(A66, GDP_pc!$C:$C, 0), MATCH(B66, GDP_pc!$E$1:$ZZ$1, 0))</f>
        <v>474271566739.72876</v>
      </c>
      <c r="E66">
        <f>INDEX(CH4_Em!$E:$ZZ, MATCH(A66, CH4_Em!$C:$C, 0), MATCH(B66, CH4_Em!$E$1:$ZZ$1, 0))</f>
        <v>7.1551999999999998</v>
      </c>
      <c r="F66">
        <f>INDEX(N2O_Em!$E:$ZZ, MATCH(A66, N2O_Em!$C:$C, 0), MATCH(B66, N2O_Em!$E$1:$ZZ$1, 0))</f>
        <v>2.6229</v>
      </c>
      <c r="G66">
        <f>INDEX(CO2_Em!$E:$ZZ, MATCH(A66, CO2_Em!$C:$C, 0), MATCH(B66, CO2_Em!$E$1:$ZZ$1, 0))</f>
        <v>4.0300000000000002E-2</v>
      </c>
      <c r="H66">
        <f>INDEX(Agri_VA!$E:$ZZ, MATCH(A66, Agri_VA!$C:$C, 0), MATCH(B66, Agri_VA!$E$1:$ZZ$1, 0))</f>
        <v>0.67319054368468434</v>
      </c>
      <c r="I66" s="6">
        <f>INDEX('Agri_land '!$E:$ZZ, MATCH(A66, 'Agri_land '!$C:$C, 0), MATCH(B66, 'Agri_land '!$E$1:$ZZ$1, 0))</f>
        <v>44.532357498434052</v>
      </c>
      <c r="J66">
        <f>INDEX(Cereal_Yield!$E:$ZZ, MATCH(A66, Cereal_Yield!$C:$C, 0), MATCH(B66, Cereal_Yield!$E$1:$ZZ$1, 0))</f>
        <v>6984.8</v>
      </c>
    </row>
    <row r="67" spans="1:10" x14ac:dyDescent="0.3">
      <c r="A67" t="s">
        <v>7</v>
      </c>
      <c r="B67" s="4">
        <v>2017</v>
      </c>
      <c r="C67" t="s">
        <v>49</v>
      </c>
      <c r="D67" s="8">
        <f>INDEX(GDP_pc!$E:$ZZ, MATCH(A67, GDP_pc!$C:$C, 0), MATCH(B67, GDP_pc!$E$1:$ZZ$1, 0))</f>
        <v>500908767351.53027</v>
      </c>
      <c r="E67">
        <f>INDEX(CH4_Em!$E:$ZZ, MATCH(A67, CH4_Em!$C:$C, 0), MATCH(B67, CH4_Em!$E$1:$ZZ$1, 0))</f>
        <v>6.8971</v>
      </c>
      <c r="F67">
        <f>INDEX(N2O_Em!$E:$ZZ, MATCH(A67, N2O_Em!$C:$C, 0), MATCH(B67, N2O_Em!$E$1:$ZZ$1, 0))</f>
        <v>2.6021000000000001</v>
      </c>
      <c r="G67">
        <f>INDEX(CO2_Em!$E:$ZZ, MATCH(A67, CO2_Em!$C:$C, 0), MATCH(B67, CO2_Em!$E$1:$ZZ$1, 0))</f>
        <v>4.0300000000000002E-2</v>
      </c>
      <c r="H67">
        <f>INDEX(Agri_VA!$E:$ZZ, MATCH(A67, Agri_VA!$C:$C, 0), MATCH(B67, Agri_VA!$E$1:$ZZ$1, 0))</f>
        <v>0.7295325831425381</v>
      </c>
      <c r="I67" s="6">
        <f>INDEX('Agri_land '!$E:$ZZ, MATCH(A67, 'Agri_land '!$C:$C, 0), MATCH(B67, 'Agri_land '!$E$1:$ZZ$1, 0))</f>
        <v>43.747733491576831</v>
      </c>
      <c r="J67">
        <f>INDEX(Cereal_Yield!$E:$ZZ, MATCH(A67, Cereal_Yield!$C:$C, 0), MATCH(B67, Cereal_Yield!$E$1:$ZZ$1, 0))</f>
        <v>9050.7000000000007</v>
      </c>
    </row>
    <row r="68" spans="1:10" x14ac:dyDescent="0.3">
      <c r="A68" t="s">
        <v>7</v>
      </c>
      <c r="B68" s="4">
        <v>2018</v>
      </c>
      <c r="C68" t="s">
        <v>49</v>
      </c>
      <c r="D68" s="8">
        <f>INDEX(GDP_pc!$E:$ZZ, MATCH(A68, GDP_pc!$C:$C, 0), MATCH(B68, GDP_pc!$E$1:$ZZ$1, 0))</f>
        <v>542638913427.9212</v>
      </c>
      <c r="E68">
        <f>INDEX(CH4_Em!$E:$ZZ, MATCH(A68, CH4_Em!$C:$C, 0), MATCH(B68, CH4_Em!$E$1:$ZZ$1, 0))</f>
        <v>7.0259999999999998</v>
      </c>
      <c r="F68">
        <f>INDEX(N2O_Em!$E:$ZZ, MATCH(A68, N2O_Em!$C:$C, 0), MATCH(B68, N2O_Em!$E$1:$ZZ$1, 0))</f>
        <v>2.6377999999999999</v>
      </c>
      <c r="G68">
        <f>INDEX(CO2_Em!$E:$ZZ, MATCH(A68, CO2_Em!$C:$C, 0), MATCH(B68, CO2_Em!$E$1:$ZZ$1, 0))</f>
        <v>4.0300000000000002E-2</v>
      </c>
      <c r="H68">
        <f>INDEX(Agri_VA!$E:$ZZ, MATCH(A68, Agri_VA!$C:$C, 0), MATCH(B68, Agri_VA!$E$1:$ZZ$1, 0))</f>
        <v>0.66462557112009391</v>
      </c>
      <c r="I68" s="6">
        <f>INDEX('Agri_land '!$E:$ZZ, MATCH(A68, 'Agri_land '!$C:$C, 0), MATCH(B68, 'Agri_land '!$E$1:$ZZ$1, 0))</f>
        <v>44.403633620831009</v>
      </c>
      <c r="J68">
        <f>INDEX(Cereal_Yield!$E:$ZZ, MATCH(A68, Cereal_Yield!$C:$C, 0), MATCH(B68, Cereal_Yield!$E$1:$ZZ$1, 0))</f>
        <v>7983.1</v>
      </c>
    </row>
    <row r="69" spans="1:10" x14ac:dyDescent="0.3">
      <c r="A69" t="s">
        <v>7</v>
      </c>
      <c r="B69" s="4">
        <v>2019</v>
      </c>
      <c r="C69" t="s">
        <v>49</v>
      </c>
      <c r="D69" s="8">
        <f>INDEX(GDP_pc!$E:$ZZ, MATCH(A69, GDP_pc!$C:$C, 0), MATCH(B69, GDP_pc!$E$1:$ZZ$1, 0))</f>
        <v>536726344405.48932</v>
      </c>
      <c r="E69">
        <f>INDEX(CH4_Em!$E:$ZZ, MATCH(A69, CH4_Em!$C:$C, 0), MATCH(B69, CH4_Em!$E$1:$ZZ$1, 0))</f>
        <v>6.9908999999999999</v>
      </c>
      <c r="F69">
        <f>INDEX(N2O_Em!$E:$ZZ, MATCH(A69, N2O_Em!$C:$C, 0), MATCH(B69, N2O_Em!$E$1:$ZZ$1, 0))</f>
        <v>2.6448</v>
      </c>
      <c r="G69">
        <f>INDEX(CO2_Em!$E:$ZZ, MATCH(A69, CO2_Em!$C:$C, 0), MATCH(B69, CO2_Em!$E$1:$ZZ$1, 0))</f>
        <v>4.0300000000000002E-2</v>
      </c>
      <c r="H69">
        <f>INDEX(Agri_VA!$E:$ZZ, MATCH(A69, Agri_VA!$C:$C, 0), MATCH(B69, Agri_VA!$E$1:$ZZ$1, 0))</f>
        <v>0.71878958353712807</v>
      </c>
      <c r="I69" s="6">
        <f>INDEX('Agri_land '!$E:$ZZ, MATCH(A69, 'Agri_land '!$C:$C, 0), MATCH(B69, 'Agri_land '!$E$1:$ZZ$1, 0))</f>
        <v>44.467764150324655</v>
      </c>
      <c r="J69">
        <f>INDEX(Cereal_Yield!$E:$ZZ, MATCH(A69, Cereal_Yield!$C:$C, 0), MATCH(B69, Cereal_Yield!$E$1:$ZZ$1, 0))</f>
        <v>8988.5</v>
      </c>
    </row>
    <row r="70" spans="1:10" x14ac:dyDescent="0.3">
      <c r="A70" t="s">
        <v>7</v>
      </c>
      <c r="B70" s="4">
        <v>2020</v>
      </c>
      <c r="C70" t="s">
        <v>49</v>
      </c>
      <c r="D70" s="8">
        <f>INDEX(GDP_pc!$E:$ZZ, MATCH(A70, GDP_pc!$C:$C, 0), MATCH(B70, GDP_pc!$E$1:$ZZ$1, 0))</f>
        <v>529694473501.79132</v>
      </c>
      <c r="E70">
        <f>INDEX(CH4_Em!$E:$ZZ, MATCH(A70, CH4_Em!$C:$C, 0), MATCH(B70, CH4_Em!$E$1:$ZZ$1, 0))</f>
        <v>6.9930000000000003</v>
      </c>
      <c r="F70">
        <f>INDEX(N2O_Em!$E:$ZZ, MATCH(A70, N2O_Em!$C:$C, 0), MATCH(B70, N2O_Em!$E$1:$ZZ$1, 0))</f>
        <v>2.6236999999999999</v>
      </c>
      <c r="G70">
        <f>INDEX(CO2_Em!$E:$ZZ, MATCH(A70, CO2_Em!$C:$C, 0), MATCH(B70, CO2_Em!$E$1:$ZZ$1, 0))</f>
        <v>4.0300000000000002E-2</v>
      </c>
      <c r="H70">
        <f>INDEX(Agri_VA!$E:$ZZ, MATCH(A70, Agri_VA!$C:$C, 0), MATCH(B70, Agri_VA!$E$1:$ZZ$1, 0))</f>
        <v>0.71281802364157143</v>
      </c>
      <c r="I70" s="6">
        <f>INDEX('Agri_land '!$E:$ZZ, MATCH(A70, 'Agri_land '!$C:$C, 0), MATCH(B70, 'Agri_land '!$E$1:$ZZ$1, 0))</f>
        <v>44.750091821341904</v>
      </c>
      <c r="J70">
        <f>INDEX(Cereal_Yield!$E:$ZZ, MATCH(A70, Cereal_Yield!$C:$C, 0), MATCH(B70, Cereal_Yield!$E$1:$ZZ$1, 0))</f>
        <v>8430.6</v>
      </c>
    </row>
    <row r="71" spans="1:10" x14ac:dyDescent="0.3">
      <c r="A71" t="s">
        <v>7</v>
      </c>
      <c r="B71" s="4">
        <v>2021</v>
      </c>
      <c r="C71" t="s">
        <v>49</v>
      </c>
      <c r="D71" s="8">
        <f>INDEX(GDP_pc!$E:$ZZ, MATCH(A71, GDP_pc!$C:$C, 0), MATCH(B71, GDP_pc!$E$1:$ZZ$1, 0))</f>
        <v>598522422241.85083</v>
      </c>
      <c r="E71">
        <f>INDEX(CH4_Em!$E:$ZZ, MATCH(A71, CH4_Em!$C:$C, 0), MATCH(B71, CH4_Em!$E$1:$ZZ$1, 0))</f>
        <v>6.9093</v>
      </c>
      <c r="F71">
        <f>INDEX(N2O_Em!$E:$ZZ, MATCH(A71, N2O_Em!$C:$C, 0), MATCH(B71, N2O_Em!$E$1:$ZZ$1, 0))</f>
        <v>2.5124</v>
      </c>
      <c r="G71">
        <f>INDEX(CO2_Em!$E:$ZZ, MATCH(A71, CO2_Em!$C:$C, 0), MATCH(B71, CO2_Em!$E$1:$ZZ$1, 0))</f>
        <v>3.6700000000000003E-2</v>
      </c>
      <c r="H71">
        <f>INDEX(Agri_VA!$E:$ZZ, MATCH(A71, Agri_VA!$C:$C, 0), MATCH(B71, Agri_VA!$E$1:$ZZ$1, 0))</f>
        <v>0.65489938487951316</v>
      </c>
      <c r="I71" s="6">
        <f>INDEX('Agri_land '!$E:$ZZ, MATCH(A71, 'Agri_land '!$C:$C, 0), MATCH(B71, 'Agri_land '!$E$1:$ZZ$1, 0))</f>
        <v>44.784875713255069</v>
      </c>
      <c r="J71">
        <f>INDEX(Cereal_Yield!$E:$ZZ, MATCH(A71, Cereal_Yield!$C:$C, 0), MATCH(B71, Cereal_Yield!$E$1:$ZZ$1, 0))</f>
        <v>7906.2</v>
      </c>
    </row>
    <row r="72" spans="1:10" x14ac:dyDescent="0.3">
      <c r="A72" t="s">
        <v>7</v>
      </c>
      <c r="B72" s="4">
        <v>2022</v>
      </c>
      <c r="C72" t="s">
        <v>49</v>
      </c>
      <c r="D72" s="8">
        <f>INDEX(GDP_pc!$E:$ZZ, MATCH(A72, GDP_pc!$C:$C, 0), MATCH(B72, GDP_pc!$E$1:$ZZ$1, 0))</f>
        <v>591085783326.26685</v>
      </c>
      <c r="E72">
        <f>INDEX(CH4_Em!$E:$ZZ, MATCH(A72, CH4_Em!$C:$C, 0), MATCH(B72, CH4_Em!$E$1:$ZZ$1, 0))</f>
        <v>6.8174999999999999</v>
      </c>
      <c r="F72">
        <f>INDEX(N2O_Em!$E:$ZZ, MATCH(A72, N2O_Em!$C:$C, 0), MATCH(B72, N2O_Em!$E$1:$ZZ$1, 0))</f>
        <v>2.3384</v>
      </c>
      <c r="G72">
        <f>INDEX(CO2_Em!$E:$ZZ, MATCH(A72, CO2_Em!$C:$C, 0), MATCH(B72, CO2_Em!$E$1:$ZZ$1, 0))</f>
        <v>2.9600000000000001E-2</v>
      </c>
      <c r="H72">
        <f>INDEX(Agri_VA!$E:$ZZ, MATCH(A72, Agri_VA!$C:$C, 0), MATCH(B72, Agri_VA!$E$1:$ZZ$1, 0))</f>
        <v>0.67143041151479643</v>
      </c>
      <c r="I72" s="6">
        <f>INDEX('Agri_land '!$E:$ZZ, MATCH(A72, 'Agri_land '!$C:$C, 0), MATCH(B72, 'Agri_land '!$E$1:$ZZ$1, 0))</f>
        <v>44.566144159506784</v>
      </c>
      <c r="J72">
        <f>INDEX(Cereal_Yield!$E:$ZZ, MATCH(A72, Cereal_Yield!$C:$C, 0), MATCH(B72, Cereal_Yield!$E$1:$ZZ$1, 0))</f>
        <v>8603.5</v>
      </c>
    </row>
    <row r="73" spans="1:10" x14ac:dyDescent="0.3">
      <c r="A73" t="s">
        <v>7</v>
      </c>
      <c r="B73" s="4">
        <v>2023</v>
      </c>
      <c r="C73" t="s">
        <v>49</v>
      </c>
      <c r="D73" s="8">
        <f>INDEX(GDP_pc!$E:$ZZ, MATCH(A73, GDP_pc!$C:$C, 0), MATCH(B73, GDP_pc!$E$1:$ZZ$1, 0))</f>
        <v>651330595110.01147</v>
      </c>
      <c r="E73">
        <f>INDEX(CH4_Em!$E:$ZZ, MATCH(A73, CH4_Em!$C:$C, 0), MATCH(B73, CH4_Em!$E$1:$ZZ$1, 0))</f>
        <v>6.6116999999999999</v>
      </c>
      <c r="F73">
        <f>INDEX(N2O_Em!$E:$ZZ, MATCH(A73, N2O_Em!$C:$C, 0), MATCH(B73, N2O_Em!$E$1:$ZZ$1, 0))</f>
        <v>2.2671000000000001</v>
      </c>
      <c r="G73">
        <f>INDEX(CO2_Em!$E:$ZZ, MATCH(A73, CO2_Em!$C:$C, 0), MATCH(B73, CO2_Em!$E$1:$ZZ$1, 0))</f>
        <v>2.6800000000000001E-2</v>
      </c>
      <c r="H73">
        <f>INDEX(Agri_VA!$E:$ZZ, MATCH(A73, Agri_VA!$C:$C, 0), MATCH(B73, Agri_VA!$E$1:$ZZ$1, 0))</f>
        <v>0.77456566601308852</v>
      </c>
      <c r="I73" s="6">
        <f>INDEX('Agri_land '!$E:$ZZ, MATCH(A73, 'Agri_land '!$C:$C, 0), MATCH(B73, 'Agri_land '!$E$1:$ZZ$1, 0))</f>
        <v>44.379222142060733</v>
      </c>
      <c r="J73">
        <f>INDEX(Cereal_Yield!$E:$ZZ, MATCH(A73, Cereal_Yield!$C:$C, 0), MATCH(B73, Cereal_Yield!$E$1:$ZZ$1, 0))</f>
        <v>8485.7000000000007</v>
      </c>
    </row>
    <row r="74" spans="1:10" x14ac:dyDescent="0.3">
      <c r="A74" t="s">
        <v>8</v>
      </c>
      <c r="B74" s="4">
        <v>2000</v>
      </c>
      <c r="C74" t="s">
        <v>48</v>
      </c>
      <c r="D74" s="8">
        <f>INDEX(GDP_pc!$E:$ZZ, MATCH(A74, GDP_pc!$C:$C, 0), MATCH(B74, GDP_pc!$E$1:$ZZ$1, 0))</f>
        <v>655448188259.35071</v>
      </c>
      <c r="E74">
        <f>INDEX(CH4_Em!$E:$ZZ, MATCH(A74, CH4_Em!$C:$C, 0), MATCH(B74, CH4_Em!$E$1:$ZZ$1, 0))</f>
        <v>324.52289999999999</v>
      </c>
      <c r="F74">
        <f>INDEX(N2O_Em!$E:$ZZ, MATCH(A74, N2O_Em!$C:$C, 0), MATCH(B74, N2O_Em!$E$1:$ZZ$1, 0))</f>
        <v>86.736599999999996</v>
      </c>
      <c r="G74">
        <f>INDEX(CO2_Em!$E:$ZZ, MATCH(A74, CO2_Em!$C:$C, 0), MATCH(B74, CO2_Em!$E$1:$ZZ$1, 0))</f>
        <v>5.3531000000000004</v>
      </c>
      <c r="H74">
        <f>INDEX(Agri_VA!$E:$ZZ, MATCH(A74, Agri_VA!$C:$C, 0), MATCH(B74, Agri_VA!$E$1:$ZZ$1, 0))</f>
        <v>4.7504599720911003</v>
      </c>
      <c r="I74" s="6">
        <f>INDEX('Agri_land '!$E:$ZZ, MATCH(A74, 'Agri_land '!$C:$C, 0), MATCH(B74, 'Agri_land '!$E$1:$ZZ$1, 0))</f>
        <v>27.317501262242555</v>
      </c>
      <c r="J74">
        <f>INDEX(Cereal_Yield!$E:$ZZ, MATCH(A74, Cereal_Yield!$C:$C, 0), MATCH(B74, Cereal_Yield!$E$1:$ZZ$1, 0))</f>
        <v>2643.3</v>
      </c>
    </row>
    <row r="75" spans="1:10" x14ac:dyDescent="0.3">
      <c r="A75" t="s">
        <v>8</v>
      </c>
      <c r="B75" s="4">
        <v>2001</v>
      </c>
      <c r="C75" t="s">
        <v>48</v>
      </c>
      <c r="D75" s="8">
        <f>INDEX(GDP_pc!$E:$ZZ, MATCH(A75, GDP_pc!$C:$C, 0), MATCH(B75, GDP_pc!$E$1:$ZZ$1, 0))</f>
        <v>559983704094.16992</v>
      </c>
      <c r="E75">
        <f>INDEX(CH4_Em!$E:$ZZ, MATCH(A75, CH4_Em!$C:$C, 0), MATCH(B75, CH4_Em!$E$1:$ZZ$1, 0))</f>
        <v>336.0489</v>
      </c>
      <c r="F75">
        <f>INDEX(N2O_Em!$E:$ZZ, MATCH(A75, N2O_Em!$C:$C, 0), MATCH(B75, N2O_Em!$E$1:$ZZ$1, 0))</f>
        <v>88.382800000000003</v>
      </c>
      <c r="G75">
        <f>INDEX(CO2_Em!$E:$ZZ, MATCH(A75, CO2_Em!$C:$C, 0), MATCH(B75, CO2_Em!$E$1:$ZZ$1, 0))</f>
        <v>4.6631999999999998</v>
      </c>
      <c r="H75">
        <f>INDEX(Agri_VA!$E:$ZZ, MATCH(A75, Agri_VA!$C:$C, 0), MATCH(B75, Agri_VA!$E$1:$ZZ$1, 0))</f>
        <v>4.8010430189550783</v>
      </c>
      <c r="I75" s="6">
        <f>INDEX('Agri_land '!$E:$ZZ, MATCH(A75, 'Agri_land '!$C:$C, 0), MATCH(B75, 'Agri_land '!$E$1:$ZZ$1, 0))</f>
        <v>27.329908328886571</v>
      </c>
      <c r="J75">
        <f>INDEX(Cereal_Yield!$E:$ZZ, MATCH(A75, Cereal_Yield!$C:$C, 0), MATCH(B75, Cereal_Yield!$E$1:$ZZ$1, 0))</f>
        <v>3147.6</v>
      </c>
    </row>
    <row r="76" spans="1:10" x14ac:dyDescent="0.3">
      <c r="A76" t="s">
        <v>8</v>
      </c>
      <c r="B76" s="4">
        <v>2002</v>
      </c>
      <c r="C76" t="s">
        <v>48</v>
      </c>
      <c r="D76" s="8">
        <f>INDEX(GDP_pc!$E:$ZZ, MATCH(A76, GDP_pc!$C:$C, 0), MATCH(B76, GDP_pc!$E$1:$ZZ$1, 0))</f>
        <v>509795270685.19012</v>
      </c>
      <c r="E76">
        <f>INDEX(CH4_Em!$E:$ZZ, MATCH(A76, CH4_Em!$C:$C, 0), MATCH(B76, CH4_Em!$E$1:$ZZ$1, 0))</f>
        <v>353.07400000000001</v>
      </c>
      <c r="F76">
        <f>INDEX(N2O_Em!$E:$ZZ, MATCH(A76, N2O_Em!$C:$C, 0), MATCH(B76, N2O_Em!$E$1:$ZZ$1, 0))</f>
        <v>92.381600000000006</v>
      </c>
      <c r="G76">
        <f>INDEX(CO2_Em!$E:$ZZ, MATCH(A76, CO2_Em!$C:$C, 0), MATCH(B76, CO2_Em!$E$1:$ZZ$1, 0))</f>
        <v>4.8023999999999996</v>
      </c>
      <c r="H76">
        <f>INDEX(Agri_VA!$E:$ZZ, MATCH(A76, Agri_VA!$C:$C, 0), MATCH(B76, Agri_VA!$E$1:$ZZ$1, 0))</f>
        <v>5.4752748947628058</v>
      </c>
      <c r="I76" s="6">
        <f>INDEX('Agri_land '!$E:$ZZ, MATCH(A76, 'Agri_land '!$C:$C, 0), MATCH(B76, 'Agri_land '!$E$1:$ZZ$1, 0))</f>
        <v>27.342315395530587</v>
      </c>
      <c r="J76">
        <f>INDEX(Cereal_Yield!$E:$ZZ, MATCH(A76, Cereal_Yield!$C:$C, 0), MATCH(B76, Cereal_Yield!$E$1:$ZZ$1, 0))</f>
        <v>2844.8</v>
      </c>
    </row>
    <row r="77" spans="1:10" x14ac:dyDescent="0.3">
      <c r="A77" t="s">
        <v>8</v>
      </c>
      <c r="B77" s="4">
        <v>2003</v>
      </c>
      <c r="C77" t="s">
        <v>48</v>
      </c>
      <c r="D77" s="8">
        <f>INDEX(GDP_pc!$E:$ZZ, MATCH(A77, GDP_pc!$C:$C, 0), MATCH(B77, GDP_pc!$E$1:$ZZ$1, 0))</f>
        <v>558233724164.71082</v>
      </c>
      <c r="E77">
        <f>INDEX(CH4_Em!$E:$ZZ, MATCH(A77, CH4_Em!$C:$C, 0), MATCH(B77, CH4_Em!$E$1:$ZZ$1, 0))</f>
        <v>372.91379999999998</v>
      </c>
      <c r="F77">
        <f>INDEX(N2O_Em!$E:$ZZ, MATCH(A77, N2O_Em!$C:$C, 0), MATCH(B77, N2O_Em!$E$1:$ZZ$1, 0))</f>
        <v>100.5894</v>
      </c>
      <c r="G77">
        <f>INDEX(CO2_Em!$E:$ZZ, MATCH(A77, CO2_Em!$C:$C, 0), MATCH(B77, CO2_Em!$E$1:$ZZ$1, 0))</f>
        <v>6.1551999999999998</v>
      </c>
      <c r="H77">
        <f>INDEX(Agri_VA!$E:$ZZ, MATCH(A77, Agri_VA!$C:$C, 0), MATCH(B77, Agri_VA!$E$1:$ZZ$1, 0))</f>
        <v>6.1671843874241832</v>
      </c>
      <c r="I77" s="6">
        <f>INDEX('Agri_land '!$E:$ZZ, MATCH(A77, 'Agri_land '!$C:$C, 0), MATCH(B77, 'Agri_land '!$E$1:$ZZ$1, 0))</f>
        <v>27.354722462174596</v>
      </c>
      <c r="J77">
        <f>INDEX(Cereal_Yield!$E:$ZZ, MATCH(A77, Cereal_Yield!$C:$C, 0), MATCH(B77, Cereal_Yield!$E$1:$ZZ$1, 0))</f>
        <v>3385.4</v>
      </c>
    </row>
    <row r="78" spans="1:10" x14ac:dyDescent="0.3">
      <c r="A78" t="s">
        <v>8</v>
      </c>
      <c r="B78" s="4">
        <v>2004</v>
      </c>
      <c r="C78" t="s">
        <v>48</v>
      </c>
      <c r="D78" s="8">
        <f>INDEX(GDP_pc!$E:$ZZ, MATCH(A78, GDP_pc!$C:$C, 0), MATCH(B78, GDP_pc!$E$1:$ZZ$1, 0))</f>
        <v>669289321944.51221</v>
      </c>
      <c r="E78">
        <f>INDEX(CH4_Em!$E:$ZZ, MATCH(A78, CH4_Em!$C:$C, 0), MATCH(B78, CH4_Em!$E$1:$ZZ$1, 0))</f>
        <v>392.26620000000003</v>
      </c>
      <c r="F78">
        <f>INDEX(N2O_Em!$E:$ZZ, MATCH(A78, N2O_Em!$C:$C, 0), MATCH(B78, N2O_Em!$E$1:$ZZ$1, 0))</f>
        <v>104.3325</v>
      </c>
      <c r="G78">
        <f>INDEX(CO2_Em!$E:$ZZ, MATCH(A78, CO2_Em!$C:$C, 0), MATCH(B78, CO2_Em!$E$1:$ZZ$1, 0))</f>
        <v>5.5716999999999999</v>
      </c>
      <c r="H78">
        <f>INDEX(Agri_VA!$E:$ZZ, MATCH(A78, Agri_VA!$C:$C, 0), MATCH(B78, Agri_VA!$E$1:$ZZ$1, 0))</f>
        <v>5.6653115767889508</v>
      </c>
      <c r="I78" s="6">
        <f>INDEX('Agri_land '!$E:$ZZ, MATCH(A78, 'Agri_land '!$C:$C, 0), MATCH(B78, 'Agri_land '!$E$1:$ZZ$1, 0))</f>
        <v>27.367129528818612</v>
      </c>
      <c r="J78">
        <f>INDEX(Cereal_Yield!$E:$ZZ, MATCH(A78, Cereal_Yield!$C:$C, 0), MATCH(B78, Cereal_Yield!$E$1:$ZZ$1, 0))</f>
        <v>3131.8</v>
      </c>
    </row>
    <row r="79" spans="1:10" x14ac:dyDescent="0.3">
      <c r="A79" t="s">
        <v>8</v>
      </c>
      <c r="B79" s="4">
        <v>2005</v>
      </c>
      <c r="C79" t="s">
        <v>48</v>
      </c>
      <c r="D79" s="8">
        <f>INDEX(GDP_pc!$E:$ZZ, MATCH(A79, GDP_pc!$C:$C, 0), MATCH(B79, GDP_pc!$E$1:$ZZ$1, 0))</f>
        <v>891633826625.40735</v>
      </c>
      <c r="E79">
        <f>INDEX(CH4_Em!$E:$ZZ, MATCH(A79, CH4_Em!$C:$C, 0), MATCH(B79, CH4_Em!$E$1:$ZZ$1, 0))</f>
        <v>398.89490000000001</v>
      </c>
      <c r="F79">
        <f>INDEX(N2O_Em!$E:$ZZ, MATCH(A79, N2O_Em!$C:$C, 0), MATCH(B79, N2O_Em!$E$1:$ZZ$1, 0))</f>
        <v>104.7508</v>
      </c>
      <c r="G79">
        <f>INDEX(CO2_Em!$E:$ZZ, MATCH(A79, CO2_Em!$C:$C, 0), MATCH(B79, CO2_Em!$E$1:$ZZ$1, 0))</f>
        <v>5.0883000000000003</v>
      </c>
      <c r="H79">
        <f>INDEX(Agri_VA!$E:$ZZ, MATCH(A79, Agri_VA!$C:$C, 0), MATCH(B79, Agri_VA!$E$1:$ZZ$1, 0))</f>
        <v>4.6511688226617798</v>
      </c>
      <c r="I79" s="6">
        <f>INDEX('Agri_land '!$E:$ZZ, MATCH(A79, 'Agri_land '!$C:$C, 0), MATCH(B79, 'Agri_land '!$E$1:$ZZ$1, 0))</f>
        <v>27.379536595462628</v>
      </c>
      <c r="J79">
        <f>INDEX(Cereal_Yield!$E:$ZZ, MATCH(A79, Cereal_Yield!$C:$C, 0), MATCH(B79, Cereal_Yield!$E$1:$ZZ$1, 0))</f>
        <v>2882.6</v>
      </c>
    </row>
    <row r="80" spans="1:10" x14ac:dyDescent="0.3">
      <c r="A80" t="s">
        <v>8</v>
      </c>
      <c r="B80" s="4">
        <v>2006</v>
      </c>
      <c r="C80" t="s">
        <v>48</v>
      </c>
      <c r="D80" s="8">
        <f>INDEX(GDP_pc!$E:$ZZ, MATCH(A80, GDP_pc!$C:$C, 0), MATCH(B80, GDP_pc!$E$1:$ZZ$1, 0))</f>
        <v>1107626711163.2285</v>
      </c>
      <c r="E80">
        <f>INDEX(CH4_Em!$E:$ZZ, MATCH(A80, CH4_Em!$C:$C, 0), MATCH(B80, CH4_Em!$E$1:$ZZ$1, 0))</f>
        <v>397.07670000000002</v>
      </c>
      <c r="F80">
        <f>INDEX(N2O_Em!$E:$ZZ, MATCH(A80, N2O_Em!$C:$C, 0), MATCH(B80, N2O_Em!$E$1:$ZZ$1, 0))</f>
        <v>104.7655</v>
      </c>
      <c r="G80">
        <f>INDEX(CO2_Em!$E:$ZZ, MATCH(A80, CO2_Em!$C:$C, 0), MATCH(B80, CO2_Em!$E$1:$ZZ$1, 0))</f>
        <v>5.5210999999999997</v>
      </c>
      <c r="H80">
        <f>INDEX(Agri_VA!$E:$ZZ, MATCH(A80, Agri_VA!$C:$C, 0), MATCH(B80, Agri_VA!$E$1:$ZZ$1, 0))</f>
        <v>4.3700437789580686</v>
      </c>
      <c r="I80" s="6">
        <f>INDEX('Agri_land '!$E:$ZZ, MATCH(A80, 'Agri_land '!$C:$C, 0), MATCH(B80, 'Agri_land '!$E$1:$ZZ$1, 0))</f>
        <v>27.392577774480927</v>
      </c>
      <c r="J80">
        <f>INDEX(Cereal_Yield!$E:$ZZ, MATCH(A80, Cereal_Yield!$C:$C, 0), MATCH(B80, Cereal_Yield!$E$1:$ZZ$1, 0))</f>
        <v>3210.5</v>
      </c>
    </row>
    <row r="81" spans="1:10" x14ac:dyDescent="0.3">
      <c r="A81" t="s">
        <v>8</v>
      </c>
      <c r="B81" s="4">
        <v>2007</v>
      </c>
      <c r="C81" t="s">
        <v>48</v>
      </c>
      <c r="D81" s="8">
        <f>INDEX(GDP_pc!$E:$ZZ, MATCH(A81, GDP_pc!$C:$C, 0), MATCH(B81, GDP_pc!$E$1:$ZZ$1, 0))</f>
        <v>1397114247188.8928</v>
      </c>
      <c r="E81">
        <f>INDEX(CH4_Em!$E:$ZZ, MATCH(A81, CH4_Em!$C:$C, 0), MATCH(B81, CH4_Em!$E$1:$ZZ$1, 0))</f>
        <v>388.9076</v>
      </c>
      <c r="F81">
        <f>INDEX(N2O_Em!$E:$ZZ, MATCH(A81, N2O_Em!$C:$C, 0), MATCH(B81, N2O_Em!$E$1:$ZZ$1, 0))</f>
        <v>107.419</v>
      </c>
      <c r="G81">
        <f>INDEX(CO2_Em!$E:$ZZ, MATCH(A81, CO2_Em!$C:$C, 0), MATCH(B81, CO2_Em!$E$1:$ZZ$1, 0))</f>
        <v>7.1531000000000002</v>
      </c>
      <c r="H81">
        <f>INDEX(Agri_VA!$E:$ZZ, MATCH(A81, Agri_VA!$C:$C, 0), MATCH(B81, Agri_VA!$E$1:$ZZ$1, 0))</f>
        <v>4.4169154361723493</v>
      </c>
      <c r="I81" s="6">
        <f>INDEX('Agri_land '!$E:$ZZ, MATCH(A81, 'Agri_land '!$C:$C, 0), MATCH(B81, 'Agri_land '!$E$1:$ZZ$1, 0))</f>
        <v>27.47881705738358</v>
      </c>
      <c r="J81">
        <f>INDEX(Cereal_Yield!$E:$ZZ, MATCH(A81, Cereal_Yield!$C:$C, 0), MATCH(B81, Cereal_Yield!$E$1:$ZZ$1, 0))</f>
        <v>3553.1</v>
      </c>
    </row>
    <row r="82" spans="1:10" x14ac:dyDescent="0.3">
      <c r="A82" t="s">
        <v>8</v>
      </c>
      <c r="B82" s="4">
        <v>2008</v>
      </c>
      <c r="C82" t="s">
        <v>48</v>
      </c>
      <c r="D82" s="8">
        <f>INDEX(GDP_pc!$E:$ZZ, MATCH(A82, GDP_pc!$C:$C, 0), MATCH(B82, GDP_pc!$E$1:$ZZ$1, 0))</f>
        <v>1695855391757.9614</v>
      </c>
      <c r="E82">
        <f>INDEX(CH4_Em!$E:$ZZ, MATCH(A82, CH4_Em!$C:$C, 0), MATCH(B82, CH4_Em!$E$1:$ZZ$1, 0))</f>
        <v>397.27159999999998</v>
      </c>
      <c r="F82">
        <f>INDEX(N2O_Em!$E:$ZZ, MATCH(A82, N2O_Em!$C:$C, 0), MATCH(B82, N2O_Em!$E$1:$ZZ$1, 0))</f>
        <v>108.00920000000001</v>
      </c>
      <c r="G82">
        <f>INDEX(CO2_Em!$E:$ZZ, MATCH(A82, CO2_Em!$C:$C, 0), MATCH(B82, CO2_Em!$E$1:$ZZ$1, 0))</f>
        <v>6.3064999999999998</v>
      </c>
      <c r="H82">
        <f>INDEX(Agri_VA!$E:$ZZ, MATCH(A82, Agri_VA!$C:$C, 0), MATCH(B82, Agri_VA!$E$1:$ZZ$1, 0))</f>
        <v>4.5678511810472253</v>
      </c>
      <c r="I82" s="6">
        <f>INDEX('Agri_land '!$E:$ZZ, MATCH(A82, 'Agri_land '!$C:$C, 0), MATCH(B82, 'Agri_land '!$E$1:$ZZ$1, 0))</f>
        <v>27.565056340286237</v>
      </c>
      <c r="J82">
        <f>INDEX(Cereal_Yield!$E:$ZZ, MATCH(A82, Cereal_Yield!$C:$C, 0), MATCH(B82, Cereal_Yield!$E$1:$ZZ$1, 0))</f>
        <v>3831.3</v>
      </c>
    </row>
    <row r="83" spans="1:10" x14ac:dyDescent="0.3">
      <c r="A83" t="s">
        <v>8</v>
      </c>
      <c r="B83" s="4">
        <v>2009</v>
      </c>
      <c r="C83" t="s">
        <v>48</v>
      </c>
      <c r="D83" s="8">
        <f>INDEX(GDP_pc!$E:$ZZ, MATCH(A83, GDP_pc!$C:$C, 0), MATCH(B83, GDP_pc!$E$1:$ZZ$1, 0))</f>
        <v>1666996294252.1167</v>
      </c>
      <c r="E83">
        <f>INDEX(CH4_Em!$E:$ZZ, MATCH(A83, CH4_Em!$C:$C, 0), MATCH(B83, CH4_Em!$E$1:$ZZ$1, 0))</f>
        <v>405.6497</v>
      </c>
      <c r="F83">
        <f>INDEX(N2O_Em!$E:$ZZ, MATCH(A83, N2O_Em!$C:$C, 0), MATCH(B83, N2O_Em!$E$1:$ZZ$1, 0))</f>
        <v>107.6802</v>
      </c>
      <c r="G83">
        <f>INDEX(CO2_Em!$E:$ZZ, MATCH(A83, CO2_Em!$C:$C, 0), MATCH(B83, CO2_Em!$E$1:$ZZ$1, 0))</f>
        <v>6.28</v>
      </c>
      <c r="H83">
        <f>INDEX(Agri_VA!$E:$ZZ, MATCH(A83, Agri_VA!$C:$C, 0), MATCH(B83, Agri_VA!$E$1:$ZZ$1, 0))</f>
        <v>4.4767739921445333</v>
      </c>
      <c r="I83" s="6">
        <f>INDEX('Agri_land '!$E:$ZZ, MATCH(A83, 'Agri_land '!$C:$C, 0), MATCH(B83, 'Agri_land '!$E$1:$ZZ$1, 0))</f>
        <v>27.651295623188894</v>
      </c>
      <c r="J83">
        <f>INDEX(Cereal_Yield!$E:$ZZ, MATCH(A83, Cereal_Yield!$C:$C, 0), MATCH(B83, Cereal_Yield!$E$1:$ZZ$1, 0))</f>
        <v>3532.1</v>
      </c>
    </row>
    <row r="84" spans="1:10" x14ac:dyDescent="0.3">
      <c r="A84" t="s">
        <v>8</v>
      </c>
      <c r="B84" s="4">
        <v>2010</v>
      </c>
      <c r="C84" t="s">
        <v>48</v>
      </c>
      <c r="D84" s="8">
        <f>INDEX(GDP_pc!$E:$ZZ, MATCH(A84, GDP_pc!$C:$C, 0), MATCH(B84, GDP_pc!$E$1:$ZZ$1, 0))</f>
        <v>2208838108484.3452</v>
      </c>
      <c r="E84">
        <f>INDEX(CH4_Em!$E:$ZZ, MATCH(A84, CH4_Em!$C:$C, 0), MATCH(B84, CH4_Em!$E$1:$ZZ$1, 0))</f>
        <v>415.85680000000002</v>
      </c>
      <c r="F84">
        <f>INDEX(N2O_Em!$E:$ZZ, MATCH(A84, N2O_Em!$C:$C, 0), MATCH(B84, N2O_Em!$E$1:$ZZ$1, 0))</f>
        <v>111.4864</v>
      </c>
      <c r="G84">
        <f>INDEX(CO2_Em!$E:$ZZ, MATCH(A84, CO2_Em!$C:$C, 0), MATCH(B84, CO2_Em!$E$1:$ZZ$1, 0))</f>
        <v>6.4276999999999997</v>
      </c>
      <c r="H84">
        <f>INDEX(Agri_VA!$E:$ZZ, MATCH(A84, Agri_VA!$C:$C, 0), MATCH(B84, Agri_VA!$E$1:$ZZ$1, 0))</f>
        <v>4.1157564864705494</v>
      </c>
      <c r="I84" s="6">
        <f>INDEX('Agri_land '!$E:$ZZ, MATCH(A84, 'Agri_land '!$C:$C, 0), MATCH(B84, 'Agri_land '!$E$1:$ZZ$1, 0))</f>
        <v>27.73753490609155</v>
      </c>
      <c r="J84">
        <f>INDEX(Cereal_Yield!$E:$ZZ, MATCH(A84, Cereal_Yield!$C:$C, 0), MATCH(B84, Cereal_Yield!$E$1:$ZZ$1, 0))</f>
        <v>4040.6</v>
      </c>
    </row>
    <row r="85" spans="1:10" x14ac:dyDescent="0.3">
      <c r="A85" t="s">
        <v>8</v>
      </c>
      <c r="B85" s="4">
        <v>2011</v>
      </c>
      <c r="C85" t="s">
        <v>48</v>
      </c>
      <c r="D85" s="8">
        <f>INDEX(GDP_pc!$E:$ZZ, MATCH(A85, GDP_pc!$C:$C, 0), MATCH(B85, GDP_pc!$E$1:$ZZ$1, 0))</f>
        <v>2616156606579.209</v>
      </c>
      <c r="E85">
        <f>INDEX(CH4_Em!$E:$ZZ, MATCH(A85, CH4_Em!$C:$C, 0), MATCH(B85, CH4_Em!$E$1:$ZZ$1, 0))</f>
        <v>425.58940000000001</v>
      </c>
      <c r="F85">
        <f>INDEX(N2O_Em!$E:$ZZ, MATCH(A85, N2O_Em!$C:$C, 0), MATCH(B85, N2O_Em!$E$1:$ZZ$1, 0))</f>
        <v>117.6168</v>
      </c>
      <c r="G85">
        <f>INDEX(CO2_Em!$E:$ZZ, MATCH(A85, CO2_Em!$C:$C, 0), MATCH(B85, CO2_Em!$E$1:$ZZ$1, 0))</f>
        <v>8.3605999999999998</v>
      </c>
      <c r="H85">
        <f>INDEX(Agri_VA!$E:$ZZ, MATCH(A85, Agri_VA!$C:$C, 0), MATCH(B85, Agri_VA!$E$1:$ZZ$1, 0))</f>
        <v>4.3420341282890602</v>
      </c>
      <c r="I85" s="6">
        <f>INDEX('Agri_land '!$E:$ZZ, MATCH(A85, 'Agri_land '!$C:$C, 0), MATCH(B85, 'Agri_land '!$E$1:$ZZ$1, 0))</f>
        <v>27.823774188994204</v>
      </c>
      <c r="J85">
        <f>INDEX(Cereal_Yield!$E:$ZZ, MATCH(A85, Cereal_Yield!$C:$C, 0), MATCH(B85, Cereal_Yield!$E$1:$ZZ$1, 0))</f>
        <v>4037.5</v>
      </c>
    </row>
    <row r="86" spans="1:10" x14ac:dyDescent="0.3">
      <c r="A86" t="s">
        <v>8</v>
      </c>
      <c r="B86" s="4">
        <v>2012</v>
      </c>
      <c r="C86" t="s">
        <v>48</v>
      </c>
      <c r="D86" s="8">
        <f>INDEX(GDP_pc!$E:$ZZ, MATCH(A86, GDP_pc!$C:$C, 0), MATCH(B86, GDP_pc!$E$1:$ZZ$1, 0))</f>
        <v>2465228293706.8604</v>
      </c>
      <c r="E86">
        <f>INDEX(CH4_Em!$E:$ZZ, MATCH(A86, CH4_Em!$C:$C, 0), MATCH(B86, CH4_Em!$E$1:$ZZ$1, 0))</f>
        <v>423.2285</v>
      </c>
      <c r="F86">
        <f>INDEX(N2O_Em!$E:$ZZ, MATCH(A86, N2O_Em!$C:$C, 0), MATCH(B86, N2O_Em!$E$1:$ZZ$1, 0))</f>
        <v>116.25230000000001</v>
      </c>
      <c r="G86">
        <f>INDEX(CO2_Em!$E:$ZZ, MATCH(A86, CO2_Em!$C:$C, 0), MATCH(B86, CO2_Em!$E$1:$ZZ$1, 0))</f>
        <v>7.9279000000000002</v>
      </c>
      <c r="H86">
        <f>INDEX(Agri_VA!$E:$ZZ, MATCH(A86, Agri_VA!$C:$C, 0), MATCH(B86, Agri_VA!$E$1:$ZZ$1, 0))</f>
        <v>4.1683282242410851</v>
      </c>
      <c r="I86" s="6">
        <f>INDEX('Agri_land '!$E:$ZZ, MATCH(A86, 'Agri_land '!$C:$C, 0), MATCH(B86, 'Agri_land '!$E$1:$ZZ$1, 0))</f>
        <v>27.910013471896853</v>
      </c>
      <c r="J86">
        <f>INDEX(Cereal_Yield!$E:$ZZ, MATCH(A86, Cereal_Yield!$C:$C, 0), MATCH(B86, Cereal_Yield!$E$1:$ZZ$1, 0))</f>
        <v>4584.5</v>
      </c>
    </row>
    <row r="87" spans="1:10" x14ac:dyDescent="0.3">
      <c r="A87" t="s">
        <v>8</v>
      </c>
      <c r="B87" s="4">
        <v>2013</v>
      </c>
      <c r="C87" t="s">
        <v>48</v>
      </c>
      <c r="D87" s="8">
        <f>INDEX(GDP_pc!$E:$ZZ, MATCH(A87, GDP_pc!$C:$C, 0), MATCH(B87, GDP_pc!$E$1:$ZZ$1, 0))</f>
        <v>2472819362043.7378</v>
      </c>
      <c r="E87">
        <f>INDEX(CH4_Em!$E:$ZZ, MATCH(A87, CH4_Em!$C:$C, 0), MATCH(B87, CH4_Em!$E$1:$ZZ$1, 0))</f>
        <v>427.98509999999999</v>
      </c>
      <c r="F87">
        <f>INDEX(N2O_Em!$E:$ZZ, MATCH(A87, N2O_Em!$C:$C, 0), MATCH(B87, N2O_Em!$E$1:$ZZ$1, 0))</f>
        <v>118.3313</v>
      </c>
      <c r="G87">
        <f>INDEX(CO2_Em!$E:$ZZ, MATCH(A87, CO2_Em!$C:$C, 0), MATCH(B87, CO2_Em!$E$1:$ZZ$1, 0))</f>
        <v>8.4147999999999996</v>
      </c>
      <c r="H87">
        <f>INDEX(Agri_VA!$E:$ZZ, MATCH(A87, Agri_VA!$C:$C, 0), MATCH(B87, Agri_VA!$E$1:$ZZ$1, 0))</f>
        <v>4.5068861816595609</v>
      </c>
      <c r="I87" s="6">
        <f>INDEX('Agri_land '!$E:$ZZ, MATCH(A87, 'Agri_land '!$C:$C, 0), MATCH(B87, 'Agri_land '!$E$1:$ZZ$1, 0))</f>
        <v>27.99625275479951</v>
      </c>
      <c r="J87">
        <f>INDEX(Cereal_Yield!$E:$ZZ, MATCH(A87, Cereal_Yield!$C:$C, 0), MATCH(B87, Cereal_Yield!$E$1:$ZZ$1, 0))</f>
        <v>4826.3999999999996</v>
      </c>
    </row>
    <row r="88" spans="1:10" x14ac:dyDescent="0.3">
      <c r="A88" t="s">
        <v>8</v>
      </c>
      <c r="B88" s="4">
        <v>2014</v>
      </c>
      <c r="C88" t="s">
        <v>48</v>
      </c>
      <c r="D88" s="8">
        <f>INDEX(GDP_pc!$E:$ZZ, MATCH(A88, GDP_pc!$C:$C, 0), MATCH(B88, GDP_pc!$E$1:$ZZ$1, 0))</f>
        <v>2456043766032.3828</v>
      </c>
      <c r="E88">
        <f>INDEX(CH4_Em!$E:$ZZ, MATCH(A88, CH4_Em!$C:$C, 0), MATCH(B88, CH4_Em!$E$1:$ZZ$1, 0))</f>
        <v>431.55630000000002</v>
      </c>
      <c r="F88">
        <f>INDEX(N2O_Em!$E:$ZZ, MATCH(A88, N2O_Em!$C:$C, 0), MATCH(B88, N2O_Em!$E$1:$ZZ$1, 0))</f>
        <v>120.1113</v>
      </c>
      <c r="G88">
        <f>INDEX(CO2_Em!$E:$ZZ, MATCH(A88, CO2_Em!$C:$C, 0), MATCH(B88, CO2_Em!$E$1:$ZZ$1, 0))</f>
        <v>8.5960999999999999</v>
      </c>
      <c r="H88">
        <f>INDEX(Agri_VA!$E:$ZZ, MATCH(A88, Agri_VA!$C:$C, 0), MATCH(B88, Agri_VA!$E$1:$ZZ$1, 0))</f>
        <v>4.3256105387736152</v>
      </c>
      <c r="I88" s="6">
        <f>INDEX('Agri_land '!$E:$ZZ, MATCH(A88, 'Agri_land '!$C:$C, 0), MATCH(B88, 'Agri_land '!$E$1:$ZZ$1, 0))</f>
        <v>28.082492037702167</v>
      </c>
      <c r="J88">
        <f>INDEX(Cereal_Yield!$E:$ZZ, MATCH(A88, Cereal_Yield!$C:$C, 0), MATCH(B88, Cereal_Yield!$E$1:$ZZ$1, 0))</f>
        <v>4640.3999999999996</v>
      </c>
    </row>
    <row r="89" spans="1:10" x14ac:dyDescent="0.3">
      <c r="A89" t="s">
        <v>8</v>
      </c>
      <c r="B89" s="4">
        <v>2015</v>
      </c>
      <c r="C89" t="s">
        <v>48</v>
      </c>
      <c r="D89" s="8">
        <f>INDEX(GDP_pc!$E:$ZZ, MATCH(A89, GDP_pc!$C:$C, 0), MATCH(B89, GDP_pc!$E$1:$ZZ$1, 0))</f>
        <v>1802211999456.4155</v>
      </c>
      <c r="E89">
        <f>INDEX(CH4_Em!$E:$ZZ, MATCH(A89, CH4_Em!$C:$C, 0), MATCH(B89, CH4_Em!$E$1:$ZZ$1, 0))</f>
        <v>439.83210000000003</v>
      </c>
      <c r="F89">
        <f>INDEX(N2O_Em!$E:$ZZ, MATCH(A89, N2O_Em!$C:$C, 0), MATCH(B89, N2O_Em!$E$1:$ZZ$1, 0))</f>
        <v>120.0672</v>
      </c>
      <c r="G89">
        <f>INDEX(CO2_Em!$E:$ZZ, MATCH(A89, CO2_Em!$C:$C, 0), MATCH(B89, CO2_Em!$E$1:$ZZ$1, 0))</f>
        <v>7.98</v>
      </c>
      <c r="H89">
        <f>INDEX(Agri_VA!$E:$ZZ, MATCH(A89, Agri_VA!$C:$C, 0), MATCH(B89, Agri_VA!$E$1:$ZZ$1, 0))</f>
        <v>4.3191494293122075</v>
      </c>
      <c r="I89" s="6">
        <f>INDEX('Agri_land '!$E:$ZZ, MATCH(A89, 'Agri_land '!$C:$C, 0), MATCH(B89, 'Agri_land '!$E$1:$ZZ$1, 0))</f>
        <v>28.168707391835984</v>
      </c>
      <c r="J89">
        <f>INDEX(Cereal_Yield!$E:$ZZ, MATCH(A89, Cereal_Yield!$C:$C, 0), MATCH(B89, Cereal_Yield!$E$1:$ZZ$1, 0))</f>
        <v>5000.6000000000004</v>
      </c>
    </row>
    <row r="90" spans="1:10" x14ac:dyDescent="0.3">
      <c r="A90" t="s">
        <v>8</v>
      </c>
      <c r="B90" s="4">
        <v>2016</v>
      </c>
      <c r="C90" t="s">
        <v>48</v>
      </c>
      <c r="D90" s="8">
        <f>INDEX(GDP_pc!$E:$ZZ, MATCH(A90, GDP_pc!$C:$C, 0), MATCH(B90, GDP_pc!$E$1:$ZZ$1, 0))</f>
        <v>1795693265999.0378</v>
      </c>
      <c r="E90">
        <f>INDEX(CH4_Em!$E:$ZZ, MATCH(A90, CH4_Em!$C:$C, 0), MATCH(B90, CH4_Em!$E$1:$ZZ$1, 0))</f>
        <v>444.27679999999998</v>
      </c>
      <c r="F90">
        <f>INDEX(N2O_Em!$E:$ZZ, MATCH(A90, N2O_Em!$C:$C, 0), MATCH(B90, N2O_Em!$E$1:$ZZ$1, 0))</f>
        <v>125.0617</v>
      </c>
      <c r="G90">
        <f>INDEX(CO2_Em!$E:$ZZ, MATCH(A90, CO2_Em!$C:$C, 0), MATCH(B90, CO2_Em!$E$1:$ZZ$1, 0))</f>
        <v>9.3096999999999994</v>
      </c>
      <c r="H90">
        <f>INDEX(Agri_VA!$E:$ZZ, MATCH(A90, Agri_VA!$C:$C, 0), MATCH(B90, Agri_VA!$E$1:$ZZ$1, 0))</f>
        <v>4.8913535872106575</v>
      </c>
      <c r="I90" s="6">
        <f>INDEX('Agri_land '!$E:$ZZ, MATCH(A90, 'Agri_land '!$C:$C, 0), MATCH(B90, 'Agri_land '!$E$1:$ZZ$1, 0))</f>
        <v>28.254970603507481</v>
      </c>
      <c r="J90">
        <f>INDEX(Cereal_Yield!$E:$ZZ, MATCH(A90, Cereal_Yield!$C:$C, 0), MATCH(B90, Cereal_Yield!$E$1:$ZZ$1, 0))</f>
        <v>4181.7</v>
      </c>
    </row>
    <row r="91" spans="1:10" x14ac:dyDescent="0.3">
      <c r="A91" t="s">
        <v>8</v>
      </c>
      <c r="B91" s="4">
        <v>2017</v>
      </c>
      <c r="C91" t="s">
        <v>48</v>
      </c>
      <c r="D91" s="8">
        <f>INDEX(GDP_pc!$E:$ZZ, MATCH(A91, GDP_pc!$C:$C, 0), MATCH(B91, GDP_pc!$E$1:$ZZ$1, 0))</f>
        <v>2063514688805.7754</v>
      </c>
      <c r="E91">
        <f>INDEX(CH4_Em!$E:$ZZ, MATCH(A91, CH4_Em!$C:$C, 0), MATCH(B91, CH4_Em!$E$1:$ZZ$1, 0))</f>
        <v>439.36930000000001</v>
      </c>
      <c r="F91">
        <f>INDEX(N2O_Em!$E:$ZZ, MATCH(A91, N2O_Em!$C:$C, 0), MATCH(B91, N2O_Em!$E$1:$ZZ$1, 0))</f>
        <v>125.5125</v>
      </c>
      <c r="G91">
        <f>INDEX(CO2_Em!$E:$ZZ, MATCH(A91, CO2_Em!$C:$C, 0), MATCH(B91, CO2_Em!$E$1:$ZZ$1, 0))</f>
        <v>9.3658000000000001</v>
      </c>
      <c r="H91">
        <f>INDEX(Agri_VA!$E:$ZZ, MATCH(A91, Agri_VA!$C:$C, 0), MATCH(B91, Agri_VA!$E$1:$ZZ$1, 0))</f>
        <v>4.6005916952048036</v>
      </c>
      <c r="I91" s="6">
        <f>INDEX('Agri_land '!$E:$ZZ, MATCH(A91, 'Agri_land '!$C:$C, 0), MATCH(B91, 'Agri_land '!$E$1:$ZZ$1, 0))</f>
        <v>28.34111417133477</v>
      </c>
      <c r="J91">
        <f>INDEX(Cereal_Yield!$E:$ZZ, MATCH(A91, Cereal_Yield!$C:$C, 0), MATCH(B91, Cereal_Yield!$E$1:$ZZ$1, 0))</f>
        <v>5209.6000000000004</v>
      </c>
    </row>
    <row r="92" spans="1:10" x14ac:dyDescent="0.3">
      <c r="A92" t="s">
        <v>8</v>
      </c>
      <c r="B92" s="4">
        <v>2018</v>
      </c>
      <c r="C92" t="s">
        <v>48</v>
      </c>
      <c r="D92" s="8">
        <f>INDEX(GDP_pc!$E:$ZZ, MATCH(A92, GDP_pc!$C:$C, 0), MATCH(B92, GDP_pc!$E$1:$ZZ$1, 0))</f>
        <v>1916933708352.7053</v>
      </c>
      <c r="E92">
        <f>INDEX(CH4_Em!$E:$ZZ, MATCH(A92, CH4_Em!$C:$C, 0), MATCH(B92, CH4_Em!$E$1:$ZZ$1, 0))</f>
        <v>436.58909999999997</v>
      </c>
      <c r="F92">
        <f>INDEX(N2O_Em!$E:$ZZ, MATCH(A92, N2O_Em!$C:$C, 0), MATCH(B92, N2O_Em!$E$1:$ZZ$1, 0))</f>
        <v>124.4207</v>
      </c>
      <c r="G92">
        <f>INDEX(CO2_Em!$E:$ZZ, MATCH(A92, CO2_Em!$C:$C, 0), MATCH(B92, CO2_Em!$E$1:$ZZ$1, 0))</f>
        <v>9.2281999999999993</v>
      </c>
      <c r="H92">
        <f>INDEX(Agri_VA!$E:$ZZ, MATCH(A92, Agri_VA!$C:$C, 0), MATCH(B92, Agri_VA!$E$1:$ZZ$1, 0))</f>
        <v>4.4203993034601954</v>
      </c>
      <c r="I92" s="6">
        <f>INDEX('Agri_land '!$E:$ZZ, MATCH(A92, 'Agri_land '!$C:$C, 0), MATCH(B92, 'Agri_land '!$E$1:$ZZ$1, 0))</f>
        <v>28.338218790305021</v>
      </c>
      <c r="J92">
        <f>INDEX(Cereal_Yield!$E:$ZZ, MATCH(A92, Cereal_Yield!$C:$C, 0), MATCH(B92, Cereal_Yield!$E$1:$ZZ$1, 0))</f>
        <v>4806.5</v>
      </c>
    </row>
    <row r="93" spans="1:10" x14ac:dyDescent="0.3">
      <c r="A93" t="s">
        <v>8</v>
      </c>
      <c r="B93" s="4">
        <v>2019</v>
      </c>
      <c r="C93" t="s">
        <v>48</v>
      </c>
      <c r="D93" s="8">
        <f>INDEX(GDP_pc!$E:$ZZ, MATCH(A93, GDP_pc!$C:$C, 0), MATCH(B93, GDP_pc!$E$1:$ZZ$1, 0))</f>
        <v>1873288158838.6255</v>
      </c>
      <c r="E93">
        <f>INDEX(CH4_Em!$E:$ZZ, MATCH(A93, CH4_Em!$C:$C, 0), MATCH(B93, CH4_Em!$E$1:$ZZ$1, 0))</f>
        <v>438.75200000000001</v>
      </c>
      <c r="F93">
        <f>INDEX(N2O_Em!$E:$ZZ, MATCH(A93, N2O_Em!$C:$C, 0), MATCH(B93, N2O_Em!$E$1:$ZZ$1, 0))</f>
        <v>125.6401</v>
      </c>
      <c r="G93">
        <f>INDEX(CO2_Em!$E:$ZZ, MATCH(A93, CO2_Em!$C:$C, 0), MATCH(B93, CO2_Em!$E$1:$ZZ$1, 0))</f>
        <v>9.7931000000000008</v>
      </c>
      <c r="H93">
        <f>INDEX(Agri_VA!$E:$ZZ, MATCH(A93, Agri_VA!$C:$C, 0), MATCH(B93, Agri_VA!$E$1:$ZZ$1, 0))</f>
        <v>4.2050140951086972</v>
      </c>
      <c r="I93" s="6">
        <f>INDEX('Agri_land '!$E:$ZZ, MATCH(A93, 'Agri_land '!$C:$C, 0), MATCH(B93, 'Agri_land '!$E$1:$ZZ$1, 0))</f>
        <v>28.335347338044109</v>
      </c>
      <c r="J93">
        <f>INDEX(Cereal_Yield!$E:$ZZ, MATCH(A93, Cereal_Yield!$C:$C, 0), MATCH(B93, Cereal_Yield!$E$1:$ZZ$1, 0))</f>
        <v>5321.3</v>
      </c>
    </row>
    <row r="94" spans="1:10" x14ac:dyDescent="0.3">
      <c r="A94" t="s">
        <v>8</v>
      </c>
      <c r="B94" s="4">
        <v>2020</v>
      </c>
      <c r="C94" t="s">
        <v>48</v>
      </c>
      <c r="D94" s="8">
        <f>INDEX(GDP_pc!$E:$ZZ, MATCH(A94, GDP_pc!$C:$C, 0), MATCH(B94, GDP_pc!$E$1:$ZZ$1, 0))</f>
        <v>1476107292151.9543</v>
      </c>
      <c r="E94">
        <f>INDEX(CH4_Em!$E:$ZZ, MATCH(A94, CH4_Em!$C:$C, 0), MATCH(B94, CH4_Em!$E$1:$ZZ$1, 0))</f>
        <v>444.68220000000002</v>
      </c>
      <c r="F94">
        <f>INDEX(N2O_Em!$E:$ZZ, MATCH(A94, N2O_Em!$C:$C, 0), MATCH(B94, N2O_Em!$E$1:$ZZ$1, 0))</f>
        <v>132.92500000000001</v>
      </c>
      <c r="G94">
        <f>INDEX(CO2_Em!$E:$ZZ, MATCH(A94, CO2_Em!$C:$C, 0), MATCH(B94, CO2_Em!$E$1:$ZZ$1, 0))</f>
        <v>11.523</v>
      </c>
      <c r="H94">
        <f>INDEX(Agri_VA!$E:$ZZ, MATCH(A94, Agri_VA!$C:$C, 0), MATCH(B94, Agri_VA!$E$1:$ZZ$1, 0))</f>
        <v>5.711485115159201</v>
      </c>
      <c r="I94" s="6">
        <f>INDEX('Agri_land '!$E:$ZZ, MATCH(A94, 'Agri_land '!$C:$C, 0), MATCH(B94, 'Agri_land '!$E$1:$ZZ$1, 0))</f>
        <v>28.332475885783197</v>
      </c>
      <c r="J94">
        <f>INDEX(Cereal_Yield!$E:$ZZ, MATCH(A94, Cereal_Yield!$C:$C, 0), MATCH(B94, Cereal_Yield!$E$1:$ZZ$1, 0))</f>
        <v>5255.3</v>
      </c>
    </row>
    <row r="95" spans="1:10" x14ac:dyDescent="0.3">
      <c r="A95" t="s">
        <v>8</v>
      </c>
      <c r="B95" s="4">
        <v>2021</v>
      </c>
      <c r="C95" t="s">
        <v>48</v>
      </c>
      <c r="D95" s="8">
        <f>INDEX(GDP_pc!$E:$ZZ, MATCH(A95, GDP_pc!$C:$C, 0), MATCH(B95, GDP_pc!$E$1:$ZZ$1, 0))</f>
        <v>1670647464062.9622</v>
      </c>
      <c r="E95">
        <f>INDEX(CH4_Em!$E:$ZZ, MATCH(A95, CH4_Em!$C:$C, 0), MATCH(B95, CH4_Em!$E$1:$ZZ$1, 0))</f>
        <v>457.35070000000002</v>
      </c>
      <c r="F95">
        <f>INDEX(N2O_Em!$E:$ZZ, MATCH(A95, N2O_Em!$C:$C, 0), MATCH(B95, N2O_Em!$E$1:$ZZ$1, 0))</f>
        <v>139.4922</v>
      </c>
      <c r="G95">
        <f>INDEX(CO2_Em!$E:$ZZ, MATCH(A95, CO2_Em!$C:$C, 0), MATCH(B95, CO2_Em!$E$1:$ZZ$1, 0))</f>
        <v>12.832000000000001</v>
      </c>
      <c r="H95">
        <f>INDEX(Agri_VA!$E:$ZZ, MATCH(A95, Agri_VA!$C:$C, 0), MATCH(B95, Agri_VA!$E$1:$ZZ$1, 0))</f>
        <v>6.5587626120738136</v>
      </c>
      <c r="I95" s="6">
        <f>INDEX('Agri_land '!$E:$ZZ, MATCH(A95, 'Agri_land '!$C:$C, 0), MATCH(B95, 'Agri_land '!$E$1:$ZZ$1, 0))</f>
        <v>28.329604433522292</v>
      </c>
      <c r="J95">
        <f>INDEX(Cereal_Yield!$E:$ZZ, MATCH(A95, Cereal_Yield!$C:$C, 0), MATCH(B95, Cereal_Yield!$E$1:$ZZ$1, 0))</f>
        <v>4479</v>
      </c>
    </row>
    <row r="96" spans="1:10" x14ac:dyDescent="0.3">
      <c r="A96" t="s">
        <v>8</v>
      </c>
      <c r="B96" s="4">
        <v>2022</v>
      </c>
      <c r="C96" t="s">
        <v>48</v>
      </c>
      <c r="D96" s="8">
        <f>INDEX(GDP_pc!$E:$ZZ, MATCH(A96, GDP_pc!$C:$C, 0), MATCH(B96, GDP_pc!$E$1:$ZZ$1, 0))</f>
        <v>1951923832083.8743</v>
      </c>
      <c r="E96">
        <f>INDEX(CH4_Em!$E:$ZZ, MATCH(A96, CH4_Em!$C:$C, 0), MATCH(B96, CH4_Em!$E$1:$ZZ$1, 0))</f>
        <v>476.2004</v>
      </c>
      <c r="F96">
        <f>INDEX(N2O_Em!$E:$ZZ, MATCH(A96, N2O_Em!$C:$C, 0), MATCH(B96, N2O_Em!$E$1:$ZZ$1, 0))</f>
        <v>141.92179999999999</v>
      </c>
      <c r="G96">
        <f>INDEX(CO2_Em!$E:$ZZ, MATCH(A96, CO2_Em!$C:$C, 0), MATCH(B96, CO2_Em!$E$1:$ZZ$1, 0))</f>
        <v>12.8878</v>
      </c>
      <c r="H96">
        <f>INDEX(Agri_VA!$E:$ZZ, MATCH(A96, Agri_VA!$C:$C, 0), MATCH(B96, Agri_VA!$E$1:$ZZ$1, 0))</f>
        <v>5.767474908422181</v>
      </c>
      <c r="I96" s="6">
        <f>INDEX('Agri_land '!$E:$ZZ, MATCH(A96, 'Agri_land '!$C:$C, 0), MATCH(B96, 'Agri_land '!$E$1:$ZZ$1, 0))</f>
        <v>28.326732981261383</v>
      </c>
      <c r="J96">
        <f>INDEX(Cereal_Yield!$E:$ZZ, MATCH(A96, Cereal_Yield!$C:$C, 0), MATCH(B96, Cereal_Yield!$E$1:$ZZ$1, 0))</f>
        <v>4907.3999999999996</v>
      </c>
    </row>
    <row r="97" spans="1:10" x14ac:dyDescent="0.3">
      <c r="A97" t="s">
        <v>8</v>
      </c>
      <c r="B97" s="4">
        <v>2023</v>
      </c>
      <c r="C97" t="s">
        <v>48</v>
      </c>
      <c r="D97" s="8">
        <f>INDEX(GDP_pc!$E:$ZZ, MATCH(A97, GDP_pc!$C:$C, 0), MATCH(B97, GDP_pc!$E$1:$ZZ$1, 0))</f>
        <v>2191131869706.0227</v>
      </c>
      <c r="E97">
        <f>INDEX(CH4_Em!$E:$ZZ, MATCH(A97, CH4_Em!$C:$C, 0), MATCH(B97, CH4_Em!$E$1:$ZZ$1, 0))</f>
        <v>485.03410000000002</v>
      </c>
      <c r="F97">
        <f>INDEX(N2O_Em!$E:$ZZ, MATCH(A97, N2O_Em!$C:$C, 0), MATCH(B97, N2O_Em!$E$1:$ZZ$1, 0))</f>
        <v>146.4691</v>
      </c>
      <c r="G97">
        <f>INDEX(CO2_Em!$E:$ZZ, MATCH(A97, CO2_Em!$C:$C, 0), MATCH(B97, CO2_Em!$E$1:$ZZ$1, 0))</f>
        <v>12.943099999999999</v>
      </c>
      <c r="H97">
        <f>INDEX(Agri_VA!$E:$ZZ, MATCH(A97, Agri_VA!$C:$C, 0), MATCH(B97, Agri_VA!$E$1:$ZZ$1, 0))</f>
        <v>6.0230602351415667</v>
      </c>
      <c r="I97" s="6">
        <f>INDEX('Agri_land '!$E:$ZZ, MATCH(A97, 'Agri_land '!$C:$C, 0), MATCH(B97, 'Agri_land '!$E$1:$ZZ$1, 0))</f>
        <v>28.326732981261383</v>
      </c>
      <c r="J97">
        <f>INDEX(Cereal_Yield!$E:$ZZ, MATCH(A97, Cereal_Yield!$C:$C, 0), MATCH(B97, Cereal_Yield!$E$1:$ZZ$1, 0))</f>
        <v>5336.3</v>
      </c>
    </row>
    <row r="98" spans="1:10" x14ac:dyDescent="0.3">
      <c r="A98" t="s">
        <v>9</v>
      </c>
      <c r="B98" s="4">
        <v>2000</v>
      </c>
      <c r="C98" t="s">
        <v>49</v>
      </c>
      <c r="D98" s="8">
        <f>INDEX(GDP_pc!$E:$ZZ, MATCH(A98, GDP_pc!$C:$C, 0), MATCH(B98, GDP_pc!$E$1:$ZZ$1, 0))</f>
        <v>744773415931.58704</v>
      </c>
      <c r="E98">
        <f>INDEX(CH4_Em!$E:$ZZ, MATCH(A98, CH4_Em!$C:$C, 0), MATCH(B98, CH4_Em!$E$1:$ZZ$1, 0))</f>
        <v>30.8992</v>
      </c>
      <c r="F98">
        <f>INDEX(N2O_Em!$E:$ZZ, MATCH(A98, N2O_Em!$C:$C, 0), MATCH(B98, N2O_Em!$E$1:$ZZ$1, 0))</f>
        <v>24.057600000000001</v>
      </c>
      <c r="G98">
        <f>INDEX(CO2_Em!$E:$ZZ, MATCH(A98, CO2_Em!$C:$C, 0), MATCH(B98, CO2_Em!$E$1:$ZZ$1, 0))</f>
        <v>2.0798000000000001</v>
      </c>
      <c r="H98">
        <f>INDEX(Agri_VA!$E:$ZZ, MATCH(A98, Agri_VA!$C:$C, 0), MATCH(B98, Agri_VA!$E$1:$ZZ$1, 0))</f>
        <v>2.0916530071071899</v>
      </c>
      <c r="I98" s="6">
        <f>INDEX('Agri_land '!$E:$ZZ, MATCH(A98, 'Agri_land '!$C:$C, 0), MATCH(B98, 'Agri_land '!$E$1:$ZZ$1, 0))</f>
        <v>6.8358022171435451</v>
      </c>
      <c r="J98">
        <f>INDEX(Cereal_Yield!$E:$ZZ, MATCH(A98, Cereal_Yield!$C:$C, 0), MATCH(B98, Cereal_Yield!$E$1:$ZZ$1, 0))</f>
        <v>2805.7</v>
      </c>
    </row>
    <row r="99" spans="1:10" x14ac:dyDescent="0.3">
      <c r="A99" t="s">
        <v>9</v>
      </c>
      <c r="B99" s="4">
        <v>2001</v>
      </c>
      <c r="C99" t="s">
        <v>49</v>
      </c>
      <c r="D99" s="8">
        <f>INDEX(GDP_pc!$E:$ZZ, MATCH(A99, GDP_pc!$C:$C, 0), MATCH(B99, GDP_pc!$E$1:$ZZ$1, 0))</f>
        <v>738981792355.37195</v>
      </c>
      <c r="E99">
        <f>INDEX(CH4_Em!$E:$ZZ, MATCH(A99, CH4_Em!$C:$C, 0), MATCH(B99, CH4_Em!$E$1:$ZZ$1, 0))</f>
        <v>31.822299999999998</v>
      </c>
      <c r="F99">
        <f>INDEX(N2O_Em!$E:$ZZ, MATCH(A99, N2O_Em!$C:$C, 0), MATCH(B99, N2O_Em!$E$1:$ZZ$1, 0))</f>
        <v>23.753499999999999</v>
      </c>
      <c r="G99">
        <f>INDEX(CO2_Em!$E:$ZZ, MATCH(A99, CO2_Em!$C:$C, 0), MATCH(B99, CO2_Em!$E$1:$ZZ$1, 0))</f>
        <v>2.1065</v>
      </c>
      <c r="H99">
        <f>INDEX(Agri_VA!$E:$ZZ, MATCH(A99, Agri_VA!$C:$C, 0), MATCH(B99, Agri_VA!$E$1:$ZZ$1, 0))</f>
        <v>2.1178906717575261</v>
      </c>
      <c r="I99" s="6">
        <f>INDEX('Agri_land '!$E:$ZZ, MATCH(A99, 'Agri_land '!$C:$C, 0), MATCH(B99, 'Agri_land '!$E$1:$ZZ$1, 0))</f>
        <v>6.838162441066344</v>
      </c>
      <c r="J99">
        <f>INDEX(Cereal_Yield!$E:$ZZ, MATCH(A99, Cereal_Yield!$C:$C, 0), MATCH(B99, Cereal_Yield!$E$1:$ZZ$1, 0))</f>
        <v>2446.8000000000002</v>
      </c>
    </row>
    <row r="100" spans="1:10" x14ac:dyDescent="0.3">
      <c r="A100" t="s">
        <v>9</v>
      </c>
      <c r="B100" s="4">
        <v>2002</v>
      </c>
      <c r="C100" t="s">
        <v>49</v>
      </c>
      <c r="D100" s="8">
        <f>INDEX(GDP_pc!$E:$ZZ, MATCH(A100, GDP_pc!$C:$C, 0), MATCH(B100, GDP_pc!$E$1:$ZZ$1, 0))</f>
        <v>760649334098.00549</v>
      </c>
      <c r="E100">
        <f>INDEX(CH4_Em!$E:$ZZ, MATCH(A100, CH4_Em!$C:$C, 0), MATCH(B100, CH4_Em!$E$1:$ZZ$1, 0))</f>
        <v>32.229199999999999</v>
      </c>
      <c r="F100">
        <f>INDEX(N2O_Em!$E:$ZZ, MATCH(A100, N2O_Em!$C:$C, 0), MATCH(B100, N2O_Em!$E$1:$ZZ$1, 0))</f>
        <v>23.680199999999999</v>
      </c>
      <c r="G100">
        <f>INDEX(CO2_Em!$E:$ZZ, MATCH(A100, CO2_Em!$C:$C, 0), MATCH(B100, CO2_Em!$E$1:$ZZ$1, 0))</f>
        <v>2.2431999999999999</v>
      </c>
      <c r="H100">
        <f>INDEX(Agri_VA!$E:$ZZ, MATCH(A100, Agri_VA!$C:$C, 0), MATCH(B100, Agri_VA!$E$1:$ZZ$1, 0))</f>
        <v>1.9876232211626665</v>
      </c>
      <c r="I100" s="6">
        <f>INDEX('Agri_land '!$E:$ZZ, MATCH(A100, 'Agri_land '!$C:$C, 0), MATCH(B100, 'Agri_land '!$E$1:$ZZ$1, 0))</f>
        <v>6.9254784124636526</v>
      </c>
      <c r="J100">
        <f>INDEX(Cereal_Yield!$E:$ZZ, MATCH(A100, Cereal_Yield!$C:$C, 0), MATCH(B100, Cereal_Yield!$E$1:$ZZ$1, 0))</f>
        <v>2375.4</v>
      </c>
    </row>
    <row r="101" spans="1:10" x14ac:dyDescent="0.3">
      <c r="A101" t="s">
        <v>9</v>
      </c>
      <c r="B101" s="4">
        <v>2003</v>
      </c>
      <c r="C101" t="s">
        <v>49</v>
      </c>
      <c r="D101" s="8">
        <f>INDEX(GDP_pc!$E:$ZZ, MATCH(A101, GDP_pc!$C:$C, 0), MATCH(B101, GDP_pc!$E$1:$ZZ$1, 0))</f>
        <v>895540646634.78699</v>
      </c>
      <c r="E101">
        <f>INDEX(CH4_Em!$E:$ZZ, MATCH(A101, CH4_Em!$C:$C, 0), MATCH(B101, CH4_Em!$E$1:$ZZ$1, 0))</f>
        <v>31.8689</v>
      </c>
      <c r="F101">
        <f>INDEX(N2O_Em!$E:$ZZ, MATCH(A101, N2O_Em!$C:$C, 0), MATCH(B101, N2O_Em!$E$1:$ZZ$1, 0))</f>
        <v>24.3428</v>
      </c>
      <c r="G101">
        <f>INDEX(CO2_Em!$E:$ZZ, MATCH(A101, CO2_Em!$C:$C, 0), MATCH(B101, CO2_Em!$E$1:$ZZ$1, 0))</f>
        <v>2.2090000000000001</v>
      </c>
      <c r="H101">
        <f>INDEX(Agri_VA!$E:$ZZ, MATCH(A101, Agri_VA!$C:$C, 0), MATCH(B101, Agri_VA!$E$1:$ZZ$1, 0))</f>
        <v>2.0530913924934371</v>
      </c>
      <c r="I101" s="6">
        <f>INDEX('Agri_land '!$E:$ZZ, MATCH(A101, 'Agri_land '!$C:$C, 0), MATCH(B101, 'Agri_land '!$E$1:$ZZ$1, 0))</f>
        <v>6.9093054667902498</v>
      </c>
      <c r="J101">
        <f>INDEX(Cereal_Yield!$E:$ZZ, MATCH(A101, Cereal_Yield!$C:$C, 0), MATCH(B101, Cereal_Yield!$E$1:$ZZ$1, 0))</f>
        <v>2758.8</v>
      </c>
    </row>
    <row r="102" spans="1:10" x14ac:dyDescent="0.3">
      <c r="A102" t="s">
        <v>9</v>
      </c>
      <c r="B102" s="4">
        <v>2004</v>
      </c>
      <c r="C102" t="s">
        <v>49</v>
      </c>
      <c r="D102" s="8">
        <f>INDEX(GDP_pc!$E:$ZZ, MATCH(A102, GDP_pc!$C:$C, 0), MATCH(B102, GDP_pc!$E$1:$ZZ$1, 0))</f>
        <v>1026690238278.2476</v>
      </c>
      <c r="E102">
        <f>INDEX(CH4_Em!$E:$ZZ, MATCH(A102, CH4_Em!$C:$C, 0), MATCH(B102, CH4_Em!$E$1:$ZZ$1, 0))</f>
        <v>33.564399999999999</v>
      </c>
      <c r="F102">
        <f>INDEX(N2O_Em!$E:$ZZ, MATCH(A102, N2O_Em!$C:$C, 0), MATCH(B102, N2O_Em!$E$1:$ZZ$1, 0))</f>
        <v>24.276199999999999</v>
      </c>
      <c r="G102">
        <f>INDEX(CO2_Em!$E:$ZZ, MATCH(A102, CO2_Em!$C:$C, 0), MATCH(B102, CO2_Em!$E$1:$ZZ$1, 0))</f>
        <v>2.0848</v>
      </c>
      <c r="H102">
        <f>INDEX(Agri_VA!$E:$ZZ, MATCH(A102, Agri_VA!$C:$C, 0), MATCH(B102, Agri_VA!$E$1:$ZZ$1, 0))</f>
        <v>2.1678131110918124</v>
      </c>
      <c r="I102" s="6">
        <f>INDEX('Agri_land '!$E:$ZZ, MATCH(A102, 'Agri_land '!$C:$C, 0), MATCH(B102, 'Agri_land '!$E$1:$ZZ$1, 0))</f>
        <v>6.893132521116847</v>
      </c>
      <c r="J102">
        <f>INDEX(Cereal_Yield!$E:$ZZ, MATCH(A102, Cereal_Yield!$C:$C, 0), MATCH(B102, Cereal_Yield!$E$1:$ZZ$1, 0))</f>
        <v>3141.9</v>
      </c>
    </row>
    <row r="103" spans="1:10" x14ac:dyDescent="0.3">
      <c r="A103" t="s">
        <v>9</v>
      </c>
      <c r="B103" s="4">
        <v>2005</v>
      </c>
      <c r="C103" t="s">
        <v>49</v>
      </c>
      <c r="D103" s="8">
        <f>INDEX(GDP_pc!$E:$ZZ, MATCH(A103, GDP_pc!$C:$C, 0), MATCH(B103, GDP_pc!$E$1:$ZZ$1, 0))</f>
        <v>1173108598778.6763</v>
      </c>
      <c r="E103">
        <f>INDEX(CH4_Em!$E:$ZZ, MATCH(A103, CH4_Em!$C:$C, 0), MATCH(B103, CH4_Em!$E$1:$ZZ$1, 0))</f>
        <v>34.064100000000003</v>
      </c>
      <c r="F103">
        <f>INDEX(N2O_Em!$E:$ZZ, MATCH(A103, N2O_Em!$C:$C, 0), MATCH(B103, N2O_Em!$E$1:$ZZ$1, 0))</f>
        <v>24.404900000000001</v>
      </c>
      <c r="G103">
        <f>INDEX(CO2_Em!$E:$ZZ, MATCH(A103, CO2_Em!$C:$C, 0), MATCH(B103, CO2_Em!$E$1:$ZZ$1, 0))</f>
        <v>1.9698</v>
      </c>
      <c r="H103">
        <f>INDEX(Agri_VA!$E:$ZZ, MATCH(A103, Agri_VA!$C:$C, 0), MATCH(B103, Agri_VA!$E$1:$ZZ$1, 0))</f>
        <v>1.8803114578006195</v>
      </c>
      <c r="I103" s="6">
        <f>INDEX('Agri_land '!$E:$ZZ, MATCH(A103, 'Agri_land '!$C:$C, 0), MATCH(B103, 'Agri_land '!$E$1:$ZZ$1, 0))</f>
        <v>6.8769595754434452</v>
      </c>
      <c r="J103">
        <f>INDEX(Cereal_Yield!$E:$ZZ, MATCH(A103, Cereal_Yield!$C:$C, 0), MATCH(B103, Cereal_Yield!$E$1:$ZZ$1, 0))</f>
        <v>3215.9</v>
      </c>
    </row>
    <row r="104" spans="1:10" x14ac:dyDescent="0.3">
      <c r="A104" t="s">
        <v>9</v>
      </c>
      <c r="B104" s="4">
        <v>2006</v>
      </c>
      <c r="C104" t="s">
        <v>49</v>
      </c>
      <c r="D104" s="8">
        <f>INDEX(GDP_pc!$E:$ZZ, MATCH(A104, GDP_pc!$C:$C, 0), MATCH(B104, GDP_pc!$E$1:$ZZ$1, 0))</f>
        <v>1319264809590.9731</v>
      </c>
      <c r="E104">
        <f>INDEX(CH4_Em!$E:$ZZ, MATCH(A104, CH4_Em!$C:$C, 0), MATCH(B104, CH4_Em!$E$1:$ZZ$1, 0))</f>
        <v>33.755000000000003</v>
      </c>
      <c r="F104">
        <f>INDEX(N2O_Em!$E:$ZZ, MATCH(A104, N2O_Em!$C:$C, 0), MATCH(B104, N2O_Em!$E$1:$ZZ$1, 0))</f>
        <v>25.366499999999998</v>
      </c>
      <c r="G104">
        <f>INDEX(CO2_Em!$E:$ZZ, MATCH(A104, CO2_Em!$C:$C, 0), MATCH(B104, CO2_Em!$E$1:$ZZ$1, 0))</f>
        <v>2.4794999999999998</v>
      </c>
      <c r="H104">
        <f>INDEX(Agri_VA!$E:$ZZ, MATCH(A104, Agri_VA!$C:$C, 0), MATCH(B104, Agri_VA!$E$1:$ZZ$1, 0))</f>
        <v>1.7010184594948197</v>
      </c>
      <c r="I104" s="6">
        <f>INDEX('Agri_land '!$E:$ZZ, MATCH(A104, 'Agri_land '!$C:$C, 0), MATCH(B104, 'Agri_land '!$E$1:$ZZ$1, 0))</f>
        <v>6.7573913150166369</v>
      </c>
      <c r="J104">
        <f>INDEX(Cereal_Yield!$E:$ZZ, MATCH(A104, Cereal_Yield!$C:$C, 0), MATCH(B104, Cereal_Yield!$E$1:$ZZ$1, 0))</f>
        <v>3046.3</v>
      </c>
    </row>
    <row r="105" spans="1:10" x14ac:dyDescent="0.3">
      <c r="A105" t="s">
        <v>9</v>
      </c>
      <c r="B105" s="4">
        <v>2007</v>
      </c>
      <c r="C105" t="s">
        <v>49</v>
      </c>
      <c r="D105" s="8">
        <f>INDEX(GDP_pc!$E:$ZZ, MATCH(A105, GDP_pc!$C:$C, 0), MATCH(B105, GDP_pc!$E$1:$ZZ$1, 0))</f>
        <v>1468820407783.2603</v>
      </c>
      <c r="E105">
        <f>INDEX(CH4_Em!$E:$ZZ, MATCH(A105, CH4_Em!$C:$C, 0), MATCH(B105, CH4_Em!$E$1:$ZZ$1, 0))</f>
        <v>32.61</v>
      </c>
      <c r="F105">
        <f>INDEX(N2O_Em!$E:$ZZ, MATCH(A105, N2O_Em!$C:$C, 0), MATCH(B105, N2O_Em!$E$1:$ZZ$1, 0))</f>
        <v>25.660499999999999</v>
      </c>
      <c r="G105">
        <f>INDEX(CO2_Em!$E:$ZZ, MATCH(A105, CO2_Em!$C:$C, 0), MATCH(B105, CO2_Em!$E$1:$ZZ$1, 0))</f>
        <v>2.4319000000000002</v>
      </c>
      <c r="H105">
        <f>INDEX(Agri_VA!$E:$ZZ, MATCH(A105, Agri_VA!$C:$C, 0), MATCH(B105, Agri_VA!$E$1:$ZZ$1, 0))</f>
        <v>1.5871607317165928</v>
      </c>
      <c r="I105" s="6">
        <f>INDEX('Agri_land '!$E:$ZZ, MATCH(A105, 'Agri_land '!$C:$C, 0), MATCH(B105, 'Agri_land '!$E$1:$ZZ$1, 0))</f>
        <v>6.6931456825484998</v>
      </c>
      <c r="J105">
        <f>INDEX(Cereal_Yield!$E:$ZZ, MATCH(A105, Cereal_Yield!$C:$C, 0), MATCH(B105, Cereal_Yield!$E$1:$ZZ$1, 0))</f>
        <v>2973.4</v>
      </c>
    </row>
    <row r="106" spans="1:10" x14ac:dyDescent="0.3">
      <c r="A106" t="s">
        <v>9</v>
      </c>
      <c r="B106" s="4">
        <v>2008</v>
      </c>
      <c r="C106" t="s">
        <v>49</v>
      </c>
      <c r="D106" s="8">
        <f>INDEX(GDP_pc!$E:$ZZ, MATCH(A106, GDP_pc!$C:$C, 0), MATCH(B106, GDP_pc!$E$1:$ZZ$1, 0))</f>
        <v>1552989690721.6497</v>
      </c>
      <c r="E106">
        <f>INDEX(CH4_Em!$E:$ZZ, MATCH(A106, CH4_Em!$C:$C, 0), MATCH(B106, CH4_Em!$E$1:$ZZ$1, 0))</f>
        <v>31.541599999999999</v>
      </c>
      <c r="F106">
        <f>INDEX(N2O_Em!$E:$ZZ, MATCH(A106, N2O_Em!$C:$C, 0), MATCH(B106, N2O_Em!$E$1:$ZZ$1, 0))</f>
        <v>25.5853</v>
      </c>
      <c r="G106">
        <f>INDEX(CO2_Em!$E:$ZZ, MATCH(A106, CO2_Em!$C:$C, 0), MATCH(B106, CO2_Em!$E$1:$ZZ$1, 0))</f>
        <v>2.3441999999999998</v>
      </c>
      <c r="H106">
        <f>INDEX(Agri_VA!$E:$ZZ, MATCH(A106, Agri_VA!$C:$C, 0), MATCH(B106, Agri_VA!$E$1:$ZZ$1, 0))</f>
        <v>1.7682735480133251</v>
      </c>
      <c r="I106" s="6">
        <f>INDEX('Agri_land '!$E:$ZZ, MATCH(A106, 'Agri_land '!$C:$C, 0), MATCH(B106, 'Agri_land '!$E$1:$ZZ$1, 0))</f>
        <v>6.6289000500803619</v>
      </c>
      <c r="J106">
        <f>INDEX(Cereal_Yield!$E:$ZZ, MATCH(A106, Cereal_Yield!$C:$C, 0), MATCH(B106, Cereal_Yield!$E$1:$ZZ$1, 0))</f>
        <v>3391.7</v>
      </c>
    </row>
    <row r="107" spans="1:10" x14ac:dyDescent="0.3">
      <c r="A107" t="s">
        <v>9</v>
      </c>
      <c r="B107" s="4">
        <v>2009</v>
      </c>
      <c r="C107" t="s">
        <v>49</v>
      </c>
      <c r="D107" s="8">
        <f>INDEX(GDP_pc!$E:$ZZ, MATCH(A107, GDP_pc!$C:$C, 0), MATCH(B107, GDP_pc!$E$1:$ZZ$1, 0))</f>
        <v>1374625142157.2915</v>
      </c>
      <c r="E107">
        <f>INDEX(CH4_Em!$E:$ZZ, MATCH(A107, CH4_Em!$C:$C, 0), MATCH(B107, CH4_Em!$E$1:$ZZ$1, 0))</f>
        <v>30.360099999999999</v>
      </c>
      <c r="F107">
        <f>INDEX(N2O_Em!$E:$ZZ, MATCH(A107, N2O_Em!$C:$C, 0), MATCH(B107, N2O_Em!$E$1:$ZZ$1, 0))</f>
        <v>25.555099999999999</v>
      </c>
      <c r="G107">
        <f>INDEX(CO2_Em!$E:$ZZ, MATCH(A107, CO2_Em!$C:$C, 0), MATCH(B107, CO2_Em!$E$1:$ZZ$1, 0))</f>
        <v>2.4910999999999999</v>
      </c>
      <c r="H107">
        <f>INDEX(Agri_VA!$E:$ZZ, MATCH(A107, Agri_VA!$C:$C, 0), MATCH(B107, Agri_VA!$E$1:$ZZ$1, 0))</f>
        <v>1.5498932753953012</v>
      </c>
      <c r="I107" s="6">
        <f>INDEX('Agri_land '!$E:$ZZ, MATCH(A107, 'Agri_land '!$C:$C, 0), MATCH(B107, 'Agri_land '!$E$1:$ZZ$1, 0))</f>
        <v>6.5646544176122257</v>
      </c>
      <c r="J107">
        <f>INDEX(Cereal_Yield!$E:$ZZ, MATCH(A107, Cereal_Yield!$C:$C, 0), MATCH(B107, Cereal_Yield!$E$1:$ZZ$1, 0))</f>
        <v>3299.5</v>
      </c>
    </row>
    <row r="108" spans="1:10" x14ac:dyDescent="0.3">
      <c r="A108" t="s">
        <v>9</v>
      </c>
      <c r="B108" s="4">
        <v>2010</v>
      </c>
      <c r="C108" t="s">
        <v>49</v>
      </c>
      <c r="D108" s="8">
        <f>INDEX(GDP_pc!$E:$ZZ, MATCH(A108, GDP_pc!$C:$C, 0), MATCH(B108, GDP_pc!$E$1:$ZZ$1, 0))</f>
        <v>1617343367486.2585</v>
      </c>
      <c r="E108">
        <f>INDEX(CH4_Em!$E:$ZZ, MATCH(A108, CH4_Em!$C:$C, 0), MATCH(B108, CH4_Em!$E$1:$ZZ$1, 0))</f>
        <v>29.861699999999999</v>
      </c>
      <c r="F108">
        <f>INDEX(N2O_Em!$E:$ZZ, MATCH(A108, N2O_Em!$C:$C, 0), MATCH(B108, N2O_Em!$E$1:$ZZ$1, 0))</f>
        <v>25.761199999999999</v>
      </c>
      <c r="G108">
        <f>INDEX(CO2_Em!$E:$ZZ, MATCH(A108, CO2_Em!$C:$C, 0), MATCH(B108, CO2_Em!$E$1:$ZZ$1, 0))</f>
        <v>2.7663000000000002</v>
      </c>
      <c r="H108">
        <f>INDEX(Agri_VA!$E:$ZZ, MATCH(A108, Agri_VA!$C:$C, 0), MATCH(B108, Agri_VA!$E$1:$ZZ$1, 0))</f>
        <v>1.4932360811166077</v>
      </c>
      <c r="I108" s="6">
        <f>INDEX('Agri_land '!$E:$ZZ, MATCH(A108, 'Agri_land '!$C:$C, 0), MATCH(B108, 'Agri_land '!$E$1:$ZZ$1, 0))</f>
        <v>6.5004087851440895</v>
      </c>
      <c r="J108">
        <f>INDEX(Cereal_Yield!$E:$ZZ, MATCH(A108, Cereal_Yield!$C:$C, 0), MATCH(B108, Cereal_Yield!$E$1:$ZZ$1, 0))</f>
        <v>3501.1</v>
      </c>
    </row>
    <row r="109" spans="1:10" x14ac:dyDescent="0.3">
      <c r="A109" t="s">
        <v>9</v>
      </c>
      <c r="B109" s="4">
        <v>2011</v>
      </c>
      <c r="C109" t="s">
        <v>49</v>
      </c>
      <c r="D109" s="8">
        <f>INDEX(GDP_pc!$E:$ZZ, MATCH(A109, GDP_pc!$C:$C, 0), MATCH(B109, GDP_pc!$E$1:$ZZ$1, 0))</f>
        <v>1793326630174.5186</v>
      </c>
      <c r="E109">
        <f>INDEX(CH4_Em!$E:$ZZ, MATCH(A109, CH4_Em!$C:$C, 0), MATCH(B109, CH4_Em!$E$1:$ZZ$1, 0))</f>
        <v>29.646999999999998</v>
      </c>
      <c r="F109">
        <f>INDEX(N2O_Em!$E:$ZZ, MATCH(A109, N2O_Em!$C:$C, 0), MATCH(B109, N2O_Em!$E$1:$ZZ$1, 0))</f>
        <v>27.300899999999999</v>
      </c>
      <c r="G109">
        <f>INDEX(CO2_Em!$E:$ZZ, MATCH(A109, CO2_Em!$C:$C, 0), MATCH(B109, CO2_Em!$E$1:$ZZ$1, 0))</f>
        <v>3.1802999999999999</v>
      </c>
      <c r="H109">
        <f>INDEX(Agri_VA!$E:$ZZ, MATCH(A109, Agri_VA!$C:$C, 0), MATCH(B109, Agri_VA!$E$1:$ZZ$1, 0))</f>
        <v>1.7656644662562715</v>
      </c>
      <c r="I109" s="6">
        <f>INDEX('Agri_land '!$E:$ZZ, MATCH(A109, 'Agri_land '!$C:$C, 0), MATCH(B109, 'Agri_land '!$E$1:$ZZ$1, 0))</f>
        <v>6.4356835411835691</v>
      </c>
      <c r="J109">
        <f>INDEX(Cereal_Yield!$E:$ZZ, MATCH(A109, Cereal_Yield!$C:$C, 0), MATCH(B109, Cereal_Yield!$E$1:$ZZ$1, 0))</f>
        <v>3552.4</v>
      </c>
    </row>
    <row r="110" spans="1:10" x14ac:dyDescent="0.3">
      <c r="A110" t="s">
        <v>9</v>
      </c>
      <c r="B110" s="4">
        <v>2012</v>
      </c>
      <c r="C110" t="s">
        <v>49</v>
      </c>
      <c r="D110" s="8">
        <f>INDEX(GDP_pc!$E:$ZZ, MATCH(A110, GDP_pc!$C:$C, 0), MATCH(B110, GDP_pc!$E$1:$ZZ$1, 0))</f>
        <v>1828366481521.5952</v>
      </c>
      <c r="E110">
        <f>INDEX(CH4_Em!$E:$ZZ, MATCH(A110, CH4_Em!$C:$C, 0), MATCH(B110, CH4_Em!$E$1:$ZZ$1, 0))</f>
        <v>30.378399999999999</v>
      </c>
      <c r="F110">
        <f>INDEX(N2O_Em!$E:$ZZ, MATCH(A110, N2O_Em!$C:$C, 0), MATCH(B110, N2O_Em!$E$1:$ZZ$1, 0))</f>
        <v>28.5946</v>
      </c>
      <c r="G110">
        <f>INDEX(CO2_Em!$E:$ZZ, MATCH(A110, CO2_Em!$C:$C, 0), MATCH(B110, CO2_Em!$E$1:$ZZ$1, 0))</f>
        <v>3.3201999999999998</v>
      </c>
      <c r="H110">
        <f>INDEX(Agri_VA!$E:$ZZ, MATCH(A110, Agri_VA!$C:$C, 0), MATCH(B110, Agri_VA!$E$1:$ZZ$1, 0))</f>
        <v>1.8113457439094136</v>
      </c>
      <c r="I110" s="6">
        <f>INDEX('Agri_land '!$E:$ZZ, MATCH(A110, 'Agri_land '!$C:$C, 0), MATCH(B110, 'Agri_land '!$E$1:$ZZ$1, 0))</f>
        <v>6.4436361689526294</v>
      </c>
      <c r="J110">
        <f>INDEX(Cereal_Yield!$E:$ZZ, MATCH(A110, Cereal_Yield!$C:$C, 0), MATCH(B110, Cereal_Yield!$E$1:$ZZ$1, 0))</f>
        <v>3456.3</v>
      </c>
    </row>
    <row r="111" spans="1:10" x14ac:dyDescent="0.3">
      <c r="A111" t="s">
        <v>9</v>
      </c>
      <c r="B111" s="4">
        <v>2013</v>
      </c>
      <c r="C111" t="s">
        <v>49</v>
      </c>
      <c r="D111" s="8">
        <f>INDEX(GDP_pc!$E:$ZZ, MATCH(A111, GDP_pc!$C:$C, 0), MATCH(B111, GDP_pc!$E$1:$ZZ$1, 0))</f>
        <v>1846597421834.9834</v>
      </c>
      <c r="E111">
        <f>INDEX(CH4_Em!$E:$ZZ, MATCH(A111, CH4_Em!$C:$C, 0), MATCH(B111, CH4_Em!$E$1:$ZZ$1, 0))</f>
        <v>30.9116</v>
      </c>
      <c r="F111">
        <f>INDEX(N2O_Em!$E:$ZZ, MATCH(A111, N2O_Em!$C:$C, 0), MATCH(B111, N2O_Em!$E$1:$ZZ$1, 0))</f>
        <v>29.142600000000002</v>
      </c>
      <c r="G111">
        <f>INDEX(CO2_Em!$E:$ZZ, MATCH(A111, CO2_Em!$C:$C, 0), MATCH(B111, CO2_Em!$E$1:$ZZ$1, 0))</f>
        <v>3.3174000000000001</v>
      </c>
      <c r="H111">
        <f>INDEX(Agri_VA!$E:$ZZ, MATCH(A111, Agri_VA!$C:$C, 0), MATCH(B111, Agri_VA!$E$1:$ZZ$1, 0))</f>
        <v>1.8942315122783611</v>
      </c>
      <c r="I111" s="6">
        <f>INDEX('Agri_land '!$E:$ZZ, MATCH(A111, 'Agri_land '!$C:$C, 0), MATCH(B111, 'Agri_land '!$E$1:$ZZ$1, 0))</f>
        <v>6.4515553354547786</v>
      </c>
      <c r="J111">
        <f>INDEX(Cereal_Yield!$E:$ZZ, MATCH(A111, Cereal_Yield!$C:$C, 0), MATCH(B111, Cereal_Yield!$E$1:$ZZ$1, 0))</f>
        <v>4160.3999999999996</v>
      </c>
    </row>
    <row r="112" spans="1:10" x14ac:dyDescent="0.3">
      <c r="A112" t="s">
        <v>9</v>
      </c>
      <c r="B112" s="4">
        <v>2014</v>
      </c>
      <c r="C112" t="s">
        <v>49</v>
      </c>
      <c r="D112" s="8">
        <f>INDEX(GDP_pc!$E:$ZZ, MATCH(A112, GDP_pc!$C:$C, 0), MATCH(B112, GDP_pc!$E$1:$ZZ$1, 0))</f>
        <v>1805749878439.9412</v>
      </c>
      <c r="E112">
        <f>INDEX(CH4_Em!$E:$ZZ, MATCH(A112, CH4_Em!$C:$C, 0), MATCH(B112, CH4_Em!$E$1:$ZZ$1, 0))</f>
        <v>31.103300000000001</v>
      </c>
      <c r="F112">
        <f>INDEX(N2O_Em!$E:$ZZ, MATCH(A112, N2O_Em!$C:$C, 0), MATCH(B112, N2O_Em!$E$1:$ZZ$1, 0))</f>
        <v>29.2</v>
      </c>
      <c r="G112">
        <f>INDEX(CO2_Em!$E:$ZZ, MATCH(A112, CO2_Em!$C:$C, 0), MATCH(B112, CO2_Em!$E$1:$ZZ$1, 0))</f>
        <v>3.4866000000000001</v>
      </c>
      <c r="H112">
        <f>INDEX(Agri_VA!$E:$ZZ, MATCH(A112, Agri_VA!$C:$C, 0), MATCH(B112, Agri_VA!$E$1:$ZZ$1, 0))</f>
        <v>1.5865480774195357</v>
      </c>
      <c r="I112" s="6">
        <f>INDEX('Agri_land '!$E:$ZZ, MATCH(A112, 'Agri_land '!$C:$C, 0), MATCH(B112, 'Agri_land '!$E$1:$ZZ$1, 0))</f>
        <v>6.459474501956926</v>
      </c>
      <c r="J112">
        <f>INDEX(Cereal_Yield!$E:$ZZ, MATCH(A112, Cereal_Yield!$C:$C, 0), MATCH(B112, Cereal_Yield!$E$1:$ZZ$1, 0))</f>
        <v>3647</v>
      </c>
    </row>
    <row r="113" spans="1:10" x14ac:dyDescent="0.3">
      <c r="A113" t="s">
        <v>9</v>
      </c>
      <c r="B113" s="4">
        <v>2015</v>
      </c>
      <c r="C113" t="s">
        <v>49</v>
      </c>
      <c r="D113" s="8">
        <f>INDEX(GDP_pc!$E:$ZZ, MATCH(A113, GDP_pc!$C:$C, 0), MATCH(B113, GDP_pc!$E$1:$ZZ$1, 0))</f>
        <v>1556508816217.1401</v>
      </c>
      <c r="E113">
        <f>INDEX(CH4_Em!$E:$ZZ, MATCH(A113, CH4_Em!$C:$C, 0), MATCH(B113, CH4_Em!$E$1:$ZZ$1, 0))</f>
        <v>30.924499999999998</v>
      </c>
      <c r="F113">
        <f>INDEX(N2O_Em!$E:$ZZ, MATCH(A113, N2O_Em!$C:$C, 0), MATCH(B113, N2O_Em!$E$1:$ZZ$1, 0))</f>
        <v>28.978100000000001</v>
      </c>
      <c r="G113">
        <f>INDEX(CO2_Em!$E:$ZZ, MATCH(A113, CO2_Em!$C:$C, 0), MATCH(B113, CO2_Em!$E$1:$ZZ$1, 0))</f>
        <v>3.5876999999999999</v>
      </c>
      <c r="H113">
        <f>INDEX(Agri_VA!$E:$ZZ, MATCH(A113, Agri_VA!$C:$C, 0), MATCH(B113, Agri_VA!$E$1:$ZZ$1, 0))</f>
        <v>1.8698359459858667</v>
      </c>
      <c r="I113" s="6">
        <f>INDEX('Agri_land '!$E:$ZZ, MATCH(A113, 'Agri_land '!$C:$C, 0), MATCH(B113, 'Agri_land '!$E$1:$ZZ$1, 0))</f>
        <v>6.467505206015443</v>
      </c>
      <c r="J113">
        <f>INDEX(Cereal_Yield!$E:$ZZ, MATCH(A113, Cereal_Yield!$C:$C, 0), MATCH(B113, Cereal_Yield!$E$1:$ZZ$1, 0))</f>
        <v>3673</v>
      </c>
    </row>
    <row r="114" spans="1:10" x14ac:dyDescent="0.3">
      <c r="A114" t="s">
        <v>9</v>
      </c>
      <c r="B114" s="4">
        <v>2016</v>
      </c>
      <c r="C114" t="s">
        <v>49</v>
      </c>
      <c r="D114" s="8">
        <f>INDEX(GDP_pc!$E:$ZZ, MATCH(A114, GDP_pc!$C:$C, 0), MATCH(B114, GDP_pc!$E$1:$ZZ$1, 0))</f>
        <v>1527994741907.425</v>
      </c>
      <c r="E114">
        <f>INDEX(CH4_Em!$E:$ZZ, MATCH(A114, CH4_Em!$C:$C, 0), MATCH(B114, CH4_Em!$E$1:$ZZ$1, 0))</f>
        <v>31.023399999999999</v>
      </c>
      <c r="F114">
        <f>INDEX(N2O_Em!$E:$ZZ, MATCH(A114, N2O_Em!$C:$C, 0), MATCH(B114, N2O_Em!$E$1:$ZZ$1, 0))</f>
        <v>28.670400000000001</v>
      </c>
      <c r="G114">
        <f>INDEX(CO2_Em!$E:$ZZ, MATCH(A114, CO2_Em!$C:$C, 0), MATCH(B114, CO2_Em!$E$1:$ZZ$1, 0))</f>
        <v>3.4062999999999999</v>
      </c>
      <c r="H114">
        <f>INDEX(Agri_VA!$E:$ZZ, MATCH(A114, Agri_VA!$C:$C, 0), MATCH(B114, Agri_VA!$E$1:$ZZ$1, 0))</f>
        <v>1.8622258931352882</v>
      </c>
      <c r="I114" s="6">
        <f>INDEX('Agri_land '!$E:$ZZ, MATCH(A114, 'Agri_land '!$C:$C, 0), MATCH(B114, 'Agri_land '!$E$1:$ZZ$1, 0))</f>
        <v>6.4747551471793825</v>
      </c>
      <c r="J114">
        <f>INDEX(Cereal_Yield!$E:$ZZ, MATCH(A114, Cereal_Yield!$C:$C, 0), MATCH(B114, Cereal_Yield!$E$1:$ZZ$1, 0))</f>
        <v>4239.1000000000004</v>
      </c>
    </row>
    <row r="115" spans="1:10" x14ac:dyDescent="0.3">
      <c r="A115" t="s">
        <v>9</v>
      </c>
      <c r="B115" s="4">
        <v>2017</v>
      </c>
      <c r="C115" t="s">
        <v>49</v>
      </c>
      <c r="D115" s="8">
        <f>INDEX(GDP_pc!$E:$ZZ, MATCH(A115, GDP_pc!$C:$C, 0), MATCH(B115, GDP_pc!$E$1:$ZZ$1, 0))</f>
        <v>1649265644244.095</v>
      </c>
      <c r="E115">
        <f>INDEX(CH4_Em!$E:$ZZ, MATCH(A115, CH4_Em!$C:$C, 0), MATCH(B115, CH4_Em!$E$1:$ZZ$1, 0))</f>
        <v>30.952200000000001</v>
      </c>
      <c r="F115">
        <f>INDEX(N2O_Em!$E:$ZZ, MATCH(A115, N2O_Em!$C:$C, 0), MATCH(B115, N2O_Em!$E$1:$ZZ$1, 0))</f>
        <v>29.723400000000002</v>
      </c>
      <c r="G115">
        <f>INDEX(CO2_Em!$E:$ZZ, MATCH(A115, CO2_Em!$C:$C, 0), MATCH(B115, CO2_Em!$E$1:$ZZ$1, 0))</f>
        <v>3.6551999999999998</v>
      </c>
      <c r="H115">
        <f>INDEX(Agri_VA!$E:$ZZ, MATCH(A115, Agri_VA!$C:$C, 0), MATCH(B115, Agri_VA!$E$1:$ZZ$1, 0))</f>
        <v>1.8899946324488788</v>
      </c>
      <c r="I115" s="6">
        <f>INDEX('Agri_land '!$E:$ZZ, MATCH(A115, 'Agri_land '!$C:$C, 0), MATCH(B115, 'Agri_land '!$E$1:$ZZ$1, 0))</f>
        <v>6.4544106968978054</v>
      </c>
      <c r="J115">
        <f>INDEX(Cereal_Yield!$E:$ZZ, MATCH(A115, Cereal_Yield!$C:$C, 0), MATCH(B115, Cereal_Yield!$E$1:$ZZ$1, 0))</f>
        <v>4104.8</v>
      </c>
    </row>
    <row r="116" spans="1:10" x14ac:dyDescent="0.3">
      <c r="A116" t="s">
        <v>9</v>
      </c>
      <c r="B116" s="4">
        <v>2018</v>
      </c>
      <c r="C116" t="s">
        <v>49</v>
      </c>
      <c r="D116" s="8">
        <f>INDEX(GDP_pc!$E:$ZZ, MATCH(A116, GDP_pc!$C:$C, 0), MATCH(B116, GDP_pc!$E$1:$ZZ$1, 0))</f>
        <v>1725329192783.0239</v>
      </c>
      <c r="E116">
        <f>INDEX(CH4_Em!$E:$ZZ, MATCH(A116, CH4_Em!$C:$C, 0), MATCH(B116, CH4_Em!$E$1:$ZZ$1, 0))</f>
        <v>31.445799999999998</v>
      </c>
      <c r="F116">
        <f>INDEX(N2O_Em!$E:$ZZ, MATCH(A116, N2O_Em!$C:$C, 0), MATCH(B116, N2O_Em!$E$1:$ZZ$1, 0))</f>
        <v>30.169499999999999</v>
      </c>
      <c r="G116">
        <f>INDEX(CO2_Em!$E:$ZZ, MATCH(A116, CO2_Em!$C:$C, 0), MATCH(B116, CO2_Em!$E$1:$ZZ$1, 0))</f>
        <v>3.7685</v>
      </c>
      <c r="H116">
        <f>INDEX(Agri_VA!$E:$ZZ, MATCH(A116, Agri_VA!$C:$C, 0), MATCH(B116, Agri_VA!$E$1:$ZZ$1, 0))</f>
        <v>1.6998915762240614</v>
      </c>
      <c r="I116" s="6">
        <f>INDEX('Agri_land '!$E:$ZZ, MATCH(A116, 'Agri_land '!$C:$C, 0), MATCH(B116, 'Agri_land '!$E$1:$ZZ$1, 0))</f>
        <v>6.4568199081153601</v>
      </c>
      <c r="J116">
        <f>INDEX(Cereal_Yield!$E:$ZZ, MATCH(A116, Cereal_Yield!$C:$C, 0), MATCH(B116, Cereal_Yield!$E$1:$ZZ$1, 0))</f>
        <v>3914.7</v>
      </c>
    </row>
    <row r="117" spans="1:10" x14ac:dyDescent="0.3">
      <c r="A117" t="s">
        <v>9</v>
      </c>
      <c r="B117" s="4">
        <v>2019</v>
      </c>
      <c r="C117" t="s">
        <v>49</v>
      </c>
      <c r="D117" s="8">
        <f>INDEX(GDP_pc!$E:$ZZ, MATCH(A117, GDP_pc!$C:$C, 0), MATCH(B117, GDP_pc!$E$1:$ZZ$1, 0))</f>
        <v>1743725183672.5212</v>
      </c>
      <c r="E117">
        <f>INDEX(CH4_Em!$E:$ZZ, MATCH(A117, CH4_Em!$C:$C, 0), MATCH(B117, CH4_Em!$E$1:$ZZ$1, 0))</f>
        <v>31.426400000000001</v>
      </c>
      <c r="F117">
        <f>INDEX(N2O_Em!$E:$ZZ, MATCH(A117, N2O_Em!$C:$C, 0), MATCH(B117, N2O_Em!$E$1:$ZZ$1, 0))</f>
        <v>31.555199999999999</v>
      </c>
      <c r="G117">
        <f>INDEX(CO2_Em!$E:$ZZ, MATCH(A117, CO2_Em!$C:$C, 0), MATCH(B117, CO2_Em!$E$1:$ZZ$1, 0))</f>
        <v>4.0945</v>
      </c>
      <c r="H117">
        <f>INDEX(Agri_VA!$E:$ZZ, MATCH(A117, Agri_VA!$C:$C, 0), MATCH(B117, Agri_VA!$E$1:$ZZ$1, 0))</f>
        <v>1.697079353361028</v>
      </c>
      <c r="I117" s="6">
        <f>INDEX('Agri_land '!$E:$ZZ, MATCH(A117, 'Agri_land '!$C:$C, 0), MATCH(B117, 'Agri_land '!$E$1:$ZZ$1, 0))</f>
        <v>6.4343562442627871</v>
      </c>
      <c r="J117">
        <f>INDEX(Cereal_Yield!$E:$ZZ, MATCH(A117, Cereal_Yield!$C:$C, 0), MATCH(B117, Cereal_Yield!$E$1:$ZZ$1, 0))</f>
        <v>4010.8</v>
      </c>
    </row>
    <row r="118" spans="1:10" x14ac:dyDescent="0.3">
      <c r="A118" t="s">
        <v>9</v>
      </c>
      <c r="B118" s="4">
        <v>2020</v>
      </c>
      <c r="C118" t="s">
        <v>49</v>
      </c>
      <c r="D118" s="8">
        <f>INDEX(GDP_pc!$E:$ZZ, MATCH(A118, GDP_pc!$C:$C, 0), MATCH(B118, GDP_pc!$E$1:$ZZ$1, 0))</f>
        <v>1655684730000.1936</v>
      </c>
      <c r="E118">
        <f>INDEX(CH4_Em!$E:$ZZ, MATCH(A118, CH4_Em!$C:$C, 0), MATCH(B118, CH4_Em!$E$1:$ZZ$1, 0))</f>
        <v>31.192599999999999</v>
      </c>
      <c r="F118">
        <f>INDEX(N2O_Em!$E:$ZZ, MATCH(A118, N2O_Em!$C:$C, 0), MATCH(B118, N2O_Em!$E$1:$ZZ$1, 0))</f>
        <v>32.134799999999998</v>
      </c>
      <c r="G118">
        <f>INDEX(CO2_Em!$E:$ZZ, MATCH(A118, CO2_Em!$C:$C, 0), MATCH(B118, CO2_Em!$E$1:$ZZ$1, 0))</f>
        <v>4.1271000000000004</v>
      </c>
      <c r="H118">
        <f>INDEX(Agri_VA!$E:$ZZ, MATCH(A118, Agri_VA!$C:$C, 0), MATCH(B118, Agri_VA!$E$1:$ZZ$1, 0))</f>
        <v>1.8397893111812245</v>
      </c>
      <c r="I118" s="6">
        <f>INDEX('Agri_land '!$E:$ZZ, MATCH(A118, 'Agri_land '!$C:$C, 0), MATCH(B118, 'Agri_land '!$E$1:$ZZ$1, 0))</f>
        <v>6.3707352221103131</v>
      </c>
      <c r="J118">
        <f>INDEX(Cereal_Yield!$E:$ZZ, MATCH(A118, Cereal_Yield!$C:$C, 0), MATCH(B118, Cereal_Yield!$E$1:$ZZ$1, 0))</f>
        <v>4091.9</v>
      </c>
    </row>
    <row r="119" spans="1:10" x14ac:dyDescent="0.3">
      <c r="A119" t="s">
        <v>9</v>
      </c>
      <c r="B119" s="4">
        <v>2021</v>
      </c>
      <c r="C119" t="s">
        <v>49</v>
      </c>
      <c r="D119" s="8">
        <f>INDEX(GDP_pc!$E:$ZZ, MATCH(A119, GDP_pc!$C:$C, 0), MATCH(B119, GDP_pc!$E$1:$ZZ$1, 0))</f>
        <v>2022378748423.2344</v>
      </c>
      <c r="E119">
        <f>INDEX(CH4_Em!$E:$ZZ, MATCH(A119, CH4_Em!$C:$C, 0), MATCH(B119, CH4_Em!$E$1:$ZZ$1, 0))</f>
        <v>31.1694</v>
      </c>
      <c r="F119">
        <f>INDEX(N2O_Em!$E:$ZZ, MATCH(A119, N2O_Em!$C:$C, 0), MATCH(B119, N2O_Em!$E$1:$ZZ$1, 0))</f>
        <v>29.806799999999999</v>
      </c>
      <c r="G119">
        <f>INDEX(CO2_Em!$E:$ZZ, MATCH(A119, CO2_Em!$C:$C, 0), MATCH(B119, CO2_Em!$E$1:$ZZ$1, 0))</f>
        <v>3.7412000000000001</v>
      </c>
      <c r="H119">
        <f>INDEX(Agri_VA!$E:$ZZ, MATCH(A119, Agri_VA!$C:$C, 0), MATCH(B119, Agri_VA!$E$1:$ZZ$1, 0))</f>
        <v>1.5979878650405746</v>
      </c>
      <c r="I119" s="6">
        <f>INDEX('Agri_land '!$E:$ZZ, MATCH(A119, 'Agri_land '!$C:$C, 0), MATCH(B119, 'Agri_land '!$E$1:$ZZ$1, 0))</f>
        <v>6.4845767861003338</v>
      </c>
      <c r="J119">
        <f>INDEX(Cereal_Yield!$E:$ZZ, MATCH(A119, Cereal_Yield!$C:$C, 0), MATCH(B119, Cereal_Yield!$E$1:$ZZ$1, 0))</f>
        <v>3119.8</v>
      </c>
    </row>
    <row r="120" spans="1:10" x14ac:dyDescent="0.3">
      <c r="A120" t="s">
        <v>9</v>
      </c>
      <c r="B120" s="4">
        <v>2022</v>
      </c>
      <c r="C120" t="s">
        <v>49</v>
      </c>
      <c r="D120" s="8">
        <f>INDEX(GDP_pc!$E:$ZZ, MATCH(A120, GDP_pc!$C:$C, 0), MATCH(B120, GDP_pc!$E$1:$ZZ$1, 0))</f>
        <v>2190411080134.3191</v>
      </c>
      <c r="E120">
        <f>INDEX(CH4_Em!$E:$ZZ, MATCH(A120, CH4_Em!$C:$C, 0), MATCH(B120, CH4_Em!$E$1:$ZZ$1, 0))</f>
        <v>31.195</v>
      </c>
      <c r="F120">
        <f>INDEX(N2O_Em!$E:$ZZ, MATCH(A120, N2O_Em!$C:$C, 0), MATCH(B120, N2O_Em!$E$1:$ZZ$1, 0))</f>
        <v>31.518999999999998</v>
      </c>
      <c r="G120">
        <f>INDEX(CO2_Em!$E:$ZZ, MATCH(A120, CO2_Em!$C:$C, 0), MATCH(B120, CO2_Em!$E$1:$ZZ$1, 0))</f>
        <v>3.9321000000000002</v>
      </c>
      <c r="H120" t="str">
        <f>INDEX(Agri_VA!$E:$ZZ, MATCH(A120, Agri_VA!$C:$C, 0), MATCH(B120, Agri_VA!$E$1:$ZZ$1, 0))</f>
        <v>..</v>
      </c>
      <c r="I120" s="6">
        <f>INDEX('Agri_land '!$E:$ZZ, MATCH(A120, 'Agri_land '!$C:$C, 0), MATCH(B120, 'Agri_land '!$E$1:$ZZ$1, 0))</f>
        <v>6.4943620785781739</v>
      </c>
      <c r="J120">
        <f>INDEX(Cereal_Yield!$E:$ZZ, MATCH(A120, Cereal_Yield!$C:$C, 0), MATCH(B120, Cereal_Yield!$E$1:$ZZ$1, 0))</f>
        <v>4078.7</v>
      </c>
    </row>
    <row r="121" spans="1:10" x14ac:dyDescent="0.3">
      <c r="A121" t="s">
        <v>9</v>
      </c>
      <c r="B121" s="4">
        <v>2023</v>
      </c>
      <c r="C121" t="s">
        <v>49</v>
      </c>
      <c r="D121" s="8">
        <f>INDEX(GDP_pc!$E:$ZZ, MATCH(A121, GDP_pc!$C:$C, 0), MATCH(B121, GDP_pc!$E$1:$ZZ$1, 0))</f>
        <v>2173339670064.3279</v>
      </c>
      <c r="E121">
        <f>INDEX(CH4_Em!$E:$ZZ, MATCH(A121, CH4_Em!$C:$C, 0), MATCH(B121, CH4_Em!$E$1:$ZZ$1, 0))</f>
        <v>30.6326</v>
      </c>
      <c r="F121">
        <f>INDEX(N2O_Em!$E:$ZZ, MATCH(A121, N2O_Em!$C:$C, 0), MATCH(B121, N2O_Em!$E$1:$ZZ$1, 0))</f>
        <v>31.414000000000001</v>
      </c>
      <c r="G121">
        <f>INDEX(CO2_Em!$E:$ZZ, MATCH(A121, CO2_Em!$C:$C, 0), MATCH(B121, CO2_Em!$E$1:$ZZ$1, 0))</f>
        <v>4.8456000000000001</v>
      </c>
      <c r="H121" t="str">
        <f>INDEX(Agri_VA!$E:$ZZ, MATCH(A121, Agri_VA!$C:$C, 0), MATCH(B121, Agri_VA!$E$1:$ZZ$1, 0))</f>
        <v>..</v>
      </c>
      <c r="I121" s="6">
        <f>INDEX('Agri_land '!$E:$ZZ, MATCH(A121, 'Agri_land '!$C:$C, 0), MATCH(B121, 'Agri_land '!$E$1:$ZZ$1, 0))</f>
        <v>6.4713780195023149</v>
      </c>
      <c r="J121">
        <f>INDEX(Cereal_Yield!$E:$ZZ, MATCH(A121, Cereal_Yield!$C:$C, 0), MATCH(B121, Cereal_Yield!$E$1:$ZZ$1, 0))</f>
        <v>3694.7</v>
      </c>
    </row>
    <row r="122" spans="1:10" x14ac:dyDescent="0.3">
      <c r="A122" t="s">
        <v>10</v>
      </c>
      <c r="B122" s="4">
        <v>2000</v>
      </c>
      <c r="C122" t="s">
        <v>49</v>
      </c>
      <c r="D122" s="8">
        <f>INDEX(GDP_pc!$E:$ZZ, MATCH(A122, GDP_pc!$C:$C, 0), MATCH(B122, GDP_pc!$E$1:$ZZ$1, 0))</f>
        <v>78339750721.364029</v>
      </c>
      <c r="E122">
        <f>INDEX(CH4_Em!$E:$ZZ, MATCH(A122, CH4_Em!$C:$C, 0), MATCH(B122, CH4_Em!$E$1:$ZZ$1, 0))</f>
        <v>9.0012000000000008</v>
      </c>
      <c r="F122">
        <f>INDEX(N2O_Em!$E:$ZZ, MATCH(A122, N2O_Em!$C:$C, 0), MATCH(B122, N2O_Em!$E$1:$ZZ$1, 0))</f>
        <v>4.0228000000000002</v>
      </c>
      <c r="G122">
        <f>INDEX(CO2_Em!$E:$ZZ, MATCH(A122, CO2_Em!$C:$C, 0), MATCH(B122, CO2_Em!$E$1:$ZZ$1, 0))</f>
        <v>0.31590000000000001</v>
      </c>
      <c r="H122">
        <f>INDEX(Agri_VA!$E:$ZZ, MATCH(A122, Agri_VA!$C:$C, 0), MATCH(B122, Agri_VA!$E$1:$ZZ$1, 0))</f>
        <v>5.0829624305111825</v>
      </c>
      <c r="I122" s="6">
        <f>INDEX('Agri_land '!$E:$ZZ, MATCH(A122, 'Agri_land '!$C:$C, 0), MATCH(B122, 'Agri_land '!$E$1:$ZZ$1, 0))</f>
        <v>20.32192293001512</v>
      </c>
      <c r="J122">
        <f>INDEX(Cereal_Yield!$E:$ZZ, MATCH(A122, Cereal_Yield!$C:$C, 0), MATCH(B122, Cereal_Yield!$E$1:$ZZ$1, 0))</f>
        <v>4362.1000000000004</v>
      </c>
    </row>
    <row r="123" spans="1:10" x14ac:dyDescent="0.3">
      <c r="A123" t="s">
        <v>10</v>
      </c>
      <c r="B123" s="4">
        <v>2001</v>
      </c>
      <c r="C123" t="s">
        <v>49</v>
      </c>
      <c r="D123" s="8">
        <f>INDEX(GDP_pc!$E:$ZZ, MATCH(A123, GDP_pc!$C:$C, 0), MATCH(B123, GDP_pc!$E$1:$ZZ$1, 0))</f>
        <v>71574739561.432877</v>
      </c>
      <c r="E123">
        <f>INDEX(CH4_Em!$E:$ZZ, MATCH(A123, CH4_Em!$C:$C, 0), MATCH(B123, CH4_Em!$E$1:$ZZ$1, 0))</f>
        <v>8.9113000000000007</v>
      </c>
      <c r="F123">
        <f>INDEX(N2O_Em!$E:$ZZ, MATCH(A123, N2O_Em!$C:$C, 0), MATCH(B123, N2O_Em!$E$1:$ZZ$1, 0))</f>
        <v>4.1303999999999998</v>
      </c>
      <c r="G123">
        <f>INDEX(CO2_Em!$E:$ZZ, MATCH(A123, CO2_Em!$C:$C, 0), MATCH(B123, CO2_Em!$E$1:$ZZ$1, 0))</f>
        <v>0.32540000000000002</v>
      </c>
      <c r="H123">
        <f>INDEX(Agri_VA!$E:$ZZ, MATCH(A123, Agri_VA!$C:$C, 0), MATCH(B123, Agri_VA!$E$1:$ZZ$1, 0))</f>
        <v>4.062420264161446</v>
      </c>
      <c r="I123" s="6">
        <f>INDEX('Agri_land '!$E:$ZZ, MATCH(A123, 'Agri_land '!$C:$C, 0), MATCH(B123, 'Agri_land '!$E$1:$ZZ$1, 0))</f>
        <v>20.375720211100532</v>
      </c>
      <c r="J123">
        <f>INDEX(Cereal_Yield!$E:$ZZ, MATCH(A123, Cereal_Yield!$C:$C, 0), MATCH(B123, Cereal_Yield!$E$1:$ZZ$1, 0))</f>
        <v>4935.7</v>
      </c>
    </row>
    <row r="124" spans="1:10" x14ac:dyDescent="0.3">
      <c r="A124" t="s">
        <v>10</v>
      </c>
      <c r="B124" s="4">
        <v>2002</v>
      </c>
      <c r="C124" t="s">
        <v>49</v>
      </c>
      <c r="D124" s="8">
        <f>INDEX(GDP_pc!$E:$ZZ, MATCH(A124, GDP_pc!$C:$C, 0), MATCH(B124, GDP_pc!$E$1:$ZZ$1, 0))</f>
        <v>70264045939.277252</v>
      </c>
      <c r="E124">
        <f>INDEX(CH4_Em!$E:$ZZ, MATCH(A124, CH4_Em!$C:$C, 0), MATCH(B124, CH4_Em!$E$1:$ZZ$1, 0))</f>
        <v>8.8224</v>
      </c>
      <c r="F124">
        <f>INDEX(N2O_Em!$E:$ZZ, MATCH(A124, N2O_Em!$C:$C, 0), MATCH(B124, N2O_Em!$E$1:$ZZ$1, 0))</f>
        <v>4.1590999999999996</v>
      </c>
      <c r="G124">
        <f>INDEX(CO2_Em!$E:$ZZ, MATCH(A124, CO2_Em!$C:$C, 0), MATCH(B124, CO2_Em!$E$1:$ZZ$1, 0))</f>
        <v>0.33210000000000001</v>
      </c>
      <c r="H124">
        <f>INDEX(Agri_VA!$E:$ZZ, MATCH(A124, Agri_VA!$C:$C, 0), MATCH(B124, Agri_VA!$E$1:$ZZ$1, 0))</f>
        <v>4.0650332475328419</v>
      </c>
      <c r="I124" s="6">
        <f>INDEX('Agri_land '!$E:$ZZ, MATCH(A124, 'Agri_land '!$C:$C, 0), MATCH(B124, 'Agri_land '!$E$1:$ZZ$1, 0))</f>
        <v>20.933867002361701</v>
      </c>
      <c r="J124">
        <f>INDEX(Cereal_Yield!$E:$ZZ, MATCH(A124, Cereal_Yield!$C:$C, 0), MATCH(B124, Cereal_Yield!$E$1:$ZZ$1, 0))</f>
        <v>5183.3</v>
      </c>
    </row>
    <row r="125" spans="1:10" x14ac:dyDescent="0.3">
      <c r="A125" t="s">
        <v>10</v>
      </c>
      <c r="B125" s="4">
        <v>2003</v>
      </c>
      <c r="C125" t="s">
        <v>49</v>
      </c>
      <c r="D125" s="8">
        <f>INDEX(GDP_pc!$E:$ZZ, MATCH(A125, GDP_pc!$C:$C, 0), MATCH(B125, GDP_pc!$E$1:$ZZ$1, 0))</f>
        <v>76492579644.060532</v>
      </c>
      <c r="E125">
        <f>INDEX(CH4_Em!$E:$ZZ, MATCH(A125, CH4_Em!$C:$C, 0), MATCH(B125, CH4_Em!$E$1:$ZZ$1, 0))</f>
        <v>8.7841000000000005</v>
      </c>
      <c r="F125">
        <f>INDEX(N2O_Em!$E:$ZZ, MATCH(A125, N2O_Em!$C:$C, 0), MATCH(B125, N2O_Em!$E$1:$ZZ$1, 0))</f>
        <v>4.3006000000000002</v>
      </c>
      <c r="G125">
        <f>INDEX(CO2_Em!$E:$ZZ, MATCH(A125, CO2_Em!$C:$C, 0), MATCH(B125, CO2_Em!$E$1:$ZZ$1, 0))</f>
        <v>0.39190000000000003</v>
      </c>
      <c r="H125">
        <f>INDEX(Agri_VA!$E:$ZZ, MATCH(A125, Agri_VA!$C:$C, 0), MATCH(B125, Agri_VA!$E$1:$ZZ$1, 0))</f>
        <v>4.0947753309382451</v>
      </c>
      <c r="I125" s="6">
        <f>INDEX('Agri_land '!$E:$ZZ, MATCH(A125, 'Agri_land '!$C:$C, 0), MATCH(B125, 'Agri_land '!$E$1:$ZZ$1, 0))</f>
        <v>20.745576518562753</v>
      </c>
      <c r="J125">
        <f>INDEX(Cereal_Yield!$E:$ZZ, MATCH(A125, Cereal_Yield!$C:$C, 0), MATCH(B125, Cereal_Yield!$E$1:$ZZ$1, 0))</f>
        <v>5390</v>
      </c>
    </row>
    <row r="126" spans="1:10" x14ac:dyDescent="0.3">
      <c r="A126" t="s">
        <v>10</v>
      </c>
      <c r="B126" s="4">
        <v>2004</v>
      </c>
      <c r="C126" t="s">
        <v>49</v>
      </c>
      <c r="D126" s="8">
        <f>INDEX(GDP_pc!$E:$ZZ, MATCH(A126, GDP_pc!$C:$C, 0), MATCH(B126, GDP_pc!$E$1:$ZZ$1, 0))</f>
        <v>99075985773.668152</v>
      </c>
      <c r="E126">
        <f>INDEX(CH4_Em!$E:$ZZ, MATCH(A126, CH4_Em!$C:$C, 0), MATCH(B126, CH4_Em!$E$1:$ZZ$1, 0))</f>
        <v>8.9029000000000007</v>
      </c>
      <c r="F126">
        <f>INDEX(N2O_Em!$E:$ZZ, MATCH(A126, N2O_Em!$C:$C, 0), MATCH(B126, N2O_Em!$E$1:$ZZ$1, 0))</f>
        <v>4.4432999999999998</v>
      </c>
      <c r="G126">
        <f>INDEX(CO2_Em!$E:$ZZ, MATCH(A126, CO2_Em!$C:$C, 0), MATCH(B126, CO2_Em!$E$1:$ZZ$1, 0))</f>
        <v>0.3952</v>
      </c>
      <c r="H126">
        <f>INDEX(Agri_VA!$E:$ZZ, MATCH(A126, Agri_VA!$C:$C, 0), MATCH(B126, Agri_VA!$E$1:$ZZ$1, 0))</f>
        <v>3.758265825403353</v>
      </c>
      <c r="I126" s="6">
        <f>INDEX('Agri_land '!$E:$ZZ, MATCH(A126, 'Agri_land '!$C:$C, 0), MATCH(B126, 'Agri_land '!$E$1:$ZZ$1, 0))</f>
        <v>21.431491852401781</v>
      </c>
      <c r="J126">
        <f>INDEX(Cereal_Yield!$E:$ZZ, MATCH(A126, Cereal_Yield!$C:$C, 0), MATCH(B126, Cereal_Yield!$E$1:$ZZ$1, 0))</f>
        <v>5657.5</v>
      </c>
    </row>
    <row r="127" spans="1:10" x14ac:dyDescent="0.3">
      <c r="A127" t="s">
        <v>10</v>
      </c>
      <c r="B127" s="4">
        <v>2005</v>
      </c>
      <c r="C127" t="s">
        <v>49</v>
      </c>
      <c r="D127" s="8">
        <f>INDEX(GDP_pc!$E:$ZZ, MATCH(A127, GDP_pc!$C:$C, 0), MATCH(B127, GDP_pc!$E$1:$ZZ$1, 0))</f>
        <v>122294145163.19211</v>
      </c>
      <c r="E127">
        <f>INDEX(CH4_Em!$E:$ZZ, MATCH(A127, CH4_Em!$C:$C, 0), MATCH(B127, CH4_Em!$E$1:$ZZ$1, 0))</f>
        <v>8.8806999999999992</v>
      </c>
      <c r="F127">
        <f>INDEX(N2O_Em!$E:$ZZ, MATCH(A127, N2O_Em!$C:$C, 0), MATCH(B127, N2O_Em!$E$1:$ZZ$1, 0))</f>
        <v>4.3741000000000003</v>
      </c>
      <c r="G127">
        <f>INDEX(CO2_Em!$E:$ZZ, MATCH(A127, CO2_Em!$C:$C, 0), MATCH(B127, CO2_Em!$E$1:$ZZ$1, 0))</f>
        <v>0.36670000000000003</v>
      </c>
      <c r="H127">
        <f>INDEX(Agri_VA!$E:$ZZ, MATCH(A127, Agri_VA!$C:$C, 0), MATCH(B127, Agri_VA!$E$1:$ZZ$1, 0))</f>
        <v>3.9222119378950295</v>
      </c>
      <c r="I127" s="6">
        <f>INDEX('Agri_land '!$E:$ZZ, MATCH(A127, 'Agri_land '!$C:$C, 0), MATCH(B127, 'Agri_land '!$E$1:$ZZ$1, 0))</f>
        <v>21.364245251045013</v>
      </c>
      <c r="J127">
        <f>INDEX(Cereal_Yield!$E:$ZZ, MATCH(A127, Cereal_Yield!$C:$C, 0), MATCH(B127, Cereal_Yield!$E$1:$ZZ$1, 0))</f>
        <v>5811.2</v>
      </c>
    </row>
    <row r="128" spans="1:10" x14ac:dyDescent="0.3">
      <c r="A128" t="s">
        <v>10</v>
      </c>
      <c r="B128" s="4">
        <v>2006</v>
      </c>
      <c r="C128" t="s">
        <v>49</v>
      </c>
      <c r="D128" s="8">
        <f>INDEX(GDP_pc!$E:$ZZ, MATCH(A128, GDP_pc!$C:$C, 0), MATCH(B128, GDP_pc!$E$1:$ZZ$1, 0))</f>
        <v>153843518170.86438</v>
      </c>
      <c r="E128">
        <f>INDEX(CH4_Em!$E:$ZZ, MATCH(A128, CH4_Em!$C:$C, 0), MATCH(B128, CH4_Em!$E$1:$ZZ$1, 0))</f>
        <v>8.7887000000000004</v>
      </c>
      <c r="F128">
        <f>INDEX(N2O_Em!$E:$ZZ, MATCH(A128, N2O_Em!$C:$C, 0), MATCH(B128, N2O_Em!$E$1:$ZZ$1, 0))</f>
        <v>4.3437000000000001</v>
      </c>
      <c r="G128">
        <f>INDEX(CO2_Em!$E:$ZZ, MATCH(A128, CO2_Em!$C:$C, 0), MATCH(B128, CO2_Em!$E$1:$ZZ$1, 0))</f>
        <v>0.36559999999999998</v>
      </c>
      <c r="H128">
        <f>INDEX(Agri_VA!$E:$ZZ, MATCH(A128, Agri_VA!$C:$C, 0), MATCH(B128, Agri_VA!$E$1:$ZZ$1, 0))</f>
        <v>3.7120451436571398</v>
      </c>
      <c r="I128" s="6">
        <f>INDEX('Agri_land '!$E:$ZZ, MATCH(A128, 'Agri_land '!$C:$C, 0), MATCH(B128, 'Agri_land '!$E$1:$ZZ$1, 0))</f>
        <v>21.249926028738507</v>
      </c>
      <c r="J128">
        <f>INDEX(Cereal_Yield!$E:$ZZ, MATCH(A128, Cereal_Yield!$C:$C, 0), MATCH(B128, Cereal_Yield!$E$1:$ZZ$1, 0))</f>
        <v>5998.3</v>
      </c>
    </row>
    <row r="129" spans="1:10" x14ac:dyDescent="0.3">
      <c r="A129" t="s">
        <v>10</v>
      </c>
      <c r="B129" s="4">
        <v>2007</v>
      </c>
      <c r="C129" t="s">
        <v>49</v>
      </c>
      <c r="D129" s="8">
        <f>INDEX(GDP_pc!$E:$ZZ, MATCH(A129, GDP_pc!$C:$C, 0), MATCH(B129, GDP_pc!$E$1:$ZZ$1, 0))</f>
        <v>172491076033.86267</v>
      </c>
      <c r="E129">
        <f>INDEX(CH4_Em!$E:$ZZ, MATCH(A129, CH4_Em!$C:$C, 0), MATCH(B129, CH4_Em!$E$1:$ZZ$1, 0))</f>
        <v>8.4908999999999999</v>
      </c>
      <c r="F129">
        <f>INDEX(N2O_Em!$E:$ZZ, MATCH(A129, N2O_Em!$C:$C, 0), MATCH(B129, N2O_Em!$E$1:$ZZ$1, 0))</f>
        <v>4.3587999999999996</v>
      </c>
      <c r="G129">
        <f>INDEX(CO2_Em!$E:$ZZ, MATCH(A129, CO2_Em!$C:$C, 0), MATCH(B129, CO2_Em!$E$1:$ZZ$1, 0))</f>
        <v>0.38669999999999999</v>
      </c>
      <c r="H129">
        <f>INDEX(Agri_VA!$E:$ZZ, MATCH(A129, Agri_VA!$C:$C, 0), MATCH(B129, Agri_VA!$E$1:$ZZ$1, 0))</f>
        <v>3.5505710887990198</v>
      </c>
      <c r="I129" s="6">
        <f>INDEX('Agri_land '!$E:$ZZ, MATCH(A129, 'Agri_land '!$C:$C, 0), MATCH(B129, 'Agri_land '!$E$1:$ZZ$1, 0))</f>
        <v>21.158470650893303</v>
      </c>
      <c r="J129">
        <f>INDEX(Cereal_Yield!$E:$ZZ, MATCH(A129, Cereal_Yield!$C:$C, 0), MATCH(B129, Cereal_Yield!$E$1:$ZZ$1, 0))</f>
        <v>5744.3</v>
      </c>
    </row>
    <row r="130" spans="1:10" x14ac:dyDescent="0.3">
      <c r="A130" t="s">
        <v>10</v>
      </c>
      <c r="B130" s="4">
        <v>2008</v>
      </c>
      <c r="C130" t="s">
        <v>49</v>
      </c>
      <c r="D130" s="8">
        <f>INDEX(GDP_pc!$E:$ZZ, MATCH(A130, GDP_pc!$C:$C, 0), MATCH(B130, GDP_pc!$E$1:$ZZ$1, 0))</f>
        <v>179894594475.40497</v>
      </c>
      <c r="E130">
        <f>INDEX(CH4_Em!$E:$ZZ, MATCH(A130, CH4_Em!$C:$C, 0), MATCH(B130, CH4_Em!$E$1:$ZZ$1, 0))</f>
        <v>8.6450999999999993</v>
      </c>
      <c r="F130">
        <f>INDEX(N2O_Em!$E:$ZZ, MATCH(A130, N2O_Em!$C:$C, 0), MATCH(B130, N2O_Em!$E$1:$ZZ$1, 0))</f>
        <v>4.3228999999999997</v>
      </c>
      <c r="G130">
        <f>INDEX(CO2_Em!$E:$ZZ, MATCH(A130, CO2_Em!$C:$C, 0), MATCH(B130, CO2_Em!$E$1:$ZZ$1, 0))</f>
        <v>0.37869999999999998</v>
      </c>
      <c r="H130">
        <f>INDEX(Agri_VA!$E:$ZZ, MATCH(A130, Agri_VA!$C:$C, 0), MATCH(B130, Agri_VA!$E$1:$ZZ$1, 0))</f>
        <v>3.4244322613297844</v>
      </c>
      <c r="I130" s="6">
        <f>INDEX('Agri_land '!$E:$ZZ, MATCH(A130, 'Agri_land '!$C:$C, 0), MATCH(B130, 'Agri_land '!$E$1:$ZZ$1, 0))</f>
        <v>20.736127833099317</v>
      </c>
      <c r="J130">
        <f>INDEX(Cereal_Yield!$E:$ZZ, MATCH(A130, Cereal_Yield!$C:$C, 0), MATCH(B130, Cereal_Yield!$E$1:$ZZ$1, 0))</f>
        <v>5844.4</v>
      </c>
    </row>
    <row r="131" spans="1:10" x14ac:dyDescent="0.3">
      <c r="A131" t="s">
        <v>10</v>
      </c>
      <c r="B131" s="4">
        <v>2009</v>
      </c>
      <c r="C131" t="s">
        <v>49</v>
      </c>
      <c r="D131" s="8">
        <f>INDEX(GDP_pc!$E:$ZZ, MATCH(A131, GDP_pc!$C:$C, 0), MATCH(B131, GDP_pc!$E$1:$ZZ$1, 0))</f>
        <v>171777900623.89206</v>
      </c>
      <c r="E131">
        <f>INDEX(CH4_Em!$E:$ZZ, MATCH(A131, CH4_Em!$C:$C, 0), MATCH(B131, CH4_Em!$E$1:$ZZ$1, 0))</f>
        <v>8.7544000000000004</v>
      </c>
      <c r="F131">
        <f>INDEX(N2O_Em!$E:$ZZ, MATCH(A131, N2O_Em!$C:$C, 0), MATCH(B131, N2O_Em!$E$1:$ZZ$1, 0))</f>
        <v>4.3269000000000002</v>
      </c>
      <c r="G131">
        <f>INDEX(CO2_Em!$E:$ZZ, MATCH(A131, CO2_Em!$C:$C, 0), MATCH(B131, CO2_Em!$E$1:$ZZ$1, 0))</f>
        <v>0.36609999999999998</v>
      </c>
      <c r="H131">
        <f>INDEX(Agri_VA!$E:$ZZ, MATCH(A131, Agri_VA!$C:$C, 0), MATCH(B131, Agri_VA!$E$1:$ZZ$1, 0))</f>
        <v>3.6971269558848636</v>
      </c>
      <c r="I131" s="6">
        <f>INDEX('Agri_land '!$E:$ZZ, MATCH(A131, 'Agri_land '!$C:$C, 0), MATCH(B131, 'Agri_land '!$E$1:$ZZ$1, 0))</f>
        <v>20.313786360237351</v>
      </c>
      <c r="J131">
        <f>INDEX(Cereal_Yield!$E:$ZZ, MATCH(A131, Cereal_Yield!$C:$C, 0), MATCH(B131, Cereal_Yield!$E$1:$ZZ$1, 0))</f>
        <v>5462.3</v>
      </c>
    </row>
    <row r="132" spans="1:10" x14ac:dyDescent="0.3">
      <c r="A132" t="s">
        <v>10</v>
      </c>
      <c r="B132" s="4">
        <v>2010</v>
      </c>
      <c r="C132" t="s">
        <v>49</v>
      </c>
      <c r="D132" s="8">
        <f>INDEX(GDP_pc!$E:$ZZ, MATCH(A132, GDP_pc!$C:$C, 0), MATCH(B132, GDP_pc!$E$1:$ZZ$1, 0))</f>
        <v>217051209238.53412</v>
      </c>
      <c r="E132">
        <f>INDEX(CH4_Em!$E:$ZZ, MATCH(A132, CH4_Em!$C:$C, 0), MATCH(B132, CH4_Em!$E$1:$ZZ$1, 0))</f>
        <v>8.7017000000000007</v>
      </c>
      <c r="F132">
        <f>INDEX(N2O_Em!$E:$ZZ, MATCH(A132, N2O_Em!$C:$C, 0), MATCH(B132, N2O_Em!$E$1:$ZZ$1, 0))</f>
        <v>4.0038999999999998</v>
      </c>
      <c r="G132">
        <f>INDEX(CO2_Em!$E:$ZZ, MATCH(A132, CO2_Em!$C:$C, 0), MATCH(B132, CO2_Em!$E$1:$ZZ$1, 0))</f>
        <v>0.29110000000000003</v>
      </c>
      <c r="H132">
        <f>INDEX(Agri_VA!$E:$ZZ, MATCH(A132, Agri_VA!$C:$C, 0), MATCH(B132, Agri_VA!$E$1:$ZZ$1, 0))</f>
        <v>3.4782846318978557</v>
      </c>
      <c r="I132" s="6">
        <f>INDEX('Agri_land '!$E:$ZZ, MATCH(A132, 'Agri_land '!$C:$C, 0), MATCH(B132, 'Agri_land '!$E$1:$ZZ$1, 0))</f>
        <v>19.79527955757116</v>
      </c>
      <c r="J132">
        <f>INDEX(Cereal_Yield!$E:$ZZ, MATCH(A132, Cereal_Yield!$C:$C, 0), MATCH(B132, Cereal_Yield!$E$1:$ZZ$1, 0))</f>
        <v>6815.4</v>
      </c>
    </row>
    <row r="133" spans="1:10" x14ac:dyDescent="0.3">
      <c r="A133" t="s">
        <v>10</v>
      </c>
      <c r="B133" s="4">
        <v>2011</v>
      </c>
      <c r="C133" t="s">
        <v>49</v>
      </c>
      <c r="D133" s="8">
        <f>INDEX(GDP_pc!$E:$ZZ, MATCH(A133, GDP_pc!$C:$C, 0), MATCH(B133, GDP_pc!$E$1:$ZZ$1, 0))</f>
        <v>251382573893.86972</v>
      </c>
      <c r="E133">
        <f>INDEX(CH4_Em!$E:$ZZ, MATCH(A133, CH4_Em!$C:$C, 0), MATCH(B133, CH4_Em!$E$1:$ZZ$1, 0))</f>
        <v>8.6254000000000008</v>
      </c>
      <c r="F133">
        <f>INDEX(N2O_Em!$E:$ZZ, MATCH(A133, N2O_Em!$C:$C, 0), MATCH(B133, N2O_Em!$E$1:$ZZ$1, 0))</f>
        <v>4.0412999999999997</v>
      </c>
      <c r="G133">
        <f>INDEX(CO2_Em!$E:$ZZ, MATCH(A133, CO2_Em!$C:$C, 0), MATCH(B133, CO2_Em!$E$1:$ZZ$1, 0))</f>
        <v>0.2923</v>
      </c>
      <c r="H133">
        <f>INDEX(Agri_VA!$E:$ZZ, MATCH(A133, Agri_VA!$C:$C, 0), MATCH(B133, Agri_VA!$E$1:$ZZ$1, 0))</f>
        <v>3.6261832358388064</v>
      </c>
      <c r="I133" s="6">
        <f>INDEX('Agri_land '!$E:$ZZ, MATCH(A133, 'Agri_land '!$C:$C, 0), MATCH(B133, 'Agri_land '!$E$1:$ZZ$1, 0))</f>
        <v>19.391093456636703</v>
      </c>
      <c r="J133">
        <f>INDEX(Cereal_Yield!$E:$ZZ, MATCH(A133, Cereal_Yield!$C:$C, 0), MATCH(B133, Cereal_Yield!$E$1:$ZZ$1, 0))</f>
        <v>6927.8</v>
      </c>
    </row>
    <row r="134" spans="1:10" x14ac:dyDescent="0.3">
      <c r="A134" t="s">
        <v>10</v>
      </c>
      <c r="B134" s="4">
        <v>2012</v>
      </c>
      <c r="C134" t="s">
        <v>49</v>
      </c>
      <c r="D134" s="8">
        <f>INDEX(GDP_pc!$E:$ZZ, MATCH(A134, GDP_pc!$C:$C, 0), MATCH(B134, GDP_pc!$E$1:$ZZ$1, 0))</f>
        <v>267024782486.85474</v>
      </c>
      <c r="E134">
        <f>INDEX(CH4_Em!$E:$ZZ, MATCH(A134, CH4_Em!$C:$C, 0), MATCH(B134, CH4_Em!$E$1:$ZZ$1, 0))</f>
        <v>8.6754999999999995</v>
      </c>
      <c r="F134">
        <f>INDEX(N2O_Em!$E:$ZZ, MATCH(A134, N2O_Em!$C:$C, 0), MATCH(B134, N2O_Em!$E$1:$ZZ$1, 0))</f>
        <v>4.1127000000000002</v>
      </c>
      <c r="G134">
        <f>INDEX(CO2_Em!$E:$ZZ, MATCH(A134, CO2_Em!$C:$C, 0), MATCH(B134, CO2_Em!$E$1:$ZZ$1, 0))</f>
        <v>0.29709999999999998</v>
      </c>
      <c r="H134">
        <f>INDEX(Agri_VA!$E:$ZZ, MATCH(A134, Agri_VA!$C:$C, 0), MATCH(B134, Agri_VA!$E$1:$ZZ$1, 0))</f>
        <v>3.274933539617523</v>
      </c>
      <c r="I134" s="6">
        <f>INDEX('Agri_land '!$E:$ZZ, MATCH(A134, 'Agri_land '!$C:$C, 0), MATCH(B134, 'Agri_land '!$E$1:$ZZ$1, 0))</f>
        <v>18.879312659038209</v>
      </c>
      <c r="J134">
        <f>INDEX(Cereal_Yield!$E:$ZZ, MATCH(A134, Cereal_Yield!$C:$C, 0), MATCH(B134, Cereal_Yield!$E$1:$ZZ$1, 0))</f>
        <v>6229.6</v>
      </c>
    </row>
    <row r="135" spans="1:10" x14ac:dyDescent="0.3">
      <c r="A135" t="s">
        <v>10</v>
      </c>
      <c r="B135" s="4">
        <v>2013</v>
      </c>
      <c r="C135" t="s">
        <v>49</v>
      </c>
      <c r="D135" s="8">
        <f>INDEX(GDP_pc!$E:$ZZ, MATCH(A135, GDP_pc!$C:$C, 0), MATCH(B135, GDP_pc!$E$1:$ZZ$1, 0))</f>
        <v>277395018842.4165</v>
      </c>
      <c r="E135">
        <f>INDEX(CH4_Em!$E:$ZZ, MATCH(A135, CH4_Em!$C:$C, 0), MATCH(B135, CH4_Em!$E$1:$ZZ$1, 0))</f>
        <v>7.1548999999999996</v>
      </c>
      <c r="F135">
        <f>INDEX(N2O_Em!$E:$ZZ, MATCH(A135, N2O_Em!$C:$C, 0), MATCH(B135, N2O_Em!$E$1:$ZZ$1, 0))</f>
        <v>3.6869999999999998</v>
      </c>
      <c r="G135">
        <f>INDEX(CO2_Em!$E:$ZZ, MATCH(A135, CO2_Em!$C:$C, 0), MATCH(B135, CO2_Em!$E$1:$ZZ$1, 0))</f>
        <v>0.29759999999999998</v>
      </c>
      <c r="H135">
        <f>INDEX(Agri_VA!$E:$ZZ, MATCH(A135, Agri_VA!$C:$C, 0), MATCH(B135, Agri_VA!$E$1:$ZZ$1, 0))</f>
        <v>3.4733753278992627</v>
      </c>
      <c r="I135" s="6">
        <f>INDEX('Agri_land '!$E:$ZZ, MATCH(A135, 'Agri_land '!$C:$C, 0), MATCH(B135, 'Agri_land '!$E$1:$ZZ$1, 0))</f>
        <v>18.44822912799987</v>
      </c>
      <c r="J135">
        <f>INDEX(Cereal_Yield!$E:$ZZ, MATCH(A135, Cereal_Yield!$C:$C, 0), MATCH(B135, Cereal_Yield!$E$1:$ZZ$1, 0))</f>
        <v>6913.2</v>
      </c>
    </row>
    <row r="136" spans="1:10" x14ac:dyDescent="0.3">
      <c r="A136" t="s">
        <v>10</v>
      </c>
      <c r="B136" s="4">
        <v>2014</v>
      </c>
      <c r="C136" t="s">
        <v>49</v>
      </c>
      <c r="D136" s="8">
        <f>INDEX(GDP_pc!$E:$ZZ, MATCH(A136, GDP_pc!$C:$C, 0), MATCH(B136, GDP_pc!$E$1:$ZZ$1, 0))</f>
        <v>259560978224.35889</v>
      </c>
      <c r="E136">
        <f>INDEX(CH4_Em!$E:$ZZ, MATCH(A136, CH4_Em!$C:$C, 0), MATCH(B136, CH4_Em!$E$1:$ZZ$1, 0))</f>
        <v>6.7965999999999998</v>
      </c>
      <c r="F136">
        <f>INDEX(N2O_Em!$E:$ZZ, MATCH(A136, N2O_Em!$C:$C, 0), MATCH(B136, N2O_Em!$E$1:$ZZ$1, 0))</f>
        <v>3.5528</v>
      </c>
      <c r="G136">
        <f>INDEX(CO2_Em!$E:$ZZ, MATCH(A136, CO2_Em!$C:$C, 0), MATCH(B136, CO2_Em!$E$1:$ZZ$1, 0))</f>
        <v>0.3009</v>
      </c>
      <c r="H136">
        <f>INDEX(Agri_VA!$E:$ZZ, MATCH(A136, Agri_VA!$C:$C, 0), MATCH(B136, Agri_VA!$E$1:$ZZ$1, 0))</f>
        <v>3.9466206299946176</v>
      </c>
      <c r="I136" s="6">
        <f>INDEX('Agri_land '!$E:$ZZ, MATCH(A136, 'Agri_land '!$C:$C, 0), MATCH(B136, 'Agri_land '!$E$1:$ZZ$1, 0))</f>
        <v>18.000314986423575</v>
      </c>
      <c r="J136">
        <f>INDEX(Cereal_Yield!$E:$ZZ, MATCH(A136, Cereal_Yield!$C:$C, 0), MATCH(B136, Cereal_Yield!$E$1:$ZZ$1, 0))</f>
        <v>6128.4</v>
      </c>
    </row>
    <row r="137" spans="1:10" x14ac:dyDescent="0.3">
      <c r="A137" t="s">
        <v>10</v>
      </c>
      <c r="B137" s="4">
        <v>2015</v>
      </c>
      <c r="C137" t="s">
        <v>49</v>
      </c>
      <c r="D137" s="8">
        <f>INDEX(GDP_pc!$E:$ZZ, MATCH(A137, GDP_pc!$C:$C, 0), MATCH(B137, GDP_pc!$E$1:$ZZ$1, 0))</f>
        <v>242450355830.88394</v>
      </c>
      <c r="E137">
        <f>INDEX(CH4_Em!$E:$ZZ, MATCH(A137, CH4_Em!$C:$C, 0), MATCH(B137, CH4_Em!$E$1:$ZZ$1, 0))</f>
        <v>6.4142999999999999</v>
      </c>
      <c r="F137">
        <f>INDEX(N2O_Em!$E:$ZZ, MATCH(A137, N2O_Em!$C:$C, 0), MATCH(B137, N2O_Em!$E$1:$ZZ$1, 0))</f>
        <v>3.5013999999999998</v>
      </c>
      <c r="G137">
        <f>INDEX(CO2_Em!$E:$ZZ, MATCH(A137, CO2_Em!$C:$C, 0), MATCH(B137, CO2_Em!$E$1:$ZZ$1, 0))</f>
        <v>0.2974</v>
      </c>
      <c r="H137">
        <f>INDEX(Agri_VA!$E:$ZZ, MATCH(A137, Agri_VA!$C:$C, 0), MATCH(B137, Agri_VA!$E$1:$ZZ$1, 0))</f>
        <v>3.7094042753648999</v>
      </c>
      <c r="I137" s="6">
        <f>INDEX('Agri_land '!$E:$ZZ, MATCH(A137, 'Agri_land '!$C:$C, 0), MATCH(B137, 'Agri_land '!$E$1:$ZZ$1, 0))</f>
        <v>17.565187709095465</v>
      </c>
      <c r="J137">
        <f>INDEX(Cereal_Yield!$E:$ZZ, MATCH(A137, Cereal_Yield!$C:$C, 0), MATCH(B137, Cereal_Yield!$E$1:$ZZ$1, 0))</f>
        <v>7082.3</v>
      </c>
    </row>
    <row r="138" spans="1:10" x14ac:dyDescent="0.3">
      <c r="A138" t="s">
        <v>10</v>
      </c>
      <c r="B138" s="4">
        <v>2016</v>
      </c>
      <c r="C138" t="s">
        <v>49</v>
      </c>
      <c r="D138" s="8">
        <f>INDEX(GDP_pc!$E:$ZZ, MATCH(A138, GDP_pc!$C:$C, 0), MATCH(B138, GDP_pc!$E$1:$ZZ$1, 0))</f>
        <v>249344863928.43762</v>
      </c>
      <c r="E138">
        <f>INDEX(CH4_Em!$E:$ZZ, MATCH(A138, CH4_Em!$C:$C, 0), MATCH(B138, CH4_Em!$E$1:$ZZ$1, 0))</f>
        <v>6.5835999999999997</v>
      </c>
      <c r="F138">
        <f>INDEX(N2O_Em!$E:$ZZ, MATCH(A138, N2O_Em!$C:$C, 0), MATCH(B138, N2O_Em!$E$1:$ZZ$1, 0))</f>
        <v>3.5234000000000001</v>
      </c>
      <c r="G138">
        <f>INDEX(CO2_Em!$E:$ZZ, MATCH(A138, CO2_Em!$C:$C, 0), MATCH(B138, CO2_Em!$E$1:$ZZ$1, 0))</f>
        <v>0.29010000000000002</v>
      </c>
      <c r="H138">
        <f>INDEX(Agri_VA!$E:$ZZ, MATCH(A138, Agri_VA!$C:$C, 0), MATCH(B138, Agri_VA!$E$1:$ZZ$1, 0))</f>
        <v>4.1990893712919615</v>
      </c>
      <c r="I138" s="6">
        <f>INDEX('Agri_land '!$E:$ZZ, MATCH(A138, 'Agri_land '!$C:$C, 0), MATCH(B138, 'Agri_land '!$E$1:$ZZ$1, 0))</f>
        <v>17.025862754173332</v>
      </c>
      <c r="J138">
        <f>INDEX(Cereal_Yield!$E:$ZZ, MATCH(A138, Cereal_Yield!$C:$C, 0), MATCH(B138, Cereal_Yield!$E$1:$ZZ$1, 0))</f>
        <v>6858.2</v>
      </c>
    </row>
    <row r="139" spans="1:10" x14ac:dyDescent="0.3">
      <c r="A139" t="s">
        <v>10</v>
      </c>
      <c r="B139" s="4">
        <v>2017</v>
      </c>
      <c r="C139" t="s">
        <v>49</v>
      </c>
      <c r="D139" s="8">
        <f>INDEX(GDP_pc!$E:$ZZ, MATCH(A139, GDP_pc!$C:$C, 0), MATCH(B139, GDP_pc!$E$1:$ZZ$1, 0))</f>
        <v>276154259981.09723</v>
      </c>
      <c r="E139">
        <f>INDEX(CH4_Em!$E:$ZZ, MATCH(A139, CH4_Em!$C:$C, 0), MATCH(B139, CH4_Em!$E$1:$ZZ$1, 0))</f>
        <v>6.6588000000000003</v>
      </c>
      <c r="F139">
        <f>INDEX(N2O_Em!$E:$ZZ, MATCH(A139, N2O_Em!$C:$C, 0), MATCH(B139, N2O_Em!$E$1:$ZZ$1, 0))</f>
        <v>3.4738000000000002</v>
      </c>
      <c r="G139">
        <f>INDEX(CO2_Em!$E:$ZZ, MATCH(A139, CO2_Em!$C:$C, 0), MATCH(B139, CO2_Em!$E$1:$ZZ$1, 0))</f>
        <v>0.29160000000000003</v>
      </c>
      <c r="H139">
        <f>INDEX(Agri_VA!$E:$ZZ, MATCH(A139, Agri_VA!$C:$C, 0), MATCH(B139, Agri_VA!$E$1:$ZZ$1, 0))</f>
        <v>4.2809716137703715</v>
      </c>
      <c r="I139" s="6">
        <f>INDEX('Agri_land '!$E:$ZZ, MATCH(A139, 'Agri_land '!$C:$C, 0), MATCH(B139, 'Agri_land '!$E$1:$ZZ$1, 0))</f>
        <v>16.575463504158421</v>
      </c>
      <c r="J139">
        <f>INDEX(Cereal_Yield!$E:$ZZ, MATCH(A139, Cereal_Yield!$C:$C, 0), MATCH(B139, Cereal_Yield!$E$1:$ZZ$1, 0))</f>
        <v>6779.4</v>
      </c>
    </row>
    <row r="140" spans="1:10" x14ac:dyDescent="0.3">
      <c r="A140" t="s">
        <v>10</v>
      </c>
      <c r="B140" s="4">
        <v>2018</v>
      </c>
      <c r="C140" t="s">
        <v>49</v>
      </c>
      <c r="D140" s="8">
        <f>INDEX(GDP_pc!$E:$ZZ, MATCH(A140, GDP_pc!$C:$C, 0), MATCH(B140, GDP_pc!$E$1:$ZZ$1, 0))</f>
        <v>295857562991.70905</v>
      </c>
      <c r="E140">
        <f>INDEX(CH4_Em!$E:$ZZ, MATCH(A140, CH4_Em!$C:$C, 0), MATCH(B140, CH4_Em!$E$1:$ZZ$1, 0))</f>
        <v>6.8836000000000004</v>
      </c>
      <c r="F140">
        <f>INDEX(N2O_Em!$E:$ZZ, MATCH(A140, N2O_Em!$C:$C, 0), MATCH(B140, N2O_Em!$E$1:$ZZ$1, 0))</f>
        <v>3.6318000000000001</v>
      </c>
      <c r="G140">
        <f>INDEX(CO2_Em!$E:$ZZ, MATCH(A140, CO2_Em!$C:$C, 0), MATCH(B140, CO2_Em!$E$1:$ZZ$1, 0))</f>
        <v>0.33260000000000001</v>
      </c>
      <c r="H140">
        <f>INDEX(Agri_VA!$E:$ZZ, MATCH(A140, Agri_VA!$C:$C, 0), MATCH(B140, Agri_VA!$E$1:$ZZ$1, 0))</f>
        <v>3.9274359246112347</v>
      </c>
      <c r="I140" s="6">
        <f>INDEX('Agri_land '!$E:$ZZ, MATCH(A140, 'Agri_land '!$C:$C, 0), MATCH(B140, 'Agri_land '!$E$1:$ZZ$1, 0))</f>
        <v>16.016076724849569</v>
      </c>
      <c r="J140">
        <f>INDEX(Cereal_Yield!$E:$ZZ, MATCH(A140, Cereal_Yield!$C:$C, 0), MATCH(B140, Cereal_Yield!$E$1:$ZZ$1, 0))</f>
        <v>7144.3</v>
      </c>
    </row>
    <row r="141" spans="1:10" x14ac:dyDescent="0.3">
      <c r="A141" t="s">
        <v>10</v>
      </c>
      <c r="B141" s="4">
        <v>2019</v>
      </c>
      <c r="C141" t="s">
        <v>49</v>
      </c>
      <c r="D141" s="8">
        <f>INDEX(GDP_pc!$E:$ZZ, MATCH(A141, GDP_pc!$C:$C, 0), MATCH(B141, GDP_pc!$E$1:$ZZ$1, 0))</f>
        <v>278285058719.46613</v>
      </c>
      <c r="E141">
        <f>INDEX(CH4_Em!$E:$ZZ, MATCH(A141, CH4_Em!$C:$C, 0), MATCH(B141, CH4_Em!$E$1:$ZZ$1, 0))</f>
        <v>7.1222000000000003</v>
      </c>
      <c r="F141">
        <f>INDEX(N2O_Em!$E:$ZZ, MATCH(A141, N2O_Em!$C:$C, 0), MATCH(B141, N2O_Em!$E$1:$ZZ$1, 0))</f>
        <v>3.7195</v>
      </c>
      <c r="G141">
        <f>INDEX(CO2_Em!$E:$ZZ, MATCH(A141, CO2_Em!$C:$C, 0), MATCH(B141, CO2_Em!$E$1:$ZZ$1, 0))</f>
        <v>0.3352</v>
      </c>
      <c r="H141">
        <f>INDEX(Agri_VA!$E:$ZZ, MATCH(A141, Agri_VA!$C:$C, 0), MATCH(B141, Agri_VA!$E$1:$ZZ$1, 0))</f>
        <v>3.9878121713789962</v>
      </c>
      <c r="I141" s="6">
        <f>INDEX('Agri_land '!$E:$ZZ, MATCH(A141, 'Agri_land '!$C:$C, 0), MATCH(B141, 'Agri_land '!$E$1:$ZZ$1, 0))</f>
        <v>15.435346965026961</v>
      </c>
      <c r="J141">
        <f>INDEX(Cereal_Yield!$E:$ZZ, MATCH(A141, Cereal_Yield!$C:$C, 0), MATCH(B141, Cereal_Yield!$E$1:$ZZ$1, 0))</f>
        <v>7157.2</v>
      </c>
    </row>
    <row r="142" spans="1:10" x14ac:dyDescent="0.3">
      <c r="A142" t="s">
        <v>10</v>
      </c>
      <c r="B142" s="4">
        <v>2020</v>
      </c>
      <c r="C142" t="s">
        <v>49</v>
      </c>
      <c r="D142" s="8">
        <f>INDEX(GDP_pc!$E:$ZZ, MATCH(A142, GDP_pc!$C:$C, 0), MATCH(B142, GDP_pc!$E$1:$ZZ$1, 0))</f>
        <v>254042159309.31055</v>
      </c>
      <c r="E142">
        <f>INDEX(CH4_Em!$E:$ZZ, MATCH(A142, CH4_Em!$C:$C, 0), MATCH(B142, CH4_Em!$E$1:$ZZ$1, 0))</f>
        <v>7.2805</v>
      </c>
      <c r="F142">
        <f>INDEX(N2O_Em!$E:$ZZ, MATCH(A142, N2O_Em!$C:$C, 0), MATCH(B142, N2O_Em!$E$1:$ZZ$1, 0))</f>
        <v>3.8283</v>
      </c>
      <c r="G142">
        <f>INDEX(CO2_Em!$E:$ZZ, MATCH(A142, CO2_Em!$C:$C, 0), MATCH(B142, CO2_Em!$E$1:$ZZ$1, 0))</f>
        <v>0.34660000000000002</v>
      </c>
      <c r="H142">
        <f>INDEX(Agri_VA!$E:$ZZ, MATCH(A142, Agri_VA!$C:$C, 0), MATCH(B142, Agri_VA!$E$1:$ZZ$1, 0))</f>
        <v>4.0454268440994694</v>
      </c>
      <c r="I142" s="6">
        <f>INDEX('Agri_land '!$E:$ZZ, MATCH(A142, 'Agri_land '!$C:$C, 0), MATCH(B142, 'Agri_land '!$E$1:$ZZ$1, 0))</f>
        <v>14.902628945638345</v>
      </c>
      <c r="J142">
        <f>INDEX(Cereal_Yield!$E:$ZZ, MATCH(A142, Cereal_Yield!$C:$C, 0), MATCH(B142, Cereal_Yield!$E$1:$ZZ$1, 0))</f>
        <v>6245.8</v>
      </c>
    </row>
    <row r="143" spans="1:10" x14ac:dyDescent="0.3">
      <c r="A143" t="s">
        <v>10</v>
      </c>
      <c r="B143" s="4">
        <v>2021</v>
      </c>
      <c r="C143" t="s">
        <v>49</v>
      </c>
      <c r="D143" s="8">
        <f>INDEX(GDP_pc!$E:$ZZ, MATCH(A143, GDP_pc!$C:$C, 0), MATCH(B143, GDP_pc!$E$1:$ZZ$1, 0))</f>
        <v>315325547162.07153</v>
      </c>
      <c r="E143">
        <f>INDEX(CH4_Em!$E:$ZZ, MATCH(A143, CH4_Em!$C:$C, 0), MATCH(B143, CH4_Em!$E$1:$ZZ$1, 0))</f>
        <v>6.8800999999999997</v>
      </c>
      <c r="F143">
        <f>INDEX(N2O_Em!$E:$ZZ, MATCH(A143, N2O_Em!$C:$C, 0), MATCH(B143, N2O_Em!$E$1:$ZZ$1, 0))</f>
        <v>3.8540999999999999</v>
      </c>
      <c r="G143">
        <f>INDEX(CO2_Em!$E:$ZZ, MATCH(A143, CO2_Em!$C:$C, 0), MATCH(B143, CO2_Em!$E$1:$ZZ$1, 0))</f>
        <v>0.36919999999999997</v>
      </c>
      <c r="H143">
        <f>INDEX(Agri_VA!$E:$ZZ, MATCH(A143, Agri_VA!$C:$C, 0), MATCH(B143, Agri_VA!$E$1:$ZZ$1, 0))</f>
        <v>3.505864368136149</v>
      </c>
      <c r="I143" s="6">
        <f>INDEX('Agri_land '!$E:$ZZ, MATCH(A143, 'Agri_land '!$C:$C, 0), MATCH(B143, 'Agri_land '!$E$1:$ZZ$1, 0))</f>
        <v>14.563187023105261</v>
      </c>
      <c r="J143">
        <f>INDEX(Cereal_Yield!$E:$ZZ, MATCH(A143, Cereal_Yield!$C:$C, 0), MATCH(B143, Cereal_Yield!$E$1:$ZZ$1, 0))</f>
        <v>6491.2</v>
      </c>
    </row>
    <row r="144" spans="1:10" x14ac:dyDescent="0.3">
      <c r="A144" t="s">
        <v>10</v>
      </c>
      <c r="B144" s="4">
        <v>2022</v>
      </c>
      <c r="C144" t="s">
        <v>49</v>
      </c>
      <c r="D144" s="8">
        <f>INDEX(GDP_pc!$E:$ZZ, MATCH(A144, GDP_pc!$C:$C, 0), MATCH(B144, GDP_pc!$E$1:$ZZ$1, 0))</f>
        <v>301226575540.2417</v>
      </c>
      <c r="E144">
        <f>INDEX(CH4_Em!$E:$ZZ, MATCH(A144, CH4_Em!$C:$C, 0), MATCH(B144, CH4_Em!$E$1:$ZZ$1, 0))</f>
        <v>6.7648999999999999</v>
      </c>
      <c r="F144">
        <f>INDEX(N2O_Em!$E:$ZZ, MATCH(A144, N2O_Em!$C:$C, 0), MATCH(B144, N2O_Em!$E$1:$ZZ$1, 0))</f>
        <v>3.4801000000000002</v>
      </c>
      <c r="G144">
        <f>INDEX(CO2_Em!$E:$ZZ, MATCH(A144, CO2_Em!$C:$C, 0), MATCH(B144, CO2_Em!$E$1:$ZZ$1, 0))</f>
        <v>0.2777</v>
      </c>
      <c r="H144">
        <f>INDEX(Agri_VA!$E:$ZZ, MATCH(A144, Agri_VA!$C:$C, 0), MATCH(B144, Agri_VA!$E$1:$ZZ$1, 0))</f>
        <v>3.2346792584916213</v>
      </c>
      <c r="I144" s="6">
        <f>INDEX('Agri_land '!$E:$ZZ, MATCH(A144, 'Agri_land '!$C:$C, 0), MATCH(B144, 'Agri_land '!$E$1:$ZZ$1, 0))</f>
        <v>14.319932710459129</v>
      </c>
      <c r="J144">
        <f>INDEX(Cereal_Yield!$E:$ZZ, MATCH(A144, Cereal_Yield!$C:$C, 0), MATCH(B144, Cereal_Yield!$E$1:$ZZ$1, 0))</f>
        <v>6113.9</v>
      </c>
    </row>
    <row r="145" spans="1:10" x14ac:dyDescent="0.3">
      <c r="A145" t="s">
        <v>10</v>
      </c>
      <c r="B145" s="4">
        <v>2023</v>
      </c>
      <c r="C145" t="s">
        <v>49</v>
      </c>
      <c r="D145" s="8">
        <f>INDEX(GDP_pc!$E:$ZZ, MATCH(A145, GDP_pc!$C:$C, 0), MATCH(B145, GDP_pc!$E$1:$ZZ$1, 0))</f>
        <v>335518054097.63696</v>
      </c>
      <c r="E145">
        <f>INDEX(CH4_Em!$E:$ZZ, MATCH(A145, CH4_Em!$C:$C, 0), MATCH(B145, CH4_Em!$E$1:$ZZ$1, 0))</f>
        <v>6.6330999999999998</v>
      </c>
      <c r="F145">
        <f>INDEX(N2O_Em!$E:$ZZ, MATCH(A145, N2O_Em!$C:$C, 0), MATCH(B145, N2O_Em!$E$1:$ZZ$1, 0))</f>
        <v>3.4487999999999999</v>
      </c>
      <c r="G145">
        <f>INDEX(CO2_Em!$E:$ZZ, MATCH(A145, CO2_Em!$C:$C, 0), MATCH(B145, CO2_Em!$E$1:$ZZ$1, 0))</f>
        <v>0.2843</v>
      </c>
      <c r="H145">
        <f>INDEX(Agri_VA!$E:$ZZ, MATCH(A145, Agri_VA!$C:$C, 0), MATCH(B145, Agri_VA!$E$1:$ZZ$1, 0))</f>
        <v>3.4902273336242464</v>
      </c>
      <c r="I145" s="6">
        <f>INDEX('Agri_land '!$E:$ZZ, MATCH(A145, 'Agri_land '!$C:$C, 0), MATCH(B145, 'Agri_land '!$E$1:$ZZ$1, 0))</f>
        <v>14.401024975188188</v>
      </c>
      <c r="J145">
        <f>INDEX(Cereal_Yield!$E:$ZZ, MATCH(A145, Cereal_Yield!$C:$C, 0), MATCH(B145, Cereal_Yield!$E$1:$ZZ$1, 0))</f>
        <v>6382.3</v>
      </c>
    </row>
    <row r="146" spans="1:10" x14ac:dyDescent="0.3">
      <c r="A146" t="s">
        <v>11</v>
      </c>
      <c r="B146" s="4">
        <v>2000</v>
      </c>
      <c r="C146" t="s">
        <v>48</v>
      </c>
      <c r="D146" s="8">
        <f>INDEX(GDP_pc!$E:$ZZ, MATCH(A146, GDP_pc!$C:$C, 0), MATCH(B146, GDP_pc!$E$1:$ZZ$1, 0))</f>
        <v>1223754919971.0479</v>
      </c>
      <c r="E146">
        <f>INDEX(CH4_Em!$E:$ZZ, MATCH(A146, CH4_Em!$C:$C, 0), MATCH(B146, CH4_Em!$E$1:$ZZ$1, 0))</f>
        <v>513.07510000000002</v>
      </c>
      <c r="F146">
        <f>INDEX(N2O_Em!$E:$ZZ, MATCH(A146, N2O_Em!$C:$C, 0), MATCH(B146, N2O_Em!$E$1:$ZZ$1, 0))</f>
        <v>239.38640000000001</v>
      </c>
      <c r="G146">
        <f>INDEX(CO2_Em!$E:$ZZ, MATCH(A146, CO2_Em!$C:$C, 0), MATCH(B146, CO2_Em!$E$1:$ZZ$1, 0))</f>
        <v>24.127700000000001</v>
      </c>
      <c r="H146">
        <f>INDEX(Agri_VA!$E:$ZZ, MATCH(A146, Agri_VA!$C:$C, 0), MATCH(B146, Agri_VA!$E$1:$ZZ$1, 0))</f>
        <v>14.527251949982528</v>
      </c>
      <c r="I146" s="6">
        <f>INDEX('Agri_land '!$E:$ZZ, MATCH(A146, 'Agri_land '!$C:$C, 0), MATCH(B146, 'Agri_land '!$E$1:$ZZ$1, 0))</f>
        <v>55.694583211727036</v>
      </c>
      <c r="J146">
        <f>INDEX(Cereal_Yield!$E:$ZZ, MATCH(A146, Cereal_Yield!$C:$C, 0), MATCH(B146, Cereal_Yield!$E$1:$ZZ$1, 0))</f>
        <v>4752.6000000000004</v>
      </c>
    </row>
    <row r="147" spans="1:10" x14ac:dyDescent="0.3">
      <c r="A147" t="s">
        <v>11</v>
      </c>
      <c r="B147" s="4">
        <v>2001</v>
      </c>
      <c r="C147" t="s">
        <v>48</v>
      </c>
      <c r="D147" s="8">
        <f>INDEX(GDP_pc!$E:$ZZ, MATCH(A147, GDP_pc!$C:$C, 0), MATCH(B147, GDP_pc!$E$1:$ZZ$1, 0))</f>
        <v>1355036590251.5239</v>
      </c>
      <c r="E147">
        <f>INDEX(CH4_Em!$E:$ZZ, MATCH(A147, CH4_Em!$C:$C, 0), MATCH(B147, CH4_Em!$E$1:$ZZ$1, 0))</f>
        <v>497.26569999999998</v>
      </c>
      <c r="F147">
        <f>INDEX(N2O_Em!$E:$ZZ, MATCH(A147, N2O_Em!$C:$C, 0), MATCH(B147, N2O_Em!$E$1:$ZZ$1, 0))</f>
        <v>237.43610000000001</v>
      </c>
      <c r="G147">
        <f>INDEX(CO2_Em!$E:$ZZ, MATCH(A147, CO2_Em!$C:$C, 0), MATCH(B147, CO2_Em!$E$1:$ZZ$1, 0))</f>
        <v>24.6966</v>
      </c>
      <c r="H147">
        <f>INDEX(Agri_VA!$E:$ZZ, MATCH(A147, Agri_VA!$C:$C, 0), MATCH(B147, Agri_VA!$E$1:$ZZ$1, 0))</f>
        <v>13.822106956034069</v>
      </c>
      <c r="I147" s="6">
        <f>INDEX('Agri_land '!$E:$ZZ, MATCH(A147, 'Agri_land '!$C:$C, 0), MATCH(B147, 'Agri_land '!$E$1:$ZZ$1, 0))</f>
        <v>55.757871864491534</v>
      </c>
      <c r="J147">
        <f>INDEX(Cereal_Yield!$E:$ZZ, MATCH(A147, Cereal_Yield!$C:$C, 0), MATCH(B147, Cereal_Yield!$E$1:$ZZ$1, 0))</f>
        <v>4800.3</v>
      </c>
    </row>
    <row r="148" spans="1:10" x14ac:dyDescent="0.3">
      <c r="A148" t="s">
        <v>11</v>
      </c>
      <c r="B148" s="4">
        <v>2002</v>
      </c>
      <c r="C148" t="s">
        <v>48</v>
      </c>
      <c r="D148" s="8">
        <f>INDEX(GDP_pc!$E:$ZZ, MATCH(A148, GDP_pc!$C:$C, 0), MATCH(B148, GDP_pc!$E$1:$ZZ$1, 0))</f>
        <v>1489821682050.541</v>
      </c>
      <c r="E148">
        <f>INDEX(CH4_Em!$E:$ZZ, MATCH(A148, CH4_Em!$C:$C, 0), MATCH(B148, CH4_Em!$E$1:$ZZ$1, 0))</f>
        <v>485.17899999999997</v>
      </c>
      <c r="F148">
        <f>INDEX(N2O_Em!$E:$ZZ, MATCH(A148, N2O_Em!$C:$C, 0), MATCH(B148, N2O_Em!$E$1:$ZZ$1, 0))</f>
        <v>253.6302</v>
      </c>
      <c r="G148">
        <f>INDEX(CO2_Em!$E:$ZZ, MATCH(A148, CO2_Em!$C:$C, 0), MATCH(B148, CO2_Em!$E$1:$ZZ$1, 0))</f>
        <v>31.126899999999999</v>
      </c>
      <c r="H148">
        <f>INDEX(Agri_VA!$E:$ZZ, MATCH(A148, Agri_VA!$C:$C, 0), MATCH(B148, Agri_VA!$E$1:$ZZ$1, 0))</f>
        <v>13.129493825818919</v>
      </c>
      <c r="I148" s="6">
        <f>INDEX('Agri_land '!$E:$ZZ, MATCH(A148, 'Agri_land '!$C:$C, 0), MATCH(B148, 'Agri_land '!$E$1:$ZZ$1, 0))</f>
        <v>55.82113206589726</v>
      </c>
      <c r="J148">
        <f>INDEX(Cereal_Yield!$E:$ZZ, MATCH(A148, Cereal_Yield!$C:$C, 0), MATCH(B148, Cereal_Yield!$E$1:$ZZ$1, 0))</f>
        <v>4869.1000000000004</v>
      </c>
    </row>
    <row r="149" spans="1:10" x14ac:dyDescent="0.3">
      <c r="A149" t="s">
        <v>11</v>
      </c>
      <c r="B149" s="4">
        <v>2003</v>
      </c>
      <c r="C149" t="s">
        <v>48</v>
      </c>
      <c r="D149" s="8">
        <f>INDEX(GDP_pc!$E:$ZZ, MATCH(A149, GDP_pc!$C:$C, 0), MATCH(B149, GDP_pc!$E$1:$ZZ$1, 0))</f>
        <v>1683903309843.8486</v>
      </c>
      <c r="E149">
        <f>INDEX(CH4_Em!$E:$ZZ, MATCH(A149, CH4_Em!$C:$C, 0), MATCH(B149, CH4_Em!$E$1:$ZZ$1, 0))</f>
        <v>469.42129999999997</v>
      </c>
      <c r="F149">
        <f>INDEX(N2O_Em!$E:$ZZ, MATCH(A149, N2O_Em!$C:$C, 0), MATCH(B149, N2O_Em!$E$1:$ZZ$1, 0))</f>
        <v>247.09479999999999</v>
      </c>
      <c r="G149">
        <f>INDEX(CO2_Em!$E:$ZZ, MATCH(A149, CO2_Em!$C:$C, 0), MATCH(B149, CO2_Em!$E$1:$ZZ$1, 0))</f>
        <v>29.2422</v>
      </c>
      <c r="H149">
        <f>INDEX(Agri_VA!$E:$ZZ, MATCH(A149, Agri_VA!$C:$C, 0), MATCH(B149, Agri_VA!$E$1:$ZZ$1, 0))</f>
        <v>12.175760091492659</v>
      </c>
      <c r="I149" s="6">
        <f>INDEX('Agri_land '!$E:$ZZ, MATCH(A149, 'Agri_land '!$C:$C, 0), MATCH(B149, 'Agri_land '!$E$1:$ZZ$1, 0))</f>
        <v>55.884389293821599</v>
      </c>
      <c r="J149">
        <f>INDEX(Cereal_Yield!$E:$ZZ, MATCH(A149, Cereal_Yield!$C:$C, 0), MATCH(B149, Cereal_Yield!$E$1:$ZZ$1, 0))</f>
        <v>4871.1000000000004</v>
      </c>
    </row>
    <row r="150" spans="1:10" x14ac:dyDescent="0.3">
      <c r="A150" t="s">
        <v>11</v>
      </c>
      <c r="B150" s="4">
        <v>2004</v>
      </c>
      <c r="C150" t="s">
        <v>48</v>
      </c>
      <c r="D150" s="8">
        <f>INDEX(GDP_pc!$E:$ZZ, MATCH(A150, GDP_pc!$C:$C, 0), MATCH(B150, GDP_pc!$E$1:$ZZ$1, 0))</f>
        <v>1984196551300.4358</v>
      </c>
      <c r="E150">
        <f>INDEX(CH4_Em!$E:$ZZ, MATCH(A150, CH4_Em!$C:$C, 0), MATCH(B150, CH4_Em!$E$1:$ZZ$1, 0))</f>
        <v>487.49930000000001</v>
      </c>
      <c r="F150">
        <f>INDEX(N2O_Em!$E:$ZZ, MATCH(A150, N2O_Em!$C:$C, 0), MATCH(B150, N2O_Em!$E$1:$ZZ$1, 0))</f>
        <v>258.82900000000001</v>
      </c>
      <c r="G150">
        <f>INDEX(CO2_Em!$E:$ZZ, MATCH(A150, CO2_Em!$C:$C, 0), MATCH(B150, CO2_Em!$E$1:$ZZ$1, 0))</f>
        <v>29.978100000000001</v>
      </c>
      <c r="H150">
        <f>INDEX(Agri_VA!$E:$ZZ, MATCH(A150, Agri_VA!$C:$C, 0), MATCH(B150, Agri_VA!$E$1:$ZZ$1, 0))</f>
        <v>12.728842936040138</v>
      </c>
      <c r="I150" s="6">
        <f>INDEX('Agri_land '!$E:$ZZ, MATCH(A150, 'Agri_land '!$C:$C, 0), MATCH(B150, 'Agri_land '!$E$1:$ZZ$1, 0))</f>
        <v>55.947644751330458</v>
      </c>
      <c r="J150">
        <f>INDEX(Cereal_Yield!$E:$ZZ, MATCH(A150, Cereal_Yield!$C:$C, 0), MATCH(B150, Cereal_Yield!$E$1:$ZZ$1, 0))</f>
        <v>5186.8</v>
      </c>
    </row>
    <row r="151" spans="1:10" x14ac:dyDescent="0.3">
      <c r="A151" t="s">
        <v>11</v>
      </c>
      <c r="B151" s="4">
        <v>2005</v>
      </c>
      <c r="C151" t="s">
        <v>48</v>
      </c>
      <c r="D151" s="8">
        <f>INDEX(GDP_pc!$E:$ZZ, MATCH(A151, GDP_pc!$C:$C, 0), MATCH(B151, GDP_pc!$E$1:$ZZ$1, 0))</f>
        <v>2317551298052.0522</v>
      </c>
      <c r="E151">
        <f>INDEX(CH4_Em!$E:$ZZ, MATCH(A151, CH4_Em!$C:$C, 0), MATCH(B151, CH4_Em!$E$1:$ZZ$1, 0))</f>
        <v>487.99549999999999</v>
      </c>
      <c r="F151">
        <f>INDEX(N2O_Em!$E:$ZZ, MATCH(A151, N2O_Em!$C:$C, 0), MATCH(B151, N2O_Em!$E$1:$ZZ$1, 0))</f>
        <v>259.89920000000001</v>
      </c>
      <c r="G151">
        <f>INDEX(CO2_Em!$E:$ZZ, MATCH(A151, CO2_Em!$C:$C, 0), MATCH(B151, CO2_Em!$E$1:$ZZ$1, 0))</f>
        <v>21.118099999999998</v>
      </c>
      <c r="H151">
        <f>INDEX(Agri_VA!$E:$ZZ, MATCH(A151, Agri_VA!$C:$C, 0), MATCH(B151, Agri_VA!$E$1:$ZZ$1, 0))</f>
        <v>11.482812353382569</v>
      </c>
      <c r="I151" s="6">
        <f>INDEX('Agri_land '!$E:$ZZ, MATCH(A151, 'Agri_land '!$C:$C, 0), MATCH(B151, 'Agri_land '!$E$1:$ZZ$1, 0))</f>
        <v>56.010903183926885</v>
      </c>
      <c r="J151">
        <f>INDEX(Cereal_Yield!$E:$ZZ, MATCH(A151, Cereal_Yield!$C:$C, 0), MATCH(B151, Cereal_Yield!$E$1:$ZZ$1, 0))</f>
        <v>5224.6000000000004</v>
      </c>
    </row>
    <row r="152" spans="1:10" x14ac:dyDescent="0.3">
      <c r="A152" t="s">
        <v>11</v>
      </c>
      <c r="B152" s="4">
        <v>2006</v>
      </c>
      <c r="C152" t="s">
        <v>48</v>
      </c>
      <c r="D152" s="8">
        <f>INDEX(GDP_pc!$E:$ZZ, MATCH(A152, GDP_pc!$C:$C, 0), MATCH(B152, GDP_pc!$E$1:$ZZ$1, 0))</f>
        <v>2791498472804.3286</v>
      </c>
      <c r="E152">
        <f>INDEX(CH4_Em!$E:$ZZ, MATCH(A152, CH4_Em!$C:$C, 0), MATCH(B152, CH4_Em!$E$1:$ZZ$1, 0))</f>
        <v>488.41520000000003</v>
      </c>
      <c r="F152">
        <f>INDEX(N2O_Em!$E:$ZZ, MATCH(A152, N2O_Em!$C:$C, 0), MATCH(B152, N2O_Em!$E$1:$ZZ$1, 0))</f>
        <v>274.08929999999998</v>
      </c>
      <c r="G152">
        <f>INDEX(CO2_Em!$E:$ZZ, MATCH(A152, CO2_Em!$C:$C, 0), MATCH(B152, CO2_Em!$E$1:$ZZ$1, 0))</f>
        <v>23.5031</v>
      </c>
      <c r="H152">
        <f>INDEX(Agri_VA!$E:$ZZ, MATCH(A152, Agri_VA!$C:$C, 0), MATCH(B152, Agri_VA!$E$1:$ZZ$1, 0))</f>
        <v>10.475862365800095</v>
      </c>
      <c r="I152" s="6">
        <f>INDEX('Agri_land '!$E:$ZZ, MATCH(A152, 'Agri_land '!$C:$C, 0), MATCH(B152, 'Agri_land '!$E$1:$ZZ$1, 0))</f>
        <v>56.07415984476021</v>
      </c>
      <c r="J152">
        <f>INDEX(Cereal_Yield!$E:$ZZ, MATCH(A152, Cereal_Yield!$C:$C, 0), MATCH(B152, Cereal_Yield!$E$1:$ZZ$1, 0))</f>
        <v>5313.4</v>
      </c>
    </row>
    <row r="153" spans="1:10" x14ac:dyDescent="0.3">
      <c r="A153" t="s">
        <v>11</v>
      </c>
      <c r="B153" s="4">
        <v>2007</v>
      </c>
      <c r="C153" t="s">
        <v>48</v>
      </c>
      <c r="D153" s="8">
        <f>INDEX(GDP_pc!$E:$ZZ, MATCH(A153, GDP_pc!$C:$C, 0), MATCH(B153, GDP_pc!$E$1:$ZZ$1, 0))</f>
        <v>3604055822571.6304</v>
      </c>
      <c r="E153">
        <f>INDEX(CH4_Em!$E:$ZZ, MATCH(A153, CH4_Em!$C:$C, 0), MATCH(B153, CH4_Em!$E$1:$ZZ$1, 0))</f>
        <v>480.17660000000001</v>
      </c>
      <c r="F153">
        <f>INDEX(N2O_Em!$E:$ZZ, MATCH(A153, N2O_Em!$C:$C, 0), MATCH(B153, N2O_Em!$E$1:$ZZ$1, 0))</f>
        <v>264.01130000000001</v>
      </c>
      <c r="G153">
        <f>INDEX(CO2_Em!$E:$ZZ, MATCH(A153, CO2_Em!$C:$C, 0), MATCH(B153, CO2_Em!$E$1:$ZZ$1, 0))</f>
        <v>21.4833</v>
      </c>
      <c r="H153">
        <f>INDEX(Agri_VA!$E:$ZZ, MATCH(A153, Agri_VA!$C:$C, 0), MATCH(B153, Agri_VA!$E$1:$ZZ$1, 0))</f>
        <v>10.093419455926169</v>
      </c>
      <c r="I153" s="6">
        <f>INDEX('Agri_land '!$E:$ZZ, MATCH(A153, 'Agri_land '!$C:$C, 0), MATCH(B153, 'Agri_land '!$E$1:$ZZ$1, 0))</f>
        <v>56.137417696245173</v>
      </c>
      <c r="J153">
        <f>INDEX(Cereal_Yield!$E:$ZZ, MATCH(A153, Cereal_Yield!$C:$C, 0), MATCH(B153, Cereal_Yield!$E$1:$ZZ$1, 0))</f>
        <v>5320.6</v>
      </c>
    </row>
    <row r="154" spans="1:10" x14ac:dyDescent="0.3">
      <c r="A154" t="s">
        <v>11</v>
      </c>
      <c r="B154" s="4">
        <v>2008</v>
      </c>
      <c r="C154" t="s">
        <v>48</v>
      </c>
      <c r="D154" s="8">
        <f>INDEX(GDP_pc!$E:$ZZ, MATCH(A154, GDP_pc!$C:$C, 0), MATCH(B154, GDP_pc!$E$1:$ZZ$1, 0))</f>
        <v>4667346414521.9473</v>
      </c>
      <c r="E154">
        <f>INDEX(CH4_Em!$E:$ZZ, MATCH(A154, CH4_Em!$C:$C, 0), MATCH(B154, CH4_Em!$E$1:$ZZ$1, 0))</f>
        <v>489.46129999999999</v>
      </c>
      <c r="F154">
        <f>INDEX(N2O_Em!$E:$ZZ, MATCH(A154, N2O_Em!$C:$C, 0), MATCH(B154, N2O_Em!$E$1:$ZZ$1, 0))</f>
        <v>258.1474</v>
      </c>
      <c r="G154">
        <f>INDEX(CO2_Em!$E:$ZZ, MATCH(A154, CO2_Em!$C:$C, 0), MATCH(B154, CO2_Em!$E$1:$ZZ$1, 0))</f>
        <v>20.461300000000001</v>
      </c>
      <c r="H154">
        <f>INDEX(Agri_VA!$E:$ZZ, MATCH(A154, Agri_VA!$C:$C, 0), MATCH(B154, Agri_VA!$E$1:$ZZ$1, 0))</f>
        <v>10.009977073413793</v>
      </c>
      <c r="I154" s="6">
        <f>INDEX('Agri_land '!$E:$ZZ, MATCH(A154, 'Agri_land '!$C:$C, 0), MATCH(B154, 'Agri_land '!$E$1:$ZZ$1, 0))</f>
        <v>56.200671974685534</v>
      </c>
      <c r="J154">
        <f>INDEX(Cereal_Yield!$E:$ZZ, MATCH(A154, Cereal_Yield!$C:$C, 0), MATCH(B154, Cereal_Yield!$E$1:$ZZ$1, 0))</f>
        <v>5549.7</v>
      </c>
    </row>
    <row r="155" spans="1:10" x14ac:dyDescent="0.3">
      <c r="A155" t="s">
        <v>11</v>
      </c>
      <c r="B155" s="4">
        <v>2009</v>
      </c>
      <c r="C155" t="s">
        <v>48</v>
      </c>
      <c r="D155" s="8">
        <f>INDEX(GDP_pc!$E:$ZZ, MATCH(A155, GDP_pc!$C:$C, 0), MATCH(B155, GDP_pc!$E$1:$ZZ$1, 0))</f>
        <v>5189577094997.582</v>
      </c>
      <c r="E155">
        <f>INDEX(CH4_Em!$E:$ZZ, MATCH(A155, CH4_Em!$C:$C, 0), MATCH(B155, CH4_Em!$E$1:$ZZ$1, 0))</f>
        <v>488.61700000000002</v>
      </c>
      <c r="F155">
        <f>INDEX(N2O_Em!$E:$ZZ, MATCH(A155, N2O_Em!$C:$C, 0), MATCH(B155, N2O_Em!$E$1:$ZZ$1, 0))</f>
        <v>274.92939999999999</v>
      </c>
      <c r="G155">
        <f>INDEX(CO2_Em!$E:$ZZ, MATCH(A155, CO2_Em!$C:$C, 0), MATCH(B155, CO2_Em!$E$1:$ZZ$1, 0))</f>
        <v>24.608899999999998</v>
      </c>
      <c r="H155">
        <f>INDEX(Agri_VA!$E:$ZZ, MATCH(A155, Agri_VA!$C:$C, 0), MATCH(B155, Agri_VA!$E$1:$ZZ$1, 0))</f>
        <v>9.4729958166159687</v>
      </c>
      <c r="I155" s="6">
        <f>INDEX('Agri_land '!$E:$ZZ, MATCH(A155, 'Agri_land '!$C:$C, 0), MATCH(B155, 'Agri_land '!$E$1:$ZZ$1, 0))</f>
        <v>56.26392504386618</v>
      </c>
      <c r="J155">
        <f>INDEX(Cereal_Yield!$E:$ZZ, MATCH(A155, Cereal_Yield!$C:$C, 0), MATCH(B155, Cereal_Yield!$E$1:$ZZ$1, 0))</f>
        <v>5449.6</v>
      </c>
    </row>
    <row r="156" spans="1:10" x14ac:dyDescent="0.3">
      <c r="A156" t="s">
        <v>11</v>
      </c>
      <c r="B156" s="4">
        <v>2010</v>
      </c>
      <c r="C156" t="s">
        <v>48</v>
      </c>
      <c r="D156" s="8">
        <f>INDEX(GDP_pc!$E:$ZZ, MATCH(A156, GDP_pc!$C:$C, 0), MATCH(B156, GDP_pc!$E$1:$ZZ$1, 0))</f>
        <v>6192564874453.29</v>
      </c>
      <c r="E156">
        <f>INDEX(CH4_Em!$E:$ZZ, MATCH(A156, CH4_Em!$C:$C, 0), MATCH(B156, CH4_Em!$E$1:$ZZ$1, 0))</f>
        <v>486.75540000000001</v>
      </c>
      <c r="F156">
        <f>INDEX(N2O_Em!$E:$ZZ, MATCH(A156, N2O_Em!$C:$C, 0), MATCH(B156, N2O_Em!$E$1:$ZZ$1, 0))</f>
        <v>258.23419999999999</v>
      </c>
      <c r="G156">
        <f>INDEX(CO2_Em!$E:$ZZ, MATCH(A156, CO2_Em!$C:$C, 0), MATCH(B156, CO2_Em!$E$1:$ZZ$1, 0))</f>
        <v>21.370100000000001</v>
      </c>
      <c r="H156">
        <f>INDEX(Agri_VA!$E:$ZZ, MATCH(A156, Agri_VA!$C:$C, 0), MATCH(B156, Agri_VA!$E$1:$ZZ$1, 0))</f>
        <v>9.1664990613073289</v>
      </c>
      <c r="I156" s="6">
        <f>INDEX('Agri_land '!$E:$ZZ, MATCH(A156, 'Agri_land '!$C:$C, 0), MATCH(B156, 'Agri_land '!$E$1:$ZZ$1, 0))</f>
        <v>56.183473081293123</v>
      </c>
      <c r="J156">
        <f>INDEX(Cereal_Yield!$E:$ZZ, MATCH(A156, Cereal_Yield!$C:$C, 0), MATCH(B156, Cereal_Yield!$E$1:$ZZ$1, 0))</f>
        <v>5527.5</v>
      </c>
    </row>
    <row r="157" spans="1:10" x14ac:dyDescent="0.3">
      <c r="A157" t="s">
        <v>11</v>
      </c>
      <c r="B157" s="4">
        <v>2011</v>
      </c>
      <c r="C157" t="s">
        <v>48</v>
      </c>
      <c r="D157" s="8">
        <f>INDEX(GDP_pc!$E:$ZZ, MATCH(A157, GDP_pc!$C:$C, 0), MATCH(B157, GDP_pc!$E$1:$ZZ$1, 0))</f>
        <v>7671757207851.2891</v>
      </c>
      <c r="E157">
        <f>INDEX(CH4_Em!$E:$ZZ, MATCH(A157, CH4_Em!$C:$C, 0), MATCH(B157, CH4_Em!$E$1:$ZZ$1, 0))</f>
        <v>483.73630000000003</v>
      </c>
      <c r="F157">
        <f>INDEX(N2O_Em!$E:$ZZ, MATCH(A157, N2O_Em!$C:$C, 0), MATCH(B157, N2O_Em!$E$1:$ZZ$1, 0))</f>
        <v>270.23250000000002</v>
      </c>
      <c r="G157">
        <f>INDEX(CO2_Em!$E:$ZZ, MATCH(A157, CO2_Em!$C:$C, 0), MATCH(B157, CO2_Em!$E$1:$ZZ$1, 0))</f>
        <v>24.605899999999998</v>
      </c>
      <c r="H157">
        <f>INDEX(Agri_VA!$E:$ZZ, MATCH(A157, Agri_VA!$C:$C, 0), MATCH(B157, Agri_VA!$E$1:$ZZ$1, 0))</f>
        <v>9.0338458593332032</v>
      </c>
      <c r="I157" s="6">
        <f>INDEX('Agri_land '!$E:$ZZ, MATCH(A157, 'Agri_land '!$C:$C, 0), MATCH(B157, 'Agri_land '!$E$1:$ZZ$1, 0))</f>
        <v>56.103660218118236</v>
      </c>
      <c r="J157">
        <f>INDEX(Cereal_Yield!$E:$ZZ, MATCH(A157, Cereal_Yield!$C:$C, 0), MATCH(B157, Cereal_Yield!$E$1:$ZZ$1, 0))</f>
        <v>5710</v>
      </c>
    </row>
    <row r="158" spans="1:10" x14ac:dyDescent="0.3">
      <c r="A158" t="s">
        <v>11</v>
      </c>
      <c r="B158" s="4">
        <v>2012</v>
      </c>
      <c r="C158" t="s">
        <v>48</v>
      </c>
      <c r="D158" s="8">
        <f>INDEX(GDP_pc!$E:$ZZ, MATCH(A158, GDP_pc!$C:$C, 0), MATCH(B158, GDP_pc!$E$1:$ZZ$1, 0))</f>
        <v>8673664713189.2441</v>
      </c>
      <c r="E158">
        <f>INDEX(CH4_Em!$E:$ZZ, MATCH(A158, CH4_Em!$C:$C, 0), MATCH(B158, CH4_Em!$E$1:$ZZ$1, 0))</f>
        <v>483.37970000000001</v>
      </c>
      <c r="F158">
        <f>INDEX(N2O_Em!$E:$ZZ, MATCH(A158, N2O_Em!$C:$C, 0), MATCH(B158, N2O_Em!$E$1:$ZZ$1, 0))</f>
        <v>273.5378</v>
      </c>
      <c r="G158">
        <f>INDEX(CO2_Em!$E:$ZZ, MATCH(A158, CO2_Em!$C:$C, 0), MATCH(B158, CO2_Em!$E$1:$ZZ$1, 0))</f>
        <v>25.313099999999999</v>
      </c>
      <c r="H158">
        <f>INDEX(Agri_VA!$E:$ZZ, MATCH(A158, Agri_VA!$C:$C, 0), MATCH(B158, Agri_VA!$E$1:$ZZ$1, 0))</f>
        <v>8.9650567353399193</v>
      </c>
      <c r="I158" s="6">
        <f>INDEX('Agri_land '!$E:$ZZ, MATCH(A158, 'Agri_land '!$C:$C, 0), MATCH(B158, 'Agri_land '!$E$1:$ZZ$1, 0))</f>
        <v>56.023527805244257</v>
      </c>
      <c r="J158">
        <f>INDEX(Cereal_Yield!$E:$ZZ, MATCH(A158, Cereal_Yield!$C:$C, 0), MATCH(B158, Cereal_Yield!$E$1:$ZZ$1, 0))</f>
        <v>5828.7</v>
      </c>
    </row>
    <row r="159" spans="1:10" x14ac:dyDescent="0.3">
      <c r="A159" t="s">
        <v>11</v>
      </c>
      <c r="B159" s="4">
        <v>2013</v>
      </c>
      <c r="C159" t="s">
        <v>48</v>
      </c>
      <c r="D159" s="8">
        <f>INDEX(GDP_pc!$E:$ZZ, MATCH(A159, GDP_pc!$C:$C, 0), MATCH(B159, GDP_pc!$E$1:$ZZ$1, 0))</f>
        <v>9743124247267.2441</v>
      </c>
      <c r="E159">
        <f>INDEX(CH4_Em!$E:$ZZ, MATCH(A159, CH4_Em!$C:$C, 0), MATCH(B159, CH4_Em!$E$1:$ZZ$1, 0))</f>
        <v>483.20519999999999</v>
      </c>
      <c r="F159">
        <f>INDEX(N2O_Em!$E:$ZZ, MATCH(A159, N2O_Em!$C:$C, 0), MATCH(B159, N2O_Em!$E$1:$ZZ$1, 0))</f>
        <v>276.5942</v>
      </c>
      <c r="G159">
        <f>INDEX(CO2_Em!$E:$ZZ, MATCH(A159, CO2_Em!$C:$C, 0), MATCH(B159, CO2_Em!$E$1:$ZZ$1, 0))</f>
        <v>26.51</v>
      </c>
      <c r="H159">
        <f>INDEX(Agri_VA!$E:$ZZ, MATCH(A159, Agri_VA!$C:$C, 0), MATCH(B159, Agri_VA!$E$1:$ZZ$1, 0))</f>
        <v>8.7844213160247051</v>
      </c>
      <c r="I159" s="6">
        <f>INDEX('Agri_land '!$E:$ZZ, MATCH(A159, 'Agri_land '!$C:$C, 0), MATCH(B159, 'Agri_land '!$E$1:$ZZ$1, 0))</f>
        <v>55.943395392370284</v>
      </c>
      <c r="J159">
        <f>INDEX(Cereal_Yield!$E:$ZZ, MATCH(A159, Cereal_Yield!$C:$C, 0), MATCH(B159, Cereal_Yield!$E$1:$ZZ$1, 0))</f>
        <v>5897.7</v>
      </c>
    </row>
    <row r="160" spans="1:10" x14ac:dyDescent="0.3">
      <c r="A160" t="s">
        <v>11</v>
      </c>
      <c r="B160" s="4">
        <v>2014</v>
      </c>
      <c r="C160" t="s">
        <v>48</v>
      </c>
      <c r="D160" s="8">
        <f>INDEX(GDP_pc!$E:$ZZ, MATCH(A160, GDP_pc!$C:$C, 0), MATCH(B160, GDP_pc!$E$1:$ZZ$1, 0))</f>
        <v>10674533168257.361</v>
      </c>
      <c r="E160">
        <f>INDEX(CH4_Em!$E:$ZZ, MATCH(A160, CH4_Em!$C:$C, 0), MATCH(B160, CH4_Em!$E$1:$ZZ$1, 0))</f>
        <v>484.94229999999999</v>
      </c>
      <c r="F160">
        <f>INDEX(N2O_Em!$E:$ZZ, MATCH(A160, N2O_Em!$C:$C, 0), MATCH(B160, N2O_Em!$E$1:$ZZ$1, 0))</f>
        <v>254.98060000000001</v>
      </c>
      <c r="G160">
        <f>INDEX(CO2_Em!$E:$ZZ, MATCH(A160, CO2_Em!$C:$C, 0), MATCH(B160, CO2_Em!$E$1:$ZZ$1, 0))</f>
        <v>22.587800000000001</v>
      </c>
      <c r="H160">
        <f>INDEX(Agri_VA!$E:$ZZ, MATCH(A160, Agri_VA!$C:$C, 0), MATCH(B160, Agri_VA!$E$1:$ZZ$1, 0))</f>
        <v>8.482429409336536</v>
      </c>
      <c r="I160" s="6">
        <f>INDEX('Agri_land '!$E:$ZZ, MATCH(A160, 'Agri_land '!$C:$C, 0), MATCH(B160, 'Agri_land '!$E$1:$ZZ$1, 0))</f>
        <v>55.863262979496312</v>
      </c>
      <c r="J160">
        <f>INDEX(Cereal_Yield!$E:$ZZ, MATCH(A160, Cereal_Yield!$C:$C, 0), MATCH(B160, Cereal_Yield!$E$1:$ZZ$1, 0))</f>
        <v>5896.3</v>
      </c>
    </row>
    <row r="161" spans="1:10" x14ac:dyDescent="0.3">
      <c r="A161" t="s">
        <v>11</v>
      </c>
      <c r="B161" s="4">
        <v>2015</v>
      </c>
      <c r="C161" t="s">
        <v>48</v>
      </c>
      <c r="D161" s="8">
        <f>INDEX(GDP_pc!$E:$ZZ, MATCH(A161, GDP_pc!$C:$C, 0), MATCH(B161, GDP_pc!$E$1:$ZZ$1, 0))</f>
        <v>11280814787468.914</v>
      </c>
      <c r="E161">
        <f>INDEX(CH4_Em!$E:$ZZ, MATCH(A161, CH4_Em!$C:$C, 0), MATCH(B161, CH4_Em!$E$1:$ZZ$1, 0))</f>
        <v>487.3929</v>
      </c>
      <c r="F161">
        <f>INDEX(N2O_Em!$E:$ZZ, MATCH(A161, N2O_Em!$C:$C, 0), MATCH(B161, N2O_Em!$E$1:$ZZ$1, 0))</f>
        <v>263.4067</v>
      </c>
      <c r="G161">
        <f>INDEX(CO2_Em!$E:$ZZ, MATCH(A161, CO2_Em!$C:$C, 0), MATCH(B161, CO2_Em!$E$1:$ZZ$1, 0))</f>
        <v>24.6508</v>
      </c>
      <c r="H161">
        <f>INDEX(Agri_VA!$E:$ZZ, MATCH(A161, Agri_VA!$C:$C, 0), MATCH(B161, Agri_VA!$E$1:$ZZ$1, 0))</f>
        <v>8.2240135947952453</v>
      </c>
      <c r="I161" s="6">
        <f>INDEX('Agri_land '!$E:$ZZ, MATCH(A161, 'Agri_land '!$C:$C, 0), MATCH(B161, 'Agri_land '!$E$1:$ZZ$1, 0))</f>
        <v>55.783130566622333</v>
      </c>
      <c r="J161">
        <f>INDEX(Cereal_Yield!$E:$ZZ, MATCH(A161, Cereal_Yield!$C:$C, 0), MATCH(B161, Cereal_Yield!$E$1:$ZZ$1, 0))</f>
        <v>5985.2</v>
      </c>
    </row>
    <row r="162" spans="1:10" x14ac:dyDescent="0.3">
      <c r="A162" t="s">
        <v>11</v>
      </c>
      <c r="B162" s="4">
        <v>2016</v>
      </c>
      <c r="C162" t="s">
        <v>48</v>
      </c>
      <c r="D162" s="8">
        <f>INDEX(GDP_pc!$E:$ZZ, MATCH(A162, GDP_pc!$C:$C, 0), MATCH(B162, GDP_pc!$E$1:$ZZ$1, 0))</f>
        <v>11456024084961.979</v>
      </c>
      <c r="E162">
        <f>INDEX(CH4_Em!$E:$ZZ, MATCH(A162, CH4_Em!$C:$C, 0), MATCH(B162, CH4_Em!$E$1:$ZZ$1, 0))</f>
        <v>488.18490000000003</v>
      </c>
      <c r="F162">
        <f>INDEX(N2O_Em!$E:$ZZ, MATCH(A162, N2O_Em!$C:$C, 0), MATCH(B162, N2O_Em!$E$1:$ZZ$1, 0))</f>
        <v>248.06729999999999</v>
      </c>
      <c r="G162">
        <f>INDEX(CO2_Em!$E:$ZZ, MATCH(A162, CO2_Em!$C:$C, 0), MATCH(B162, CO2_Em!$E$1:$ZZ$1, 0))</f>
        <v>18.2058</v>
      </c>
      <c r="H162">
        <f>INDEX(Agri_VA!$E:$ZZ, MATCH(A162, Agri_VA!$C:$C, 0), MATCH(B162, Agri_VA!$E$1:$ZZ$1, 0))</f>
        <v>7.9006501750541585</v>
      </c>
      <c r="I162" s="6">
        <f>INDEX('Agri_land '!$E:$ZZ, MATCH(A162, 'Agri_land '!$C:$C, 0), MATCH(B162, 'Agri_land '!$E$1:$ZZ$1, 0))</f>
        <v>55.703057345329945</v>
      </c>
      <c r="J162">
        <f>INDEX(Cereal_Yield!$E:$ZZ, MATCH(A162, Cereal_Yield!$C:$C, 0), MATCH(B162, Cereal_Yield!$E$1:$ZZ$1, 0))</f>
        <v>6018.6</v>
      </c>
    </row>
    <row r="163" spans="1:10" x14ac:dyDescent="0.3">
      <c r="A163" t="s">
        <v>11</v>
      </c>
      <c r="B163" s="4">
        <v>2017</v>
      </c>
      <c r="C163" t="s">
        <v>48</v>
      </c>
      <c r="D163" s="8">
        <f>INDEX(GDP_pc!$E:$ZZ, MATCH(A163, GDP_pc!$C:$C, 0), MATCH(B163, GDP_pc!$E$1:$ZZ$1, 0))</f>
        <v>12537559062282.92</v>
      </c>
      <c r="E163">
        <f>INDEX(CH4_Em!$E:$ZZ, MATCH(A163, CH4_Em!$C:$C, 0), MATCH(B163, CH4_Em!$E$1:$ZZ$1, 0))</f>
        <v>481.19229999999999</v>
      </c>
      <c r="F163">
        <f>INDEX(N2O_Em!$E:$ZZ, MATCH(A163, N2O_Em!$C:$C, 0), MATCH(B163, N2O_Em!$E$1:$ZZ$1, 0))</f>
        <v>228.2732</v>
      </c>
      <c r="G163">
        <f>INDEX(CO2_Em!$E:$ZZ, MATCH(A163, CO2_Em!$C:$C, 0), MATCH(B163, CO2_Em!$E$1:$ZZ$1, 0))</f>
        <v>15.1617</v>
      </c>
      <c r="H163">
        <f>INDEX(Agri_VA!$E:$ZZ, MATCH(A163, Agri_VA!$C:$C, 0), MATCH(B163, Agri_VA!$E$1:$ZZ$1, 0))</f>
        <v>7.328392392860418</v>
      </c>
      <c r="I163" s="6">
        <f>INDEX('Agri_land '!$E:$ZZ, MATCH(A163, 'Agri_land '!$C:$C, 0), MATCH(B163, 'Agri_land '!$E$1:$ZZ$1, 0))</f>
        <v>55.622850362316136</v>
      </c>
      <c r="J163">
        <f>INDEX(Cereal_Yield!$E:$ZZ, MATCH(A163, Cereal_Yield!$C:$C, 0), MATCH(B163, Cereal_Yield!$E$1:$ZZ$1, 0))</f>
        <v>6110.8</v>
      </c>
    </row>
    <row r="164" spans="1:10" x14ac:dyDescent="0.3">
      <c r="A164" t="s">
        <v>11</v>
      </c>
      <c r="B164" s="4">
        <v>2018</v>
      </c>
      <c r="C164" t="s">
        <v>48</v>
      </c>
      <c r="D164" s="8">
        <f>INDEX(GDP_pc!$E:$ZZ, MATCH(A164, GDP_pc!$C:$C, 0), MATCH(B164, GDP_pc!$E$1:$ZZ$1, 0))</f>
        <v>14147765772963.76</v>
      </c>
      <c r="E164">
        <f>INDEX(CH4_Em!$E:$ZZ, MATCH(A164, CH4_Em!$C:$C, 0), MATCH(B164, CH4_Em!$E$1:$ZZ$1, 0))</f>
        <v>478.80900000000003</v>
      </c>
      <c r="F164">
        <f>INDEX(N2O_Em!$E:$ZZ, MATCH(A164, N2O_Em!$C:$C, 0), MATCH(B164, N2O_Em!$E$1:$ZZ$1, 0))</f>
        <v>230.01589999999999</v>
      </c>
      <c r="G164">
        <f>INDEX(CO2_Em!$E:$ZZ, MATCH(A164, CO2_Em!$C:$C, 0), MATCH(B164, CO2_Em!$E$1:$ZZ$1, 0))</f>
        <v>15.3779</v>
      </c>
      <c r="H164">
        <f>INDEX(Agri_VA!$E:$ZZ, MATCH(A164, Agri_VA!$C:$C, 0), MATCH(B164, Agri_VA!$E$1:$ZZ$1, 0))</f>
        <v>6.9171428923683624</v>
      </c>
      <c r="I164" s="6">
        <f>INDEX('Agri_land '!$E:$ZZ, MATCH(A164, 'Agri_land '!$C:$C, 0), MATCH(B164, 'Agri_land '!$E$1:$ZZ$1, 0))</f>
        <v>55.54274989588005</v>
      </c>
      <c r="J164">
        <f>INDEX(Cereal_Yield!$E:$ZZ, MATCH(A164, Cereal_Yield!$C:$C, 0), MATCH(B164, Cereal_Yield!$E$1:$ZZ$1, 0))</f>
        <v>6122</v>
      </c>
    </row>
    <row r="165" spans="1:10" x14ac:dyDescent="0.3">
      <c r="A165" t="s">
        <v>11</v>
      </c>
      <c r="B165" s="4">
        <v>2019</v>
      </c>
      <c r="C165" t="s">
        <v>48</v>
      </c>
      <c r="D165" s="8">
        <f>INDEX(GDP_pc!$E:$ZZ, MATCH(A165, GDP_pc!$C:$C, 0), MATCH(B165, GDP_pc!$E$1:$ZZ$1, 0))</f>
        <v>14560167101283.439</v>
      </c>
      <c r="E165">
        <f>INDEX(CH4_Em!$E:$ZZ, MATCH(A165, CH4_Em!$C:$C, 0), MATCH(B165, CH4_Em!$E$1:$ZZ$1, 0))</f>
        <v>465.55900000000003</v>
      </c>
      <c r="F165">
        <f>INDEX(N2O_Em!$E:$ZZ, MATCH(A165, N2O_Em!$C:$C, 0), MATCH(B165, N2O_Em!$E$1:$ZZ$1, 0))</f>
        <v>234.10730000000001</v>
      </c>
      <c r="G165">
        <f>INDEX(CO2_Em!$E:$ZZ, MATCH(A165, CO2_Em!$C:$C, 0), MATCH(B165, CO2_Em!$E$1:$ZZ$1, 0))</f>
        <v>17.131900000000002</v>
      </c>
      <c r="H165">
        <f>INDEX(Agri_VA!$E:$ZZ, MATCH(A165, Agri_VA!$C:$C, 0), MATCH(B165, Agri_VA!$E$1:$ZZ$1, 0))</f>
        <v>7.006215757883405</v>
      </c>
      <c r="I165" s="6">
        <f>INDEX('Agri_land '!$E:$ZZ, MATCH(A165, 'Agri_land '!$C:$C, 0), MATCH(B165, 'Agri_land '!$E$1:$ZZ$1, 0))</f>
        <v>55.462649429443957</v>
      </c>
      <c r="J165">
        <f>INDEX(Cereal_Yield!$E:$ZZ, MATCH(A165, Cereal_Yield!$C:$C, 0), MATCH(B165, Cereal_Yield!$E$1:$ZZ$1, 0))</f>
        <v>6265.1</v>
      </c>
    </row>
    <row r="166" spans="1:10" x14ac:dyDescent="0.3">
      <c r="A166" t="s">
        <v>11</v>
      </c>
      <c r="B166" s="4">
        <v>2020</v>
      </c>
      <c r="C166" t="s">
        <v>48</v>
      </c>
      <c r="D166" s="8">
        <f>INDEX(GDP_pc!$E:$ZZ, MATCH(A166, GDP_pc!$C:$C, 0), MATCH(B166, GDP_pc!$E$1:$ZZ$1, 0))</f>
        <v>14996414166715.092</v>
      </c>
      <c r="E166">
        <f>INDEX(CH4_Em!$E:$ZZ, MATCH(A166, CH4_Em!$C:$C, 0), MATCH(B166, CH4_Em!$E$1:$ZZ$1, 0))</f>
        <v>475.70549999999997</v>
      </c>
      <c r="F166">
        <f>INDEX(N2O_Em!$E:$ZZ, MATCH(A166, N2O_Em!$C:$C, 0), MATCH(B166, N2O_Em!$E$1:$ZZ$1, 0))</f>
        <v>232.12260000000001</v>
      </c>
      <c r="G166">
        <f>INDEX(CO2_Em!$E:$ZZ, MATCH(A166, CO2_Em!$C:$C, 0), MATCH(B166, CO2_Em!$E$1:$ZZ$1, 0))</f>
        <v>16.281199999999998</v>
      </c>
      <c r="H166">
        <f>INDEX(Agri_VA!$E:$ZZ, MATCH(A166, Agri_VA!$C:$C, 0), MATCH(B166, Agri_VA!$E$1:$ZZ$1, 0))</f>
        <v>7.5401819852124072</v>
      </c>
      <c r="I166" s="6">
        <f>INDEX('Agri_land '!$E:$ZZ, MATCH(A166, 'Agri_land '!$C:$C, 0), MATCH(B166, 'Agri_land '!$E$1:$ZZ$1, 0))</f>
        <v>55.45263687113944</v>
      </c>
      <c r="J166">
        <f>INDEX(Cereal_Yield!$E:$ZZ, MATCH(A166, Cereal_Yield!$C:$C, 0), MATCH(B166, Cereal_Yield!$E$1:$ZZ$1, 0))</f>
        <v>6296.1</v>
      </c>
    </row>
    <row r="167" spans="1:10" x14ac:dyDescent="0.3">
      <c r="A167" t="s">
        <v>11</v>
      </c>
      <c r="B167" s="4">
        <v>2021</v>
      </c>
      <c r="C167" t="s">
        <v>48</v>
      </c>
      <c r="D167" s="8">
        <f>INDEX(GDP_pc!$E:$ZZ, MATCH(A167, GDP_pc!$C:$C, 0), MATCH(B167, GDP_pc!$E$1:$ZZ$1, 0))</f>
        <v>18201698719563.961</v>
      </c>
      <c r="E167">
        <f>INDEX(CH4_Em!$E:$ZZ, MATCH(A167, CH4_Em!$C:$C, 0), MATCH(B167, CH4_Em!$E$1:$ZZ$1, 0))</f>
        <v>480.2183</v>
      </c>
      <c r="F167">
        <f>INDEX(N2O_Em!$E:$ZZ, MATCH(A167, N2O_Em!$C:$C, 0), MATCH(B167, N2O_Em!$E$1:$ZZ$1, 0))</f>
        <v>229.79060000000001</v>
      </c>
      <c r="G167">
        <f>INDEX(CO2_Em!$E:$ZZ, MATCH(A167, CO2_Em!$C:$C, 0), MATCH(B167, CO2_Em!$E$1:$ZZ$1, 0))</f>
        <v>15.9153</v>
      </c>
      <c r="H167">
        <f>INDEX(Agri_VA!$E:$ZZ, MATCH(A167, Agri_VA!$C:$C, 0), MATCH(B167, Agri_VA!$E$1:$ZZ$1, 0))</f>
        <v>7.0893525161800381</v>
      </c>
      <c r="I167" s="6">
        <f>INDEX('Agri_land '!$E:$ZZ, MATCH(A167, 'Agri_land '!$C:$C, 0), MATCH(B167, 'Agri_land '!$E$1:$ZZ$1, 0))</f>
        <v>55.44262431283493</v>
      </c>
      <c r="J167">
        <f>INDEX(Cereal_Yield!$E:$ZZ, MATCH(A167, Cereal_Yield!$C:$C, 0), MATCH(B167, Cereal_Yield!$E$1:$ZZ$1, 0))</f>
        <v>6317.5</v>
      </c>
    </row>
    <row r="168" spans="1:10" x14ac:dyDescent="0.3">
      <c r="A168" t="s">
        <v>11</v>
      </c>
      <c r="B168" s="4">
        <v>2022</v>
      </c>
      <c r="C168" t="s">
        <v>48</v>
      </c>
      <c r="D168" s="8">
        <f>INDEX(GDP_pc!$E:$ZZ, MATCH(A168, GDP_pc!$C:$C, 0), MATCH(B168, GDP_pc!$E$1:$ZZ$1, 0))</f>
        <v>18316765021690.156</v>
      </c>
      <c r="E168">
        <f>INDEX(CH4_Em!$E:$ZZ, MATCH(A168, CH4_Em!$C:$C, 0), MATCH(B168, CH4_Em!$E$1:$ZZ$1, 0))</f>
        <v>477.15499999999997</v>
      </c>
      <c r="F168">
        <f>INDEX(N2O_Em!$E:$ZZ, MATCH(A168, N2O_Em!$C:$C, 0), MATCH(B168, N2O_Em!$E$1:$ZZ$1, 0))</f>
        <v>241.10599999999999</v>
      </c>
      <c r="G168">
        <f>INDEX(CO2_Em!$E:$ZZ, MATCH(A168, CO2_Em!$C:$C, 0), MATCH(B168, CO2_Em!$E$1:$ZZ$1, 0))</f>
        <v>16.3139</v>
      </c>
      <c r="H168">
        <f>INDEX(Agri_VA!$E:$ZZ, MATCH(A168, Agri_VA!$C:$C, 0), MATCH(B168, Agri_VA!$E$1:$ZZ$1, 0))</f>
        <v>7.1478869283017081</v>
      </c>
      <c r="I168" s="6">
        <f>INDEX('Agri_land '!$E:$ZZ, MATCH(A168, 'Agri_land '!$C:$C, 0), MATCH(B168, 'Agri_land '!$E$1:$ZZ$1, 0))</f>
        <v>55.432611754530413</v>
      </c>
      <c r="J168">
        <f>INDEX(Cereal_Yield!$E:$ZZ, MATCH(A168, Cereal_Yield!$C:$C, 0), MATCH(B168, Cereal_Yield!$E$1:$ZZ$1, 0))</f>
        <v>6381.3</v>
      </c>
    </row>
    <row r="169" spans="1:10" x14ac:dyDescent="0.3">
      <c r="A169" t="s">
        <v>11</v>
      </c>
      <c r="B169" s="4">
        <v>2023</v>
      </c>
      <c r="C169" t="s">
        <v>48</v>
      </c>
      <c r="D169" s="8">
        <f>INDEX(GDP_pc!$E:$ZZ, MATCH(A169, GDP_pc!$C:$C, 0), MATCH(B169, GDP_pc!$E$1:$ZZ$1, 0))</f>
        <v>18270356654533.215</v>
      </c>
      <c r="E169">
        <f>INDEX(CH4_Em!$E:$ZZ, MATCH(A169, CH4_Em!$C:$C, 0), MATCH(B169, CH4_Em!$E$1:$ZZ$1, 0))</f>
        <v>500.24299999999999</v>
      </c>
      <c r="F169">
        <f>INDEX(N2O_Em!$E:$ZZ, MATCH(A169, N2O_Em!$C:$C, 0), MATCH(B169, N2O_Em!$E$1:$ZZ$1, 0))</f>
        <v>247.9983</v>
      </c>
      <c r="G169">
        <f>INDEX(CO2_Em!$E:$ZZ, MATCH(A169, CO2_Em!$C:$C, 0), MATCH(B169, CO2_Em!$E$1:$ZZ$1, 0))</f>
        <v>16.6374</v>
      </c>
      <c r="H169">
        <f>INDEX(Agri_VA!$E:$ZZ, MATCH(A169, Agri_VA!$C:$C, 0), MATCH(B169, Agri_VA!$E$1:$ZZ$1, 0))</f>
        <v>6.889519410800685</v>
      </c>
      <c r="I169" s="6">
        <f>INDEX('Agri_land '!$E:$ZZ, MATCH(A169, 'Agri_land '!$C:$C, 0), MATCH(B169, 'Agri_land '!$E$1:$ZZ$1, 0))</f>
        <v>55.432611754530413</v>
      </c>
      <c r="J169">
        <f>INDEX(Cereal_Yield!$E:$ZZ, MATCH(A169, Cereal_Yield!$C:$C, 0), MATCH(B169, Cereal_Yield!$E$1:$ZZ$1, 0))</f>
        <v>6418.1</v>
      </c>
    </row>
    <row r="170" spans="1:10" x14ac:dyDescent="0.3">
      <c r="A170" t="s">
        <v>12</v>
      </c>
      <c r="B170" s="4">
        <v>2000</v>
      </c>
      <c r="C170" t="s">
        <v>49</v>
      </c>
      <c r="D170" s="8">
        <f>INDEX(GDP_pc!$E:$ZZ, MATCH(A170, GDP_pc!$C:$C, 0), MATCH(B170, GDP_pc!$E$1:$ZZ$1, 0))</f>
        <v>99875074951.027786</v>
      </c>
      <c r="E170">
        <f>INDEX(CH4_Em!$E:$ZZ, MATCH(A170, CH4_Em!$C:$C, 0), MATCH(B170, CH4_Em!$E$1:$ZZ$1, 0))</f>
        <v>47.561700000000002</v>
      </c>
      <c r="F170">
        <f>INDEX(N2O_Em!$E:$ZZ, MATCH(A170, N2O_Em!$C:$C, 0), MATCH(B170, N2O_Em!$E$1:$ZZ$1, 0))</f>
        <v>12.3514</v>
      </c>
      <c r="G170">
        <f>INDEX(CO2_Em!$E:$ZZ, MATCH(A170, CO2_Em!$C:$C, 0), MATCH(B170, CO2_Em!$E$1:$ZZ$1, 0))</f>
        <v>0.4551</v>
      </c>
      <c r="H170">
        <f>INDEX(Agri_VA!$E:$ZZ, MATCH(A170, Agri_VA!$C:$C, 0), MATCH(B170, Agri_VA!$E$1:$ZZ$1, 0))</f>
        <v>8.3057195333067995</v>
      </c>
      <c r="I170" s="6">
        <f>INDEX('Agri_land '!$E:$ZZ, MATCH(A170, 'Agri_land '!$C:$C, 0), MATCH(B170, 'Agri_land '!$E$1:$ZZ$1, 0))</f>
        <v>40.431726002703918</v>
      </c>
      <c r="J170">
        <f>INDEX(Cereal_Yield!$E:$ZZ, MATCH(A170, Cereal_Yield!$C:$C, 0), MATCH(B170, Cereal_Yield!$E$1:$ZZ$1, 0))</f>
        <v>3234.2</v>
      </c>
    </row>
    <row r="171" spans="1:10" x14ac:dyDescent="0.3">
      <c r="A171" t="s">
        <v>12</v>
      </c>
      <c r="B171" s="4">
        <v>2001</v>
      </c>
      <c r="C171" t="s">
        <v>49</v>
      </c>
      <c r="D171" s="8">
        <f>INDEX(GDP_pc!$E:$ZZ, MATCH(A171, GDP_pc!$C:$C, 0), MATCH(B171, GDP_pc!$E$1:$ZZ$1, 0))</f>
        <v>98200641203.389236</v>
      </c>
      <c r="E171">
        <f>INDEX(CH4_Em!$E:$ZZ, MATCH(A171, CH4_Em!$C:$C, 0), MATCH(B171, CH4_Em!$E$1:$ZZ$1, 0))</f>
        <v>47.877499999999998</v>
      </c>
      <c r="F171">
        <f>INDEX(N2O_Em!$E:$ZZ, MATCH(A171, N2O_Em!$C:$C, 0), MATCH(B171, N2O_Em!$E$1:$ZZ$1, 0))</f>
        <v>12.491199999999999</v>
      </c>
      <c r="G171">
        <f>INDEX(CO2_Em!$E:$ZZ, MATCH(A171, CO2_Em!$C:$C, 0), MATCH(B171, CO2_Em!$E$1:$ZZ$1, 0))</f>
        <v>0.42670000000000002</v>
      </c>
      <c r="H171">
        <f>INDEX(Agri_VA!$E:$ZZ, MATCH(A171, Agri_VA!$C:$C, 0), MATCH(B171, Agri_VA!$E$1:$ZZ$1, 0))</f>
        <v>8.3209726766762149</v>
      </c>
      <c r="I171" s="6">
        <f>INDEX('Agri_land '!$E:$ZZ, MATCH(A171, 'Agri_land '!$C:$C, 0), MATCH(B171, 'Agri_land '!$E$1:$ZZ$1, 0))</f>
        <v>37.625056331680938</v>
      </c>
      <c r="J171">
        <f>INDEX(Cereal_Yield!$E:$ZZ, MATCH(A171, Cereal_Yield!$C:$C, 0), MATCH(B171, Cereal_Yield!$E$1:$ZZ$1, 0))</f>
        <v>3138.3</v>
      </c>
    </row>
    <row r="172" spans="1:10" x14ac:dyDescent="0.3">
      <c r="A172" t="s">
        <v>12</v>
      </c>
      <c r="B172" s="4">
        <v>2002</v>
      </c>
      <c r="C172" t="s">
        <v>49</v>
      </c>
      <c r="D172" s="8">
        <f>INDEX(GDP_pc!$E:$ZZ, MATCH(A172, GDP_pc!$C:$C, 0), MATCH(B172, GDP_pc!$E$1:$ZZ$1, 0))</f>
        <v>97945812802.888168</v>
      </c>
      <c r="E172">
        <f>INDEX(CH4_Em!$E:$ZZ, MATCH(A172, CH4_Em!$C:$C, 0), MATCH(B172, CH4_Em!$E$1:$ZZ$1, 0))</f>
        <v>48.149099999999997</v>
      </c>
      <c r="F172">
        <f>INDEX(N2O_Em!$E:$ZZ, MATCH(A172, N2O_Em!$C:$C, 0), MATCH(B172, N2O_Em!$E$1:$ZZ$1, 0))</f>
        <v>12.7075</v>
      </c>
      <c r="G172">
        <f>INDEX(CO2_Em!$E:$ZZ, MATCH(A172, CO2_Em!$C:$C, 0), MATCH(B172, CO2_Em!$E$1:$ZZ$1, 0))</f>
        <v>0.43</v>
      </c>
      <c r="H172">
        <f>INDEX(Agri_VA!$E:$ZZ, MATCH(A172, Agri_VA!$C:$C, 0), MATCH(B172, Agri_VA!$E$1:$ZZ$1, 0))</f>
        <v>8.5100051768484821</v>
      </c>
      <c r="I172" s="6">
        <f>INDEX('Agri_land '!$E:$ZZ, MATCH(A172, 'Agri_land '!$C:$C, 0), MATCH(B172, 'Agri_land '!$E$1:$ZZ$1, 0))</f>
        <v>37.500675980171252</v>
      </c>
      <c r="J172">
        <f>INDEX(Cereal_Yield!$E:$ZZ, MATCH(A172, Cereal_Yield!$C:$C, 0), MATCH(B172, Cereal_Yield!$E$1:$ZZ$1, 0))</f>
        <v>3340.5</v>
      </c>
    </row>
    <row r="173" spans="1:10" x14ac:dyDescent="0.3">
      <c r="A173" t="s">
        <v>12</v>
      </c>
      <c r="B173" s="4">
        <v>2003</v>
      </c>
      <c r="C173" t="s">
        <v>49</v>
      </c>
      <c r="D173" s="8">
        <f>INDEX(GDP_pc!$E:$ZZ, MATCH(A173, GDP_pc!$C:$C, 0), MATCH(B173, GDP_pc!$E$1:$ZZ$1, 0))</f>
        <v>94644969157.098694</v>
      </c>
      <c r="E173">
        <f>INDEX(CH4_Em!$E:$ZZ, MATCH(A173, CH4_Em!$C:$C, 0), MATCH(B173, CH4_Em!$E$1:$ZZ$1, 0))</f>
        <v>48.676499999999997</v>
      </c>
      <c r="F173">
        <f>INDEX(N2O_Em!$E:$ZZ, MATCH(A173, N2O_Em!$C:$C, 0), MATCH(B173, N2O_Em!$E$1:$ZZ$1, 0))</f>
        <v>12.891400000000001</v>
      </c>
      <c r="G173">
        <f>INDEX(CO2_Em!$E:$ZZ, MATCH(A173, CO2_Em!$C:$C, 0), MATCH(B173, CO2_Em!$E$1:$ZZ$1, 0))</f>
        <v>0.40110000000000001</v>
      </c>
      <c r="H173">
        <f>INDEX(Agri_VA!$E:$ZZ, MATCH(A173, Agri_VA!$C:$C, 0), MATCH(B173, Agri_VA!$E$1:$ZZ$1, 0))</f>
        <v>8.3287741651214464</v>
      </c>
      <c r="I173" s="6">
        <f>INDEX('Agri_land '!$E:$ZZ, MATCH(A173, 'Agri_land '!$C:$C, 0), MATCH(B173, 'Agri_land '!$E$1:$ZZ$1, 0))</f>
        <v>37.900856241550244</v>
      </c>
      <c r="J173">
        <f>INDEX(Cereal_Yield!$E:$ZZ, MATCH(A173, Cereal_Yield!$C:$C, 0), MATCH(B173, Cereal_Yield!$E$1:$ZZ$1, 0))</f>
        <v>3621.8</v>
      </c>
    </row>
    <row r="174" spans="1:10" x14ac:dyDescent="0.3">
      <c r="A174" t="s">
        <v>12</v>
      </c>
      <c r="B174" s="4">
        <v>2004</v>
      </c>
      <c r="C174" t="s">
        <v>49</v>
      </c>
      <c r="D174" s="8">
        <f>INDEX(GDP_pc!$E:$ZZ, MATCH(A174, GDP_pc!$C:$C, 0), MATCH(B174, GDP_pc!$E$1:$ZZ$1, 0))</f>
        <v>117092416666.24509</v>
      </c>
      <c r="E174">
        <f>INDEX(CH4_Em!$E:$ZZ, MATCH(A174, CH4_Em!$C:$C, 0), MATCH(B174, CH4_Em!$E$1:$ZZ$1, 0))</f>
        <v>49.024900000000002</v>
      </c>
      <c r="F174">
        <f>INDEX(N2O_Em!$E:$ZZ, MATCH(A174, N2O_Em!$C:$C, 0), MATCH(B174, N2O_Em!$E$1:$ZZ$1, 0))</f>
        <v>13.0138</v>
      </c>
      <c r="G174">
        <f>INDEX(CO2_Em!$E:$ZZ, MATCH(A174, CO2_Em!$C:$C, 0), MATCH(B174, CO2_Em!$E$1:$ZZ$1, 0))</f>
        <v>0.47089999999999999</v>
      </c>
      <c r="H174">
        <f>INDEX(Agri_VA!$E:$ZZ, MATCH(A174, Agri_VA!$C:$C, 0), MATCH(B174, Agri_VA!$E$1:$ZZ$1, 0))</f>
        <v>7.9109831623137357</v>
      </c>
      <c r="I174" s="6">
        <f>INDEX('Agri_land '!$E:$ZZ, MATCH(A174, 'Agri_land '!$C:$C, 0), MATCH(B174, 'Agri_land '!$E$1:$ZZ$1, 0))</f>
        <v>38.207300585849481</v>
      </c>
      <c r="J174">
        <f>INDEX(Cereal_Yield!$E:$ZZ, MATCH(A174, Cereal_Yield!$C:$C, 0), MATCH(B174, Cereal_Yield!$E$1:$ZZ$1, 0))</f>
        <v>3584.5</v>
      </c>
    </row>
    <row r="175" spans="1:10" x14ac:dyDescent="0.3">
      <c r="A175" t="s">
        <v>12</v>
      </c>
      <c r="B175" s="4">
        <v>2005</v>
      </c>
      <c r="C175" t="s">
        <v>49</v>
      </c>
      <c r="D175" s="8">
        <f>INDEX(GDP_pc!$E:$ZZ, MATCH(A175, GDP_pc!$C:$C, 0), MATCH(B175, GDP_pc!$E$1:$ZZ$1, 0))</f>
        <v>145600529605.80283</v>
      </c>
      <c r="E175">
        <f>INDEX(CH4_Em!$E:$ZZ, MATCH(A175, CH4_Em!$C:$C, 0), MATCH(B175, CH4_Em!$E$1:$ZZ$1, 0))</f>
        <v>49.9482</v>
      </c>
      <c r="F175">
        <f>INDEX(N2O_Em!$E:$ZZ, MATCH(A175, N2O_Em!$C:$C, 0), MATCH(B175, N2O_Em!$E$1:$ZZ$1, 0))</f>
        <v>13.326000000000001</v>
      </c>
      <c r="G175">
        <f>INDEX(CO2_Em!$E:$ZZ, MATCH(A175, CO2_Em!$C:$C, 0), MATCH(B175, CO2_Em!$E$1:$ZZ$1, 0))</f>
        <v>0.48299999999999998</v>
      </c>
      <c r="H175">
        <f>INDEX(Agri_VA!$E:$ZZ, MATCH(A175, Agri_VA!$C:$C, 0), MATCH(B175, Agri_VA!$E$1:$ZZ$1, 0))</f>
        <v>7.5272667017795118</v>
      </c>
      <c r="I175" s="6">
        <f>INDEX('Agri_land '!$E:$ZZ, MATCH(A175, 'Agri_land '!$C:$C, 0), MATCH(B175, 'Agri_land '!$E$1:$ZZ$1, 0))</f>
        <v>38.356917530419111</v>
      </c>
      <c r="J175">
        <f>INDEX(Cereal_Yield!$E:$ZZ, MATCH(A175, Cereal_Yield!$C:$C, 0), MATCH(B175, Cereal_Yield!$E$1:$ZZ$1, 0))</f>
        <v>3643.3</v>
      </c>
    </row>
    <row r="176" spans="1:10" x14ac:dyDescent="0.3">
      <c r="A176" t="s">
        <v>12</v>
      </c>
      <c r="B176" s="4">
        <v>2006</v>
      </c>
      <c r="C176" t="s">
        <v>49</v>
      </c>
      <c r="D176" s="8">
        <f>INDEX(GDP_pc!$E:$ZZ, MATCH(A176, GDP_pc!$C:$C, 0), MATCH(B176, GDP_pc!$E$1:$ZZ$1, 0))</f>
        <v>161792958904.86447</v>
      </c>
      <c r="E176">
        <f>INDEX(CH4_Em!$E:$ZZ, MATCH(A176, CH4_Em!$C:$C, 0), MATCH(B176, CH4_Em!$E$1:$ZZ$1, 0))</f>
        <v>50.3491</v>
      </c>
      <c r="F176">
        <f>INDEX(N2O_Em!$E:$ZZ, MATCH(A176, N2O_Em!$C:$C, 0), MATCH(B176, N2O_Em!$E$1:$ZZ$1, 0))</f>
        <v>13.483700000000001</v>
      </c>
      <c r="G176">
        <f>INDEX(CO2_Em!$E:$ZZ, MATCH(A176, CO2_Em!$C:$C, 0), MATCH(B176, CO2_Em!$E$1:$ZZ$1, 0))</f>
        <v>0.45829999999999999</v>
      </c>
      <c r="H176">
        <f>INDEX(Agri_VA!$E:$ZZ, MATCH(A176, Agri_VA!$C:$C, 0), MATCH(B176, Agri_VA!$E$1:$ZZ$1, 0))</f>
        <v>7.1867695307177071</v>
      </c>
      <c r="I176" s="6">
        <f>INDEX('Agri_land '!$E:$ZZ, MATCH(A176, 'Agri_land '!$C:$C, 0), MATCH(B176, 'Agri_land '!$E$1:$ZZ$1, 0))</f>
        <v>38.011716989634969</v>
      </c>
      <c r="J176">
        <f>INDEX(Cereal_Yield!$E:$ZZ, MATCH(A176, Cereal_Yield!$C:$C, 0), MATCH(B176, Cereal_Yield!$E$1:$ZZ$1, 0))</f>
        <v>3358.8</v>
      </c>
    </row>
    <row r="177" spans="1:10" x14ac:dyDescent="0.3">
      <c r="A177" t="s">
        <v>12</v>
      </c>
      <c r="B177" s="4">
        <v>2007</v>
      </c>
      <c r="C177" t="s">
        <v>49</v>
      </c>
      <c r="D177" s="8">
        <f>INDEX(GDP_pc!$E:$ZZ, MATCH(A177, GDP_pc!$C:$C, 0), MATCH(B177, GDP_pc!$E$1:$ZZ$1, 0))</f>
        <v>206229540926.31174</v>
      </c>
      <c r="E177">
        <f>INDEX(CH4_Em!$E:$ZZ, MATCH(A177, CH4_Em!$C:$C, 0), MATCH(B177, CH4_Em!$E$1:$ZZ$1, 0))</f>
        <v>51.456000000000003</v>
      </c>
      <c r="F177">
        <f>INDEX(N2O_Em!$E:$ZZ, MATCH(A177, N2O_Em!$C:$C, 0), MATCH(B177, N2O_Em!$E$1:$ZZ$1, 0))</f>
        <v>13.8706</v>
      </c>
      <c r="G177">
        <f>INDEX(CO2_Em!$E:$ZZ, MATCH(A177, CO2_Em!$C:$C, 0), MATCH(B177, CO2_Em!$E$1:$ZZ$1, 0))</f>
        <v>0.49440000000000001</v>
      </c>
      <c r="H177">
        <f>INDEX(Agri_VA!$E:$ZZ, MATCH(A177, Agri_VA!$C:$C, 0), MATCH(B177, Agri_VA!$E$1:$ZZ$1, 0))</f>
        <v>6.9345586759578621</v>
      </c>
      <c r="I177" s="6">
        <f>INDEX('Agri_land '!$E:$ZZ, MATCH(A177, 'Agri_land '!$C:$C, 0), MATCH(B177, 'Agri_land '!$E$1:$ZZ$1, 0))</f>
        <v>38.247859396124376</v>
      </c>
      <c r="J177">
        <f>INDEX(Cereal_Yield!$E:$ZZ, MATCH(A177, Cereal_Yield!$C:$C, 0), MATCH(B177, Cereal_Yield!$E$1:$ZZ$1, 0))</f>
        <v>3599.2</v>
      </c>
    </row>
    <row r="178" spans="1:10" x14ac:dyDescent="0.3">
      <c r="A178" t="s">
        <v>12</v>
      </c>
      <c r="B178" s="4">
        <v>2008</v>
      </c>
      <c r="C178" t="s">
        <v>49</v>
      </c>
      <c r="D178" s="8">
        <f>INDEX(GDP_pc!$E:$ZZ, MATCH(A178, GDP_pc!$C:$C, 0), MATCH(B178, GDP_pc!$E$1:$ZZ$1, 0))</f>
        <v>242504150472.93127</v>
      </c>
      <c r="E178">
        <f>INDEX(CH4_Em!$E:$ZZ, MATCH(A178, CH4_Em!$C:$C, 0), MATCH(B178, CH4_Em!$E$1:$ZZ$1, 0))</f>
        <v>52.283700000000003</v>
      </c>
      <c r="F178">
        <f>INDEX(N2O_Em!$E:$ZZ, MATCH(A178, N2O_Em!$C:$C, 0), MATCH(B178, N2O_Em!$E$1:$ZZ$1, 0))</f>
        <v>13.6167</v>
      </c>
      <c r="G178">
        <f>INDEX(CO2_Em!$E:$ZZ, MATCH(A178, CO2_Em!$C:$C, 0), MATCH(B178, CO2_Em!$E$1:$ZZ$1, 0))</f>
        <v>0.35909999999999997</v>
      </c>
      <c r="H178">
        <f>INDEX(Agri_VA!$E:$ZZ, MATCH(A178, Agri_VA!$C:$C, 0), MATCH(B178, Agri_VA!$E$1:$ZZ$1, 0))</f>
        <v>6.6873848504052011</v>
      </c>
      <c r="I178" s="6">
        <f>INDEX('Agri_land '!$E:$ZZ, MATCH(A178, 'Agri_land '!$C:$C, 0), MATCH(B178, 'Agri_land '!$E$1:$ZZ$1, 0))</f>
        <v>38.40829202343398</v>
      </c>
      <c r="J178">
        <f>INDEX(Cereal_Yield!$E:$ZZ, MATCH(A178, Cereal_Yield!$C:$C, 0), MATCH(B178, Cereal_Yield!$E$1:$ZZ$1, 0))</f>
        <v>3664.2</v>
      </c>
    </row>
    <row r="179" spans="1:10" x14ac:dyDescent="0.3">
      <c r="A179" t="s">
        <v>12</v>
      </c>
      <c r="B179" s="4">
        <v>2009</v>
      </c>
      <c r="C179" t="s">
        <v>49</v>
      </c>
      <c r="D179" s="8">
        <f>INDEX(GDP_pc!$E:$ZZ, MATCH(A179, GDP_pc!$C:$C, 0), MATCH(B179, GDP_pc!$E$1:$ZZ$1, 0))</f>
        <v>232468663109.59467</v>
      </c>
      <c r="E179">
        <f>INDEX(CH4_Em!$E:$ZZ, MATCH(A179, CH4_Em!$C:$C, 0), MATCH(B179, CH4_Em!$E$1:$ZZ$1, 0))</f>
        <v>52.050899999999999</v>
      </c>
      <c r="F179">
        <f>INDEX(N2O_Em!$E:$ZZ, MATCH(A179, N2O_Em!$C:$C, 0), MATCH(B179, N2O_Em!$E$1:$ZZ$1, 0))</f>
        <v>13.8596</v>
      </c>
      <c r="G179">
        <f>INDEX(CO2_Em!$E:$ZZ, MATCH(A179, CO2_Em!$C:$C, 0), MATCH(B179, CO2_Em!$E$1:$ZZ$1, 0))</f>
        <v>0.4909</v>
      </c>
      <c r="H179">
        <f>INDEX(Agri_VA!$E:$ZZ, MATCH(A179, Agri_VA!$C:$C, 0), MATCH(B179, Agri_VA!$E$1:$ZZ$1, 0))</f>
        <v>6.6897406962880854</v>
      </c>
      <c r="I179" s="6">
        <f>INDEX('Agri_land '!$E:$ZZ, MATCH(A179, 'Agri_land '!$C:$C, 0), MATCH(B179, 'Agri_land '!$E$1:$ZZ$1, 0))</f>
        <v>38.341595313204145</v>
      </c>
      <c r="J179">
        <f>INDEX(Cereal_Yield!$E:$ZZ, MATCH(A179, Cereal_Yield!$C:$C, 0), MATCH(B179, Cereal_Yield!$E$1:$ZZ$1, 0))</f>
        <v>3611.3</v>
      </c>
    </row>
    <row r="180" spans="1:10" x14ac:dyDescent="0.3">
      <c r="A180" t="s">
        <v>12</v>
      </c>
      <c r="B180" s="4">
        <v>2010</v>
      </c>
      <c r="C180" t="s">
        <v>49</v>
      </c>
      <c r="D180" s="8">
        <f>INDEX(GDP_pc!$E:$ZZ, MATCH(A180, GDP_pc!$C:$C, 0), MATCH(B180, GDP_pc!$E$1:$ZZ$1, 0))</f>
        <v>286498534094.96326</v>
      </c>
      <c r="E180">
        <f>INDEX(CH4_Em!$E:$ZZ, MATCH(A180, CH4_Em!$C:$C, 0), MATCH(B180, CH4_Em!$E$1:$ZZ$1, 0))</f>
        <v>53.1813</v>
      </c>
      <c r="F180">
        <f>INDEX(N2O_Em!$E:$ZZ, MATCH(A180, N2O_Em!$C:$C, 0), MATCH(B180, N2O_Em!$E$1:$ZZ$1, 0))</f>
        <v>14.286099999999999</v>
      </c>
      <c r="G180">
        <f>INDEX(CO2_Em!$E:$ZZ, MATCH(A180, CO2_Em!$C:$C, 0), MATCH(B180, CO2_Em!$E$1:$ZZ$1, 0))</f>
        <v>0.45040000000000002</v>
      </c>
      <c r="H180">
        <f>INDEX(Agri_VA!$E:$ZZ, MATCH(A180, Agri_VA!$C:$C, 0), MATCH(B180, Agri_VA!$E$1:$ZZ$1, 0))</f>
        <v>6.3248538764106899</v>
      </c>
      <c r="I180" s="6">
        <f>INDEX('Agri_land '!$E:$ZZ, MATCH(A180, 'Agri_land '!$C:$C, 0), MATCH(B180, 'Agri_land '!$E$1:$ZZ$1, 0))</f>
        <v>38.308246958089228</v>
      </c>
      <c r="J180">
        <f>INDEX(Cereal_Yield!$E:$ZZ, MATCH(A180, Cereal_Yield!$C:$C, 0), MATCH(B180, Cereal_Yield!$E$1:$ZZ$1, 0))</f>
        <v>3410.4</v>
      </c>
    </row>
    <row r="181" spans="1:10" x14ac:dyDescent="0.3">
      <c r="A181" t="s">
        <v>12</v>
      </c>
      <c r="B181" s="4">
        <v>2011</v>
      </c>
      <c r="C181" t="s">
        <v>49</v>
      </c>
      <c r="D181" s="8">
        <f>INDEX(GDP_pc!$E:$ZZ, MATCH(A181, GDP_pc!$C:$C, 0), MATCH(B181, GDP_pc!$E$1:$ZZ$1, 0))</f>
        <v>334966134804.88702</v>
      </c>
      <c r="E181">
        <f>INDEX(CH4_Em!$E:$ZZ, MATCH(A181, CH4_Em!$C:$C, 0), MATCH(B181, CH4_Em!$E$1:$ZZ$1, 0))</f>
        <v>50.209000000000003</v>
      </c>
      <c r="F181">
        <f>INDEX(N2O_Em!$E:$ZZ, MATCH(A181, N2O_Em!$C:$C, 0), MATCH(B181, N2O_Em!$E$1:$ZZ$1, 0))</f>
        <v>13.612299999999999</v>
      </c>
      <c r="G181">
        <f>INDEX(CO2_Em!$E:$ZZ, MATCH(A181, CO2_Em!$C:$C, 0), MATCH(B181, CO2_Em!$E$1:$ZZ$1, 0))</f>
        <v>0.54830000000000001</v>
      </c>
      <c r="H181">
        <f>INDEX(Agri_VA!$E:$ZZ, MATCH(A181, Agri_VA!$C:$C, 0), MATCH(B181, Agri_VA!$E$1:$ZZ$1, 0))</f>
        <v>6.0916961082221501</v>
      </c>
      <c r="I181" s="6">
        <f>INDEX('Agri_land '!$E:$ZZ, MATCH(A181, 'Agri_land '!$C:$C, 0), MATCH(B181, 'Agri_land '!$E$1:$ZZ$1, 0))</f>
        <v>37.60342496620099</v>
      </c>
      <c r="J181">
        <f>INDEX(Cereal_Yield!$E:$ZZ, MATCH(A181, Cereal_Yield!$C:$C, 0), MATCH(B181, Cereal_Yield!$E$1:$ZZ$1, 0))</f>
        <v>3351.5</v>
      </c>
    </row>
    <row r="182" spans="1:10" x14ac:dyDescent="0.3">
      <c r="A182" t="s">
        <v>12</v>
      </c>
      <c r="B182" s="4">
        <v>2012</v>
      </c>
      <c r="C182" t="s">
        <v>49</v>
      </c>
      <c r="D182" s="8">
        <f>INDEX(GDP_pc!$E:$ZZ, MATCH(A182, GDP_pc!$C:$C, 0), MATCH(B182, GDP_pc!$E$1:$ZZ$1, 0))</f>
        <v>370691143018.03918</v>
      </c>
      <c r="E182">
        <f>INDEX(CH4_Em!$E:$ZZ, MATCH(A182, CH4_Em!$C:$C, 0), MATCH(B182, CH4_Em!$E$1:$ZZ$1, 0))</f>
        <v>47.668399999999998</v>
      </c>
      <c r="F182">
        <f>INDEX(N2O_Em!$E:$ZZ, MATCH(A182, N2O_Em!$C:$C, 0), MATCH(B182, N2O_Em!$E$1:$ZZ$1, 0))</f>
        <v>12.7844</v>
      </c>
      <c r="G182">
        <f>INDEX(CO2_Em!$E:$ZZ, MATCH(A182, CO2_Em!$C:$C, 0), MATCH(B182, CO2_Em!$E$1:$ZZ$1, 0))</f>
        <v>0.48620000000000002</v>
      </c>
      <c r="H182">
        <f>INDEX(Agri_VA!$E:$ZZ, MATCH(A182, Agri_VA!$C:$C, 0), MATCH(B182, Agri_VA!$E$1:$ZZ$1, 0))</f>
        <v>5.5826870535493249</v>
      </c>
      <c r="I182" s="6">
        <f>INDEX('Agri_land '!$E:$ZZ, MATCH(A182, 'Agri_land '!$C:$C, 0), MATCH(B182, 'Agri_land '!$E$1:$ZZ$1, 0))</f>
        <v>38.411536728255975</v>
      </c>
      <c r="J182">
        <f>INDEX(Cereal_Yield!$E:$ZZ, MATCH(A182, Cereal_Yield!$C:$C, 0), MATCH(B182, Cereal_Yield!$E$1:$ZZ$1, 0))</f>
        <v>3381.8</v>
      </c>
    </row>
    <row r="183" spans="1:10" x14ac:dyDescent="0.3">
      <c r="A183" t="s">
        <v>12</v>
      </c>
      <c r="B183" s="4">
        <v>2013</v>
      </c>
      <c r="C183" t="s">
        <v>49</v>
      </c>
      <c r="D183" s="8">
        <f>INDEX(GDP_pc!$E:$ZZ, MATCH(A183, GDP_pc!$C:$C, 0), MATCH(B183, GDP_pc!$E$1:$ZZ$1, 0))</f>
        <v>382093697077.68494</v>
      </c>
      <c r="E183">
        <f>INDEX(CH4_Em!$E:$ZZ, MATCH(A183, CH4_Em!$C:$C, 0), MATCH(B183, CH4_Em!$E$1:$ZZ$1, 0))</f>
        <v>47.3491</v>
      </c>
      <c r="F183">
        <f>INDEX(N2O_Em!$E:$ZZ, MATCH(A183, N2O_Em!$C:$C, 0), MATCH(B183, N2O_Em!$E$1:$ZZ$1, 0))</f>
        <v>12.5297</v>
      </c>
      <c r="G183">
        <f>INDEX(CO2_Em!$E:$ZZ, MATCH(A183, CO2_Em!$C:$C, 0), MATCH(B183, CO2_Em!$E$1:$ZZ$1, 0))</f>
        <v>0.52780000000000005</v>
      </c>
      <c r="H183">
        <f>INDEX(Agri_VA!$E:$ZZ, MATCH(A183, Agri_VA!$C:$C, 0), MATCH(B183, Agri_VA!$E$1:$ZZ$1, 0))</f>
        <v>5.392714954494723</v>
      </c>
      <c r="I183" s="6">
        <f>INDEX('Agri_land '!$E:$ZZ, MATCH(A183, 'Agri_land '!$C:$C, 0), MATCH(B183, 'Agri_land '!$E$1:$ZZ$1, 0))</f>
        <v>40.39260928346102</v>
      </c>
      <c r="J183">
        <f>INDEX(Cereal_Yield!$E:$ZZ, MATCH(A183, Cereal_Yield!$C:$C, 0), MATCH(B183, Cereal_Yield!$E$1:$ZZ$1, 0))</f>
        <v>3277.8</v>
      </c>
    </row>
    <row r="184" spans="1:10" x14ac:dyDescent="0.3">
      <c r="A184" t="s">
        <v>12</v>
      </c>
      <c r="B184" s="4">
        <v>2014</v>
      </c>
      <c r="C184" t="s">
        <v>49</v>
      </c>
      <c r="D184" s="8">
        <f>INDEX(GDP_pc!$E:$ZZ, MATCH(A184, GDP_pc!$C:$C, 0), MATCH(B184, GDP_pc!$E$1:$ZZ$1, 0))</f>
        <v>381240864422.40662</v>
      </c>
      <c r="E184">
        <f>INDEX(CH4_Em!$E:$ZZ, MATCH(A184, CH4_Em!$C:$C, 0), MATCH(B184, CH4_Em!$E$1:$ZZ$1, 0))</f>
        <v>45.0824</v>
      </c>
      <c r="F184">
        <f>INDEX(N2O_Em!$E:$ZZ, MATCH(A184, N2O_Em!$C:$C, 0), MATCH(B184, N2O_Em!$E$1:$ZZ$1, 0))</f>
        <v>12.5747</v>
      </c>
      <c r="G184">
        <f>INDEX(CO2_Em!$E:$ZZ, MATCH(A184, CO2_Em!$C:$C, 0), MATCH(B184, CO2_Em!$E$1:$ZZ$1, 0))</f>
        <v>0.55189999999999995</v>
      </c>
      <c r="H184">
        <f>INDEX(Agri_VA!$E:$ZZ, MATCH(A184, Agri_VA!$C:$C, 0), MATCH(B184, Agri_VA!$E$1:$ZZ$1, 0))</f>
        <v>5.4469572147442076</v>
      </c>
      <c r="I184" s="6">
        <f>INDEX('Agri_land '!$E:$ZZ, MATCH(A184, 'Agri_land '!$C:$C, 0), MATCH(B184, 'Agri_land '!$E$1:$ZZ$1, 0))</f>
        <v>40.378548895899051</v>
      </c>
      <c r="J184">
        <f>INDEX(Cereal_Yield!$E:$ZZ, MATCH(A184, Cereal_Yield!$C:$C, 0), MATCH(B184, Cereal_Yield!$E$1:$ZZ$1, 0))</f>
        <v>3754.6</v>
      </c>
    </row>
    <row r="185" spans="1:10" x14ac:dyDescent="0.3">
      <c r="A185" t="s">
        <v>12</v>
      </c>
      <c r="B185" s="4">
        <v>2015</v>
      </c>
      <c r="C185" t="s">
        <v>49</v>
      </c>
      <c r="D185" s="8">
        <f>INDEX(GDP_pc!$E:$ZZ, MATCH(A185, GDP_pc!$C:$C, 0), MATCH(B185, GDP_pc!$E$1:$ZZ$1, 0))</f>
        <v>293492370193.16608</v>
      </c>
      <c r="E185">
        <f>INDEX(CH4_Em!$E:$ZZ, MATCH(A185, CH4_Em!$C:$C, 0), MATCH(B185, CH4_Em!$E$1:$ZZ$1, 0))</f>
        <v>44.5227</v>
      </c>
      <c r="F185">
        <f>INDEX(N2O_Em!$E:$ZZ, MATCH(A185, N2O_Em!$C:$C, 0), MATCH(B185, N2O_Em!$E$1:$ZZ$1, 0))</f>
        <v>12.951599999999999</v>
      </c>
      <c r="G185">
        <f>INDEX(CO2_Em!$E:$ZZ, MATCH(A185, CO2_Em!$C:$C, 0), MATCH(B185, CO2_Em!$E$1:$ZZ$1, 0))</f>
        <v>0.84689999999999999</v>
      </c>
      <c r="H185">
        <f>INDEX(Agri_VA!$E:$ZZ, MATCH(A185, Agri_VA!$C:$C, 0), MATCH(B185, Agri_VA!$E$1:$ZZ$1, 0))</f>
        <v>5.9804248084981584</v>
      </c>
      <c r="I185" s="6">
        <f>INDEX('Agri_land '!$E:$ZZ, MATCH(A185, 'Agri_land '!$C:$C, 0), MATCH(B185, 'Agri_land '!$E$1:$ZZ$1, 0))</f>
        <v>40.364488508337089</v>
      </c>
      <c r="J185">
        <f>INDEX(Cereal_Yield!$E:$ZZ, MATCH(A185, Cereal_Yield!$C:$C, 0), MATCH(B185, Cereal_Yield!$E$1:$ZZ$1, 0))</f>
        <v>3893.5</v>
      </c>
    </row>
    <row r="186" spans="1:10" x14ac:dyDescent="0.3">
      <c r="A186" t="s">
        <v>12</v>
      </c>
      <c r="B186" s="4">
        <v>2016</v>
      </c>
      <c r="C186" t="s">
        <v>49</v>
      </c>
      <c r="D186" s="8">
        <f>INDEX(GDP_pc!$E:$ZZ, MATCH(A186, GDP_pc!$C:$C, 0), MATCH(B186, GDP_pc!$E$1:$ZZ$1, 0))</f>
        <v>282720100286.22815</v>
      </c>
      <c r="E186">
        <f>INDEX(CH4_Em!$E:$ZZ, MATCH(A186, CH4_Em!$C:$C, 0), MATCH(B186, CH4_Em!$E$1:$ZZ$1, 0))</f>
        <v>45.7483</v>
      </c>
      <c r="F186">
        <f>INDEX(N2O_Em!$E:$ZZ, MATCH(A186, N2O_Em!$C:$C, 0), MATCH(B186, N2O_Em!$E$1:$ZZ$1, 0))</f>
        <v>12.780799999999999</v>
      </c>
      <c r="G186">
        <f>INDEX(CO2_Em!$E:$ZZ, MATCH(A186, CO2_Em!$C:$C, 0), MATCH(B186, CO2_Em!$E$1:$ZZ$1, 0))</f>
        <v>0.72189999999999999</v>
      </c>
      <c r="H186">
        <f>INDEX(Agri_VA!$E:$ZZ, MATCH(A186, Agri_VA!$C:$C, 0), MATCH(B186, Agri_VA!$E$1:$ZZ$1, 0))</f>
        <v>6.6064122660578706</v>
      </c>
      <c r="I186" s="6">
        <f>INDEX('Agri_land '!$E:$ZZ, MATCH(A186, 'Agri_land '!$C:$C, 0), MATCH(B186, 'Agri_land '!$E$1:$ZZ$1, 0))</f>
        <v>40.350428120775121</v>
      </c>
      <c r="J186">
        <f>INDEX(Cereal_Yield!$E:$ZZ, MATCH(A186, Cereal_Yield!$C:$C, 0), MATCH(B186, Cereal_Yield!$E$1:$ZZ$1, 0))</f>
        <v>3792.5</v>
      </c>
    </row>
    <row r="187" spans="1:10" x14ac:dyDescent="0.3">
      <c r="A187" t="s">
        <v>12</v>
      </c>
      <c r="B187" s="4">
        <v>2017</v>
      </c>
      <c r="C187" t="s">
        <v>49</v>
      </c>
      <c r="D187" s="8">
        <f>INDEX(GDP_pc!$E:$ZZ, MATCH(A187, GDP_pc!$C:$C, 0), MATCH(B187, GDP_pc!$E$1:$ZZ$1, 0))</f>
        <v>311866875156.87921</v>
      </c>
      <c r="E187">
        <f>INDEX(CH4_Em!$E:$ZZ, MATCH(A187, CH4_Em!$C:$C, 0), MATCH(B187, CH4_Em!$E$1:$ZZ$1, 0))</f>
        <v>48.799900000000001</v>
      </c>
      <c r="F187">
        <f>INDEX(N2O_Em!$E:$ZZ, MATCH(A187, N2O_Em!$C:$C, 0), MATCH(B187, N2O_Em!$E$1:$ZZ$1, 0))</f>
        <v>13.3536</v>
      </c>
      <c r="G187">
        <f>INDEX(CO2_Em!$E:$ZZ, MATCH(A187, CO2_Em!$C:$C, 0), MATCH(B187, CO2_Em!$E$1:$ZZ$1, 0))</f>
        <v>0.67930000000000001</v>
      </c>
      <c r="H187">
        <f>INDEX(Agri_VA!$E:$ZZ, MATCH(A187, Agri_VA!$C:$C, 0), MATCH(B187, Agri_VA!$E$1:$ZZ$1, 0))</f>
        <v>6.3896635526811822</v>
      </c>
      <c r="I187" s="6">
        <f>INDEX('Agri_land '!$E:$ZZ, MATCH(A187, 'Agri_land '!$C:$C, 0), MATCH(B187, 'Agri_land '!$E$1:$ZZ$1, 0))</f>
        <v>39.19513294276701</v>
      </c>
      <c r="J187">
        <f>INDEX(Cereal_Yield!$E:$ZZ, MATCH(A187, Cereal_Yield!$C:$C, 0), MATCH(B187, Cereal_Yield!$E$1:$ZZ$1, 0))</f>
        <v>3856</v>
      </c>
    </row>
    <row r="188" spans="1:10" x14ac:dyDescent="0.3">
      <c r="A188" t="s">
        <v>12</v>
      </c>
      <c r="B188" s="4">
        <v>2018</v>
      </c>
      <c r="C188" t="s">
        <v>49</v>
      </c>
      <c r="D188" s="8">
        <f>INDEX(GDP_pc!$E:$ZZ, MATCH(A188, GDP_pc!$C:$C, 0), MATCH(B188, GDP_pc!$E$1:$ZZ$1, 0))</f>
        <v>334198218098.27594</v>
      </c>
      <c r="E188">
        <f>INDEX(CH4_Em!$E:$ZZ, MATCH(A188, CH4_Em!$C:$C, 0), MATCH(B188, CH4_Em!$E$1:$ZZ$1, 0))</f>
        <v>51.840400000000002</v>
      </c>
      <c r="F188">
        <f>INDEX(N2O_Em!$E:$ZZ, MATCH(A188, N2O_Em!$C:$C, 0), MATCH(B188, N2O_Em!$E$1:$ZZ$1, 0))</f>
        <v>13.9076</v>
      </c>
      <c r="G188">
        <f>INDEX(CO2_Em!$E:$ZZ, MATCH(A188, CO2_Em!$C:$C, 0), MATCH(B188, CO2_Em!$E$1:$ZZ$1, 0))</f>
        <v>0.59360000000000002</v>
      </c>
      <c r="H188">
        <f>INDEX(Agri_VA!$E:$ZZ, MATCH(A188, Agri_VA!$C:$C, 0), MATCH(B188, Agri_VA!$E$1:$ZZ$1, 0))</f>
        <v>6.2257096896003308</v>
      </c>
      <c r="I188" s="6">
        <f>INDEX('Agri_land '!$E:$ZZ, MATCH(A188, 'Agri_land '!$C:$C, 0), MATCH(B188, 'Agri_land '!$E$1:$ZZ$1, 0))</f>
        <v>39.700766110860748</v>
      </c>
      <c r="J188">
        <f>INDEX(Cereal_Yield!$E:$ZZ, MATCH(A188, Cereal_Yield!$C:$C, 0), MATCH(B188, Cereal_Yield!$E$1:$ZZ$1, 0))</f>
        <v>4014.2</v>
      </c>
    </row>
    <row r="189" spans="1:10" x14ac:dyDescent="0.3">
      <c r="A189" t="s">
        <v>12</v>
      </c>
      <c r="B189" s="4">
        <v>2019</v>
      </c>
      <c r="C189" t="s">
        <v>49</v>
      </c>
      <c r="D189" s="8">
        <f>INDEX(GDP_pc!$E:$ZZ, MATCH(A189, GDP_pc!$C:$C, 0), MATCH(B189, GDP_pc!$E$1:$ZZ$1, 0))</f>
        <v>323031701192.83997</v>
      </c>
      <c r="E189">
        <f>INDEX(CH4_Em!$E:$ZZ, MATCH(A189, CH4_Em!$C:$C, 0), MATCH(B189, CH4_Em!$E$1:$ZZ$1, 0))</f>
        <v>54.288699999999999</v>
      </c>
      <c r="F189">
        <f>INDEX(N2O_Em!$E:$ZZ, MATCH(A189, N2O_Em!$C:$C, 0), MATCH(B189, N2O_Em!$E$1:$ZZ$1, 0))</f>
        <v>14.4513</v>
      </c>
      <c r="G189">
        <f>INDEX(CO2_Em!$E:$ZZ, MATCH(A189, CO2_Em!$C:$C, 0), MATCH(B189, CO2_Em!$E$1:$ZZ$1, 0))</f>
        <v>0.53010000000000002</v>
      </c>
      <c r="H189">
        <f>INDEX(Agri_VA!$E:$ZZ, MATCH(A189, Agri_VA!$C:$C, 0), MATCH(B189, Agri_VA!$E$1:$ZZ$1, 0))</f>
        <v>6.4107208216831371</v>
      </c>
      <c r="I189" s="6">
        <f>INDEX('Agri_land '!$E:$ZZ, MATCH(A189, 'Agri_land '!$C:$C, 0), MATCH(B189, 'Agri_land '!$E$1:$ZZ$1, 0))</f>
        <v>39.976566020730061</v>
      </c>
      <c r="J189">
        <f>INDEX(Cereal_Yield!$E:$ZZ, MATCH(A189, Cereal_Yield!$C:$C, 0), MATCH(B189, Cereal_Yield!$E$1:$ZZ$1, 0))</f>
        <v>4167</v>
      </c>
    </row>
    <row r="190" spans="1:10" x14ac:dyDescent="0.3">
      <c r="A190" t="s">
        <v>12</v>
      </c>
      <c r="B190" s="4">
        <v>2020</v>
      </c>
      <c r="C190" t="s">
        <v>49</v>
      </c>
      <c r="D190" s="8">
        <f>INDEX(GDP_pc!$E:$ZZ, MATCH(A190, GDP_pc!$C:$C, 0), MATCH(B190, GDP_pc!$E$1:$ZZ$1, 0))</f>
        <v>270348342541.46539</v>
      </c>
      <c r="E190">
        <f>INDEX(CH4_Em!$E:$ZZ, MATCH(A190, CH4_Em!$C:$C, 0), MATCH(B190, CH4_Em!$E$1:$ZZ$1, 0))</f>
        <v>56.105899999999998</v>
      </c>
      <c r="F190">
        <f>INDEX(N2O_Em!$E:$ZZ, MATCH(A190, N2O_Em!$C:$C, 0), MATCH(B190, N2O_Em!$E$1:$ZZ$1, 0))</f>
        <v>14.907999999999999</v>
      </c>
      <c r="G190">
        <f>INDEX(CO2_Em!$E:$ZZ, MATCH(A190, CO2_Em!$C:$C, 0), MATCH(B190, CO2_Em!$E$1:$ZZ$1, 0))</f>
        <v>0.65790000000000004</v>
      </c>
      <c r="H190">
        <f>INDEX(Agri_VA!$E:$ZZ, MATCH(A190, Agri_VA!$C:$C, 0), MATCH(B190, Agri_VA!$E$1:$ZZ$1, 0))</f>
        <v>7.5084804666334826</v>
      </c>
      <c r="I190" s="6">
        <f>INDEX('Agri_land '!$E:$ZZ, MATCH(A190, 'Agri_land '!$C:$C, 0), MATCH(B190, 'Agri_land '!$E$1:$ZZ$1, 0))</f>
        <v>39.846727895448403</v>
      </c>
      <c r="J190">
        <f>INDEX(Cereal_Yield!$E:$ZZ, MATCH(A190, Cereal_Yield!$C:$C, 0), MATCH(B190, Cereal_Yield!$E$1:$ZZ$1, 0))</f>
        <v>4398.6000000000004</v>
      </c>
    </row>
    <row r="191" spans="1:10" x14ac:dyDescent="0.3">
      <c r="A191" t="s">
        <v>12</v>
      </c>
      <c r="B191" s="4">
        <v>2021</v>
      </c>
      <c r="C191" t="s">
        <v>49</v>
      </c>
      <c r="D191" s="8">
        <f>INDEX(GDP_pc!$E:$ZZ, MATCH(A191, GDP_pc!$C:$C, 0), MATCH(B191, GDP_pc!$E$1:$ZZ$1, 0))</f>
        <v>318524633225.39514</v>
      </c>
      <c r="E191">
        <f>INDEX(CH4_Em!$E:$ZZ, MATCH(A191, CH4_Em!$C:$C, 0), MATCH(B191, CH4_Em!$E$1:$ZZ$1, 0))</f>
        <v>58.7012</v>
      </c>
      <c r="F191">
        <f>INDEX(N2O_Em!$E:$ZZ, MATCH(A191, N2O_Em!$C:$C, 0), MATCH(B191, N2O_Em!$E$1:$ZZ$1, 0))</f>
        <v>16.2577</v>
      </c>
      <c r="G191">
        <f>INDEX(CO2_Em!$E:$ZZ, MATCH(A191, CO2_Em!$C:$C, 0), MATCH(B191, CO2_Em!$E$1:$ZZ$1, 0))</f>
        <v>0.76259999999999994</v>
      </c>
      <c r="H191">
        <f>INDEX(Agri_VA!$E:$ZZ, MATCH(A191, Agri_VA!$C:$C, 0), MATCH(B191, Agri_VA!$E$1:$ZZ$1, 0))</f>
        <v>7.7718730138500156</v>
      </c>
      <c r="I191" s="6">
        <f>INDEX('Agri_land '!$E:$ZZ, MATCH(A191, 'Agri_land '!$C:$C, 0), MATCH(B191, 'Agri_land '!$E$1:$ZZ$1, 0))</f>
        <v>38.769115187021178</v>
      </c>
      <c r="J191">
        <f>INDEX(Cereal_Yield!$E:$ZZ, MATCH(A191, Cereal_Yield!$C:$C, 0), MATCH(B191, Cereal_Yield!$E$1:$ZZ$1, 0))</f>
        <v>4278.8999999999996</v>
      </c>
    </row>
    <row r="192" spans="1:10" x14ac:dyDescent="0.3">
      <c r="A192" t="s">
        <v>12</v>
      </c>
      <c r="B192" s="4">
        <v>2022</v>
      </c>
      <c r="C192" t="s">
        <v>49</v>
      </c>
      <c r="D192" s="8">
        <f>INDEX(GDP_pc!$E:$ZZ, MATCH(A192, GDP_pc!$C:$C, 0), MATCH(B192, GDP_pc!$E$1:$ZZ$1, 0))</f>
        <v>345632492851.44751</v>
      </c>
      <c r="E192">
        <f>INDEX(CH4_Em!$E:$ZZ, MATCH(A192, CH4_Em!$C:$C, 0), MATCH(B192, CH4_Em!$E$1:$ZZ$1, 0))</f>
        <v>58.7654</v>
      </c>
      <c r="F192">
        <f>INDEX(N2O_Em!$E:$ZZ, MATCH(A192, N2O_Em!$C:$C, 0), MATCH(B192, N2O_Em!$E$1:$ZZ$1, 0))</f>
        <v>15.549799999999999</v>
      </c>
      <c r="G192">
        <f>INDEX(CO2_Em!$E:$ZZ, MATCH(A192, CO2_Em!$C:$C, 0), MATCH(B192, CO2_Em!$E$1:$ZZ$1, 0))</f>
        <v>0.51339999999999997</v>
      </c>
      <c r="H192">
        <f>INDEX(Agri_VA!$E:$ZZ, MATCH(A192, Agri_VA!$C:$C, 0), MATCH(B192, Agri_VA!$E$1:$ZZ$1, 0))</f>
        <v>8.8315447368904056</v>
      </c>
      <c r="I192" s="6">
        <f>INDEX('Agri_land '!$E:$ZZ, MATCH(A192, 'Agri_land '!$C:$C, 0), MATCH(B192, 'Agri_land '!$E$1:$ZZ$1, 0))</f>
        <v>37.641279855790899</v>
      </c>
      <c r="J192">
        <f>INDEX(Cereal_Yield!$E:$ZZ, MATCH(A192, Cereal_Yield!$C:$C, 0), MATCH(B192, Cereal_Yield!$E$1:$ZZ$1, 0))</f>
        <v>4397.1000000000004</v>
      </c>
    </row>
    <row r="193" spans="1:10" x14ac:dyDescent="0.3">
      <c r="A193" t="s">
        <v>12</v>
      </c>
      <c r="B193" s="4">
        <v>2023</v>
      </c>
      <c r="C193" t="s">
        <v>49</v>
      </c>
      <c r="D193" s="8">
        <f>INDEX(GDP_pc!$E:$ZZ, MATCH(A193, GDP_pc!$C:$C, 0), MATCH(B193, GDP_pc!$E$1:$ZZ$1, 0))</f>
        <v>366291836137.91638</v>
      </c>
      <c r="E193">
        <f>INDEX(CH4_Em!$E:$ZZ, MATCH(A193, CH4_Em!$C:$C, 0), MATCH(B193, CH4_Em!$E$1:$ZZ$1, 0))</f>
        <v>58.737200000000001</v>
      </c>
      <c r="F193">
        <f>INDEX(N2O_Em!$E:$ZZ, MATCH(A193, N2O_Em!$C:$C, 0), MATCH(B193, N2O_Em!$E$1:$ZZ$1, 0))</f>
        <v>15.3575</v>
      </c>
      <c r="G193">
        <f>INDEX(CO2_Em!$E:$ZZ, MATCH(A193, CO2_Em!$C:$C, 0), MATCH(B193, CO2_Em!$E$1:$ZZ$1, 0))</f>
        <v>0.48820000000000002</v>
      </c>
      <c r="H193">
        <f>INDEX(Agri_VA!$E:$ZZ, MATCH(A193, Agri_VA!$C:$C, 0), MATCH(B193, Agri_VA!$E$1:$ZZ$1, 0))</f>
        <v>8.8079229465303346</v>
      </c>
      <c r="I193" s="6">
        <f>INDEX('Agri_land '!$E:$ZZ, MATCH(A193, 'Agri_land '!$C:$C, 0), MATCH(B193, 'Agri_land '!$E$1:$ZZ$1, 0))</f>
        <v>36.487607030193779</v>
      </c>
      <c r="J193">
        <f>INDEX(Cereal_Yield!$E:$ZZ, MATCH(A193, Cereal_Yield!$C:$C, 0), MATCH(B193, Cereal_Yield!$E$1:$ZZ$1, 0))</f>
        <v>4333.1000000000004</v>
      </c>
    </row>
    <row r="194" spans="1:10" x14ac:dyDescent="0.3">
      <c r="A194" t="s">
        <v>13</v>
      </c>
      <c r="B194" s="4">
        <v>2000</v>
      </c>
      <c r="C194" t="s">
        <v>49</v>
      </c>
      <c r="D194" s="8">
        <f>INDEX(GDP_pc!$E:$ZZ, MATCH(A194, GDP_pc!$C:$C, 0), MATCH(B194, GDP_pc!$E$1:$ZZ$1, 0))</f>
        <v>15013629661.896881</v>
      </c>
      <c r="E194">
        <f>INDEX(CH4_Em!$E:$ZZ, MATCH(A194, CH4_Em!$C:$C, 0), MATCH(B194, CH4_Em!$E$1:$ZZ$1, 0))</f>
        <v>3.0602999999999998</v>
      </c>
      <c r="F194">
        <f>INDEX(N2O_Em!$E:$ZZ, MATCH(A194, N2O_Em!$C:$C, 0), MATCH(B194, N2O_Em!$E$1:$ZZ$1, 0))</f>
        <v>1.0568</v>
      </c>
      <c r="G194">
        <f>INDEX(CO2_Em!$E:$ZZ, MATCH(A194, CO2_Em!$C:$C, 0), MATCH(B194, CO2_Em!$E$1:$ZZ$1, 0))</f>
        <v>0.11940000000000001</v>
      </c>
      <c r="H194">
        <f>INDEX(Agri_VA!$E:$ZZ, MATCH(A194, Agri_VA!$C:$C, 0), MATCH(B194, Agri_VA!$E$1:$ZZ$1, 0))</f>
        <v>9.2488231853434506</v>
      </c>
      <c r="I194" s="6">
        <f>INDEX('Agri_land '!$E:$ZZ, MATCH(A194, 'Agri_land '!$C:$C, 0), MATCH(B194, 'Agri_land '!$E$1:$ZZ$1, 0))</f>
        <v>36.036036036036037</v>
      </c>
      <c r="J194">
        <f>INDEX(Cereal_Yield!$E:$ZZ, MATCH(A194, Cereal_Yield!$C:$C, 0), MATCH(B194, Cereal_Yield!$E$1:$ZZ$1, 0))</f>
        <v>3626.2</v>
      </c>
    </row>
    <row r="195" spans="1:10" x14ac:dyDescent="0.3">
      <c r="A195" t="s">
        <v>13</v>
      </c>
      <c r="B195" s="4">
        <v>2001</v>
      </c>
      <c r="C195" t="s">
        <v>49</v>
      </c>
      <c r="D195" s="8">
        <f>INDEX(GDP_pc!$E:$ZZ, MATCH(A195, GDP_pc!$C:$C, 0), MATCH(B195, GDP_pc!$E$1:$ZZ$1, 0))</f>
        <v>15976174336.972055</v>
      </c>
      <c r="E195">
        <f>INDEX(CH4_Em!$E:$ZZ, MATCH(A195, CH4_Em!$C:$C, 0), MATCH(B195, CH4_Em!$E$1:$ZZ$1, 0))</f>
        <v>2.8898999999999999</v>
      </c>
      <c r="F195">
        <f>INDEX(N2O_Em!$E:$ZZ, MATCH(A195, N2O_Em!$C:$C, 0), MATCH(B195, N2O_Em!$E$1:$ZZ$1, 0))</f>
        <v>0.91739999999999999</v>
      </c>
      <c r="G195">
        <f>INDEX(CO2_Em!$E:$ZZ, MATCH(A195, CO2_Em!$C:$C, 0), MATCH(B195, CO2_Em!$E$1:$ZZ$1, 0))</f>
        <v>8.4900000000000003E-2</v>
      </c>
      <c r="H195">
        <f>INDEX(Agri_VA!$E:$ZZ, MATCH(A195, Agri_VA!$C:$C, 0), MATCH(B195, Agri_VA!$E$1:$ZZ$1, 0))</f>
        <v>8.3795362700738369</v>
      </c>
      <c r="I195" s="6">
        <f>INDEX('Agri_land '!$E:$ZZ, MATCH(A195, 'Agri_land '!$C:$C, 0), MATCH(B195, 'Agri_land '!$E$1:$ZZ$1, 0))</f>
        <v>35.89894242068155</v>
      </c>
      <c r="J195">
        <f>INDEX(Cereal_Yield!$E:$ZZ, MATCH(A195, Cereal_Yield!$C:$C, 0), MATCH(B195, Cereal_Yield!$E$1:$ZZ$1, 0))</f>
        <v>3549.6</v>
      </c>
    </row>
    <row r="196" spans="1:10" x14ac:dyDescent="0.3">
      <c r="A196" t="s">
        <v>13</v>
      </c>
      <c r="B196" s="4">
        <v>2002</v>
      </c>
      <c r="C196" t="s">
        <v>49</v>
      </c>
      <c r="D196" s="8">
        <f>INDEX(GDP_pc!$E:$ZZ, MATCH(A196, GDP_pc!$C:$C, 0), MATCH(B196, GDP_pc!$E$1:$ZZ$1, 0))</f>
        <v>16578820687.28809</v>
      </c>
      <c r="E196">
        <f>INDEX(CH4_Em!$E:$ZZ, MATCH(A196, CH4_Em!$C:$C, 0), MATCH(B196, CH4_Em!$E$1:$ZZ$1, 0))</f>
        <v>2.7338</v>
      </c>
      <c r="F196">
        <f>INDEX(N2O_Em!$E:$ZZ, MATCH(A196, N2O_Em!$C:$C, 0), MATCH(B196, N2O_Em!$E$1:$ZZ$1, 0))</f>
        <v>0.87760000000000005</v>
      </c>
      <c r="G196">
        <f>INDEX(CO2_Em!$E:$ZZ, MATCH(A196, CO2_Em!$C:$C, 0), MATCH(B196, CO2_Em!$E$1:$ZZ$1, 0))</f>
        <v>6.2899999999999998E-2</v>
      </c>
      <c r="H196">
        <f>INDEX(Agri_VA!$E:$ZZ, MATCH(A196, Agri_VA!$C:$C, 0), MATCH(B196, Agri_VA!$E$1:$ZZ$1, 0))</f>
        <v>8.4277502901843722</v>
      </c>
      <c r="I196" s="6">
        <f>INDEX('Agri_land '!$E:$ZZ, MATCH(A196, 'Agri_land '!$C:$C, 0), MATCH(B196, 'Agri_land '!$E$1:$ZZ$1, 0))</f>
        <v>35.76184880532707</v>
      </c>
      <c r="J196">
        <f>INDEX(Cereal_Yield!$E:$ZZ, MATCH(A196, Cereal_Yield!$C:$C, 0), MATCH(B196, Cereal_Yield!$E$1:$ZZ$1, 0))</f>
        <v>3683.4</v>
      </c>
    </row>
    <row r="197" spans="1:10" x14ac:dyDescent="0.3">
      <c r="A197" t="s">
        <v>13</v>
      </c>
      <c r="B197" s="4">
        <v>2003</v>
      </c>
      <c r="C197" t="s">
        <v>49</v>
      </c>
      <c r="D197" s="8">
        <f>INDEX(GDP_pc!$E:$ZZ, MATCH(A197, GDP_pc!$C:$C, 0), MATCH(B197, GDP_pc!$E$1:$ZZ$1, 0))</f>
        <v>17271760506.948277</v>
      </c>
      <c r="E197">
        <f>INDEX(CH4_Em!$E:$ZZ, MATCH(A197, CH4_Em!$C:$C, 0), MATCH(B197, CH4_Em!$E$1:$ZZ$1, 0))</f>
        <v>2.6520999999999999</v>
      </c>
      <c r="F197">
        <f>INDEX(N2O_Em!$E:$ZZ, MATCH(A197, N2O_Em!$C:$C, 0), MATCH(B197, N2O_Em!$E$1:$ZZ$1, 0))</f>
        <v>0.85799999999999998</v>
      </c>
      <c r="G197">
        <f>INDEX(CO2_Em!$E:$ZZ, MATCH(A197, CO2_Em!$C:$C, 0), MATCH(B197, CO2_Em!$E$1:$ZZ$1, 0))</f>
        <v>4.6699999999999998E-2</v>
      </c>
      <c r="H197">
        <f>INDEX(Agri_VA!$E:$ZZ, MATCH(A197, Agri_VA!$C:$C, 0), MATCH(B197, Agri_VA!$E$1:$ZZ$1, 0))</f>
        <v>8.8400780087151354</v>
      </c>
      <c r="I197" s="6">
        <f>INDEX('Agri_land '!$E:$ZZ, MATCH(A197, 'Agri_land '!$C:$C, 0), MATCH(B197, 'Agri_land '!$E$1:$ZZ$1, 0))</f>
        <v>35.82060321190756</v>
      </c>
      <c r="J197">
        <f>INDEX(Cereal_Yield!$E:$ZZ, MATCH(A197, Cereal_Yield!$C:$C, 0), MATCH(B197, Cereal_Yield!$E$1:$ZZ$1, 0))</f>
        <v>3171.4</v>
      </c>
    </row>
    <row r="198" spans="1:10" x14ac:dyDescent="0.3">
      <c r="A198" t="s">
        <v>13</v>
      </c>
      <c r="B198" s="4">
        <v>2004</v>
      </c>
      <c r="C198" t="s">
        <v>49</v>
      </c>
      <c r="D198" s="8">
        <f>INDEX(GDP_pc!$E:$ZZ, MATCH(A198, GDP_pc!$C:$C, 0), MATCH(B198, GDP_pc!$E$1:$ZZ$1, 0))</f>
        <v>18610594846.208298</v>
      </c>
      <c r="E198">
        <f>INDEX(CH4_Em!$E:$ZZ, MATCH(A198, CH4_Em!$C:$C, 0), MATCH(B198, CH4_Em!$E$1:$ZZ$1, 0))</f>
        <v>2.5636999999999999</v>
      </c>
      <c r="F198">
        <f>INDEX(N2O_Em!$E:$ZZ, MATCH(A198, N2O_Em!$C:$C, 0), MATCH(B198, N2O_Em!$E$1:$ZZ$1, 0))</f>
        <v>0.97070000000000001</v>
      </c>
      <c r="G198">
        <f>INDEX(CO2_Em!$E:$ZZ, MATCH(A198, CO2_Em!$C:$C, 0), MATCH(B198, CO2_Em!$E$1:$ZZ$1, 0))</f>
        <v>8.6099999999999996E-2</v>
      </c>
      <c r="H198">
        <f>INDEX(Agri_VA!$E:$ZZ, MATCH(A198, Agri_VA!$C:$C, 0), MATCH(B198, Agri_VA!$E$1:$ZZ$1, 0))</f>
        <v>8.8524087680023769</v>
      </c>
      <c r="I198" s="6">
        <f>INDEX('Agri_land '!$E:$ZZ, MATCH(A198, 'Agri_land '!$C:$C, 0), MATCH(B198, 'Agri_land '!$E$1:$ZZ$1, 0))</f>
        <v>35.683509596553073</v>
      </c>
      <c r="J198">
        <f>INDEX(Cereal_Yield!$E:$ZZ, MATCH(A198, Cereal_Yield!$C:$C, 0), MATCH(B198, Cereal_Yield!$E$1:$ZZ$1, 0))</f>
        <v>3059.4</v>
      </c>
    </row>
    <row r="199" spans="1:10" x14ac:dyDescent="0.3">
      <c r="A199" t="s">
        <v>13</v>
      </c>
      <c r="B199" s="4">
        <v>2005</v>
      </c>
      <c r="C199" t="s">
        <v>49</v>
      </c>
      <c r="D199" s="8">
        <f>INDEX(GDP_pc!$E:$ZZ, MATCH(A199, GDP_pc!$C:$C, 0), MATCH(B199, GDP_pc!$E$1:$ZZ$1, 0))</f>
        <v>20040642476.98167</v>
      </c>
      <c r="E199">
        <f>INDEX(CH4_Em!$E:$ZZ, MATCH(A199, CH4_Em!$C:$C, 0), MATCH(B199, CH4_Em!$E$1:$ZZ$1, 0))</f>
        <v>2.6796000000000002</v>
      </c>
      <c r="F199">
        <f>INDEX(N2O_Em!$E:$ZZ, MATCH(A199, N2O_Em!$C:$C, 0), MATCH(B199, N2O_Em!$E$1:$ZZ$1, 0))</f>
        <v>0.96809999999999996</v>
      </c>
      <c r="G199">
        <f>INDEX(CO2_Em!$E:$ZZ, MATCH(A199, CO2_Em!$C:$C, 0), MATCH(B199, CO2_Em!$E$1:$ZZ$1, 0))</f>
        <v>0.1</v>
      </c>
      <c r="H199">
        <f>INDEX(Agri_VA!$E:$ZZ, MATCH(A199, Agri_VA!$C:$C, 0), MATCH(B199, Agri_VA!$E$1:$ZZ$1, 0))</f>
        <v>8.6222369462672663</v>
      </c>
      <c r="I199" s="6">
        <f>INDEX('Agri_land '!$E:$ZZ, MATCH(A199, 'Agri_land '!$C:$C, 0), MATCH(B199, 'Agri_land '!$E$1:$ZZ$1, 0))</f>
        <v>35.350567959263614</v>
      </c>
      <c r="J199">
        <f>INDEX(Cereal_Yield!$E:$ZZ, MATCH(A199, Cereal_Yield!$C:$C, 0), MATCH(B199, Cereal_Yield!$E$1:$ZZ$1, 0))</f>
        <v>3189.1</v>
      </c>
    </row>
    <row r="200" spans="1:10" x14ac:dyDescent="0.3">
      <c r="A200" t="s">
        <v>13</v>
      </c>
      <c r="B200" s="4">
        <v>2006</v>
      </c>
      <c r="C200" t="s">
        <v>49</v>
      </c>
      <c r="D200" s="8">
        <f>INDEX(GDP_pc!$E:$ZZ, MATCH(A200, GDP_pc!$C:$C, 0), MATCH(B200, GDP_pc!$E$1:$ZZ$1, 0))</f>
        <v>22715540324.303177</v>
      </c>
      <c r="E200">
        <f>INDEX(CH4_Em!$E:$ZZ, MATCH(A200, CH4_Em!$C:$C, 0), MATCH(B200, CH4_Em!$E$1:$ZZ$1, 0))</f>
        <v>2.5771000000000002</v>
      </c>
      <c r="F200">
        <f>INDEX(N2O_Em!$E:$ZZ, MATCH(A200, N2O_Em!$C:$C, 0), MATCH(B200, N2O_Em!$E$1:$ZZ$1, 0))</f>
        <v>0.98099999999999998</v>
      </c>
      <c r="G200">
        <f>INDEX(CO2_Em!$E:$ZZ, MATCH(A200, CO2_Em!$C:$C, 0), MATCH(B200, CO2_Em!$E$1:$ZZ$1, 0))</f>
        <v>0.1205</v>
      </c>
      <c r="H200">
        <f>INDEX(Agri_VA!$E:$ZZ, MATCH(A200, Agri_VA!$C:$C, 0), MATCH(B200, Agri_VA!$E$1:$ZZ$1, 0))</f>
        <v>8.4298281970663353</v>
      </c>
      <c r="I200" s="6">
        <f>INDEX('Agri_land '!$E:$ZZ, MATCH(A200, 'Agri_land '!$C:$C, 0), MATCH(B200, 'Agri_land '!$E$1:$ZZ$1, 0))</f>
        <v>35.546415981198592</v>
      </c>
      <c r="J200">
        <f>INDEX(Cereal_Yield!$E:$ZZ, MATCH(A200, Cereal_Yield!$C:$C, 0), MATCH(B200, Cereal_Yield!$E$1:$ZZ$1, 0))</f>
        <v>3759</v>
      </c>
    </row>
    <row r="201" spans="1:10" x14ac:dyDescent="0.3">
      <c r="A201" t="s">
        <v>13</v>
      </c>
      <c r="B201" s="4">
        <v>2007</v>
      </c>
      <c r="C201" t="s">
        <v>49</v>
      </c>
      <c r="D201" s="8">
        <f>INDEX(GDP_pc!$E:$ZZ, MATCH(A201, GDP_pc!$C:$C, 0), MATCH(B201, GDP_pc!$E$1:$ZZ$1, 0))</f>
        <v>26884700709.314575</v>
      </c>
      <c r="E201">
        <f>INDEX(CH4_Em!$E:$ZZ, MATCH(A201, CH4_Em!$C:$C, 0), MATCH(B201, CH4_Em!$E$1:$ZZ$1, 0))</f>
        <v>2.7618999999999998</v>
      </c>
      <c r="F201">
        <f>INDEX(N2O_Em!$E:$ZZ, MATCH(A201, N2O_Em!$C:$C, 0), MATCH(B201, N2O_Em!$E$1:$ZZ$1, 0))</f>
        <v>1.0242</v>
      </c>
      <c r="G201">
        <f>INDEX(CO2_Em!$E:$ZZ, MATCH(A201, CO2_Em!$C:$C, 0), MATCH(B201, CO2_Em!$E$1:$ZZ$1, 0))</f>
        <v>0.1079</v>
      </c>
      <c r="H201">
        <f>INDEX(Agri_VA!$E:$ZZ, MATCH(A201, Agri_VA!$C:$C, 0), MATCH(B201, Agri_VA!$E$1:$ZZ$1, 0))</f>
        <v>7.9153110434290337</v>
      </c>
      <c r="I201" s="6">
        <f>INDEX('Agri_land '!$E:$ZZ, MATCH(A201, 'Agri_land '!$C:$C, 0), MATCH(B201, 'Agri_land '!$E$1:$ZZ$1, 0))</f>
        <v>35.252643948296118</v>
      </c>
      <c r="J201">
        <f>INDEX(Cereal_Yield!$E:$ZZ, MATCH(A201, Cereal_Yield!$C:$C, 0), MATCH(B201, Cereal_Yield!$E$1:$ZZ$1, 0))</f>
        <v>3538.2</v>
      </c>
    </row>
    <row r="202" spans="1:10" x14ac:dyDescent="0.3">
      <c r="A202" t="s">
        <v>13</v>
      </c>
      <c r="B202" s="4">
        <v>2008</v>
      </c>
      <c r="C202" t="s">
        <v>49</v>
      </c>
      <c r="D202" s="8">
        <f>INDEX(GDP_pc!$E:$ZZ, MATCH(A202, GDP_pc!$C:$C, 0), MATCH(B202, GDP_pc!$E$1:$ZZ$1, 0))</f>
        <v>30801745700.451355</v>
      </c>
      <c r="E202">
        <f>INDEX(CH4_Em!$E:$ZZ, MATCH(A202, CH4_Em!$C:$C, 0), MATCH(B202, CH4_Em!$E$1:$ZZ$1, 0))</f>
        <v>2.9651999999999998</v>
      </c>
      <c r="F202">
        <f>INDEX(N2O_Em!$E:$ZZ, MATCH(A202, N2O_Em!$C:$C, 0), MATCH(B202, N2O_Em!$E$1:$ZZ$1, 0))</f>
        <v>1.0405</v>
      </c>
      <c r="G202">
        <f>INDEX(CO2_Em!$E:$ZZ, MATCH(A202, CO2_Em!$C:$C, 0), MATCH(B202, CO2_Em!$E$1:$ZZ$1, 0))</f>
        <v>0.12230000000000001</v>
      </c>
      <c r="H202">
        <f>INDEX(Agri_VA!$E:$ZZ, MATCH(A202, Agri_VA!$C:$C, 0), MATCH(B202, Agri_VA!$E$1:$ZZ$1, 0))</f>
        <v>6.9769604693420515</v>
      </c>
      <c r="I202" s="6">
        <f>INDEX('Agri_land '!$E:$ZZ, MATCH(A202, 'Agri_land '!$C:$C, 0), MATCH(B202, 'Agri_land '!$E$1:$ZZ$1, 0))</f>
        <v>35.115550332941638</v>
      </c>
      <c r="J202">
        <f>INDEX(Cereal_Yield!$E:$ZZ, MATCH(A202, Cereal_Yield!$C:$C, 0), MATCH(B202, Cereal_Yield!$E$1:$ZZ$1, 0))</f>
        <v>3814.3</v>
      </c>
    </row>
    <row r="203" spans="1:10" x14ac:dyDescent="0.3">
      <c r="A203" t="s">
        <v>13</v>
      </c>
      <c r="B203" s="4">
        <v>2009</v>
      </c>
      <c r="C203" t="s">
        <v>49</v>
      </c>
      <c r="D203" s="8">
        <f>INDEX(GDP_pc!$E:$ZZ, MATCH(A203, GDP_pc!$C:$C, 0), MATCH(B203, GDP_pc!$E$1:$ZZ$1, 0))</f>
        <v>30745714312.641666</v>
      </c>
      <c r="E203">
        <f>INDEX(CH4_Em!$E:$ZZ, MATCH(A203, CH4_Em!$C:$C, 0), MATCH(B203, CH4_Em!$E$1:$ZZ$1, 0))</f>
        <v>3.0329000000000002</v>
      </c>
      <c r="F203">
        <f>INDEX(N2O_Em!$E:$ZZ, MATCH(A203, N2O_Em!$C:$C, 0), MATCH(B203, N2O_Em!$E$1:$ZZ$1, 0))</f>
        <v>1.0762</v>
      </c>
      <c r="G203">
        <f>INDEX(CO2_Em!$E:$ZZ, MATCH(A203, CO2_Em!$C:$C, 0), MATCH(B203, CO2_Em!$E$1:$ZZ$1, 0))</f>
        <v>0.1179</v>
      </c>
      <c r="H203">
        <f>INDEX(Agri_VA!$E:$ZZ, MATCH(A203, Agri_VA!$C:$C, 0), MATCH(B203, Agri_VA!$E$1:$ZZ$1, 0))</f>
        <v>7.0496297006620789</v>
      </c>
      <c r="I203" s="6">
        <f>INDEX('Agri_land '!$E:$ZZ, MATCH(A203, 'Agri_land '!$C:$C, 0), MATCH(B203, 'Agri_land '!$E$1:$ZZ$1, 0))</f>
        <v>35.566000783392084</v>
      </c>
      <c r="J203">
        <f>INDEX(Cereal_Yield!$E:$ZZ, MATCH(A203, Cereal_Yield!$C:$C, 0), MATCH(B203, Cereal_Yield!$E$1:$ZZ$1, 0))</f>
        <v>3790.7</v>
      </c>
    </row>
    <row r="204" spans="1:10" x14ac:dyDescent="0.3">
      <c r="A204" t="s">
        <v>13</v>
      </c>
      <c r="B204" s="4">
        <v>2010</v>
      </c>
      <c r="C204" t="s">
        <v>49</v>
      </c>
      <c r="D204" s="8">
        <f>INDEX(GDP_pc!$E:$ZZ, MATCH(A204, GDP_pc!$C:$C, 0), MATCH(B204, GDP_pc!$E$1:$ZZ$1, 0))</f>
        <v>37658616951.803787</v>
      </c>
      <c r="E204">
        <f>INDEX(CH4_Em!$E:$ZZ, MATCH(A204, CH4_Em!$C:$C, 0), MATCH(B204, CH4_Em!$E$1:$ZZ$1, 0))</f>
        <v>3.1757</v>
      </c>
      <c r="F204">
        <f>INDEX(N2O_Em!$E:$ZZ, MATCH(A204, N2O_Em!$C:$C, 0), MATCH(B204, N2O_Em!$E$1:$ZZ$1, 0))</f>
        <v>1.0958000000000001</v>
      </c>
      <c r="G204">
        <f>INDEX(CO2_Em!$E:$ZZ, MATCH(A204, CO2_Em!$C:$C, 0), MATCH(B204, CO2_Em!$E$1:$ZZ$1, 0))</f>
        <v>9.7000000000000003E-2</v>
      </c>
      <c r="H204">
        <f>INDEX(Agri_VA!$E:$ZZ, MATCH(A204, Agri_VA!$C:$C, 0), MATCH(B204, Agri_VA!$E$1:$ZZ$1, 0))</f>
        <v>6.4851894083594663</v>
      </c>
      <c r="I204" s="6">
        <f>INDEX('Agri_land '!$E:$ZZ, MATCH(A204, 'Agri_land '!$C:$C, 0), MATCH(B204, 'Agri_land '!$E$1:$ZZ$1, 0))</f>
        <v>35.624755189972582</v>
      </c>
      <c r="J204">
        <f>INDEX(Cereal_Yield!$E:$ZZ, MATCH(A204, Cereal_Yield!$C:$C, 0), MATCH(B204, Cereal_Yield!$E$1:$ZZ$1, 0))</f>
        <v>3199.2</v>
      </c>
    </row>
    <row r="205" spans="1:10" x14ac:dyDescent="0.3">
      <c r="A205" t="s">
        <v>13</v>
      </c>
      <c r="B205" s="4">
        <v>2011</v>
      </c>
      <c r="C205" t="s">
        <v>49</v>
      </c>
      <c r="D205" s="8">
        <f>INDEX(GDP_pc!$E:$ZZ, MATCH(A205, GDP_pc!$C:$C, 0), MATCH(B205, GDP_pc!$E$1:$ZZ$1, 0))</f>
        <v>42762613698.963562</v>
      </c>
      <c r="E205">
        <f>INDEX(CH4_Em!$E:$ZZ, MATCH(A205, CH4_Em!$C:$C, 0), MATCH(B205, CH4_Em!$E$1:$ZZ$1, 0))</f>
        <v>3.2073999999999998</v>
      </c>
      <c r="F205">
        <f>INDEX(N2O_Em!$E:$ZZ, MATCH(A205, N2O_Em!$C:$C, 0), MATCH(B205, N2O_Em!$E$1:$ZZ$1, 0))</f>
        <v>1.2528999999999999</v>
      </c>
      <c r="G205">
        <f>INDEX(CO2_Em!$E:$ZZ, MATCH(A205, CO2_Em!$C:$C, 0), MATCH(B205, CO2_Em!$E$1:$ZZ$1, 0))</f>
        <v>0.21920000000000001</v>
      </c>
      <c r="H205">
        <f>INDEX(Agri_VA!$E:$ZZ, MATCH(A205, Agri_VA!$C:$C, 0), MATCH(B205, Agri_VA!$E$1:$ZZ$1, 0))</f>
        <v>5.5998721223086099</v>
      </c>
      <c r="I205" s="6">
        <f>INDEX('Agri_land '!$E:$ZZ, MATCH(A205, 'Agri_land '!$C:$C, 0), MATCH(B205, 'Agri_land '!$E$1:$ZZ$1, 0))</f>
        <v>35.624755189972582</v>
      </c>
      <c r="J205">
        <f>INDEX(Cereal_Yield!$E:$ZZ, MATCH(A205, Cereal_Yield!$C:$C, 0), MATCH(B205, Cereal_Yield!$E$1:$ZZ$1, 0))</f>
        <v>3418.9</v>
      </c>
    </row>
    <row r="206" spans="1:10" x14ac:dyDescent="0.3">
      <c r="A206" t="s">
        <v>13</v>
      </c>
      <c r="B206" s="4">
        <v>2012</v>
      </c>
      <c r="C206" t="s">
        <v>49</v>
      </c>
      <c r="D206" s="8">
        <f>INDEX(GDP_pc!$E:$ZZ, MATCH(A206, GDP_pc!$C:$C, 0), MATCH(B206, GDP_pc!$E$1:$ZZ$1, 0))</f>
        <v>47231655431.735451</v>
      </c>
      <c r="E206">
        <f>INDEX(CH4_Em!$E:$ZZ, MATCH(A206, CH4_Em!$C:$C, 0), MATCH(B206, CH4_Em!$E$1:$ZZ$1, 0))</f>
        <v>2.9874999999999998</v>
      </c>
      <c r="F206">
        <f>INDEX(N2O_Em!$E:$ZZ, MATCH(A206, N2O_Em!$C:$C, 0), MATCH(B206, N2O_Em!$E$1:$ZZ$1, 0))</f>
        <v>1.095</v>
      </c>
      <c r="G206">
        <f>INDEX(CO2_Em!$E:$ZZ, MATCH(A206, CO2_Em!$C:$C, 0), MATCH(B206, CO2_Em!$E$1:$ZZ$1, 0))</f>
        <v>0.15060000000000001</v>
      </c>
      <c r="H206">
        <f>INDEX(Agri_VA!$E:$ZZ, MATCH(A206, Agri_VA!$C:$C, 0), MATCH(B206, Agri_VA!$E$1:$ZZ$1, 0))</f>
        <v>5.1308419142905901</v>
      </c>
      <c r="I206" s="6">
        <f>INDEX('Agri_land '!$E:$ZZ, MATCH(A206, 'Agri_land '!$C:$C, 0), MATCH(B206, 'Agri_land '!$E$1:$ZZ$1, 0))</f>
        <v>35.487661574618095</v>
      </c>
      <c r="J206">
        <f>INDEX(Cereal_Yield!$E:$ZZ, MATCH(A206, Cereal_Yield!$C:$C, 0), MATCH(B206, Cereal_Yield!$E$1:$ZZ$1, 0))</f>
        <v>3621.5</v>
      </c>
    </row>
    <row r="207" spans="1:10" x14ac:dyDescent="0.3">
      <c r="A207" t="s">
        <v>13</v>
      </c>
      <c r="B207" s="4">
        <v>2013</v>
      </c>
      <c r="C207" t="s">
        <v>49</v>
      </c>
      <c r="D207" s="8">
        <f>INDEX(GDP_pc!$E:$ZZ, MATCH(A207, GDP_pc!$C:$C, 0), MATCH(B207, GDP_pc!$E$1:$ZZ$1, 0))</f>
        <v>50949668841.669609</v>
      </c>
      <c r="E207">
        <f>INDEX(CH4_Em!$E:$ZZ, MATCH(A207, CH4_Em!$C:$C, 0), MATCH(B207, CH4_Em!$E$1:$ZZ$1, 0))</f>
        <v>3.0617999999999999</v>
      </c>
      <c r="F207">
        <f>INDEX(N2O_Em!$E:$ZZ, MATCH(A207, N2O_Em!$C:$C, 0), MATCH(B207, N2O_Em!$E$1:$ZZ$1, 0))</f>
        <v>1.0226</v>
      </c>
      <c r="G207">
        <f>INDEX(CO2_Em!$E:$ZZ, MATCH(A207, CO2_Em!$C:$C, 0), MATCH(B207, CO2_Em!$E$1:$ZZ$1, 0))</f>
        <v>0.10100000000000001</v>
      </c>
      <c r="H207">
        <f>INDEX(Agri_VA!$E:$ZZ, MATCH(A207, Agri_VA!$C:$C, 0), MATCH(B207, Agri_VA!$E$1:$ZZ$1, 0))</f>
        <v>4.783350932948526</v>
      </c>
      <c r="I207" s="6">
        <f>INDEX('Agri_land '!$E:$ZZ, MATCH(A207, 'Agri_land '!$C:$C, 0), MATCH(B207, 'Agri_land '!$E$1:$ZZ$1, 0))</f>
        <v>35.272228750489617</v>
      </c>
      <c r="J207">
        <f>INDEX(Cereal_Yield!$E:$ZZ, MATCH(A207, Cereal_Yield!$C:$C, 0), MATCH(B207, Cereal_Yield!$E$1:$ZZ$1, 0))</f>
        <v>3283.3</v>
      </c>
    </row>
    <row r="208" spans="1:10" x14ac:dyDescent="0.3">
      <c r="A208" t="s">
        <v>13</v>
      </c>
      <c r="B208" s="4">
        <v>2014</v>
      </c>
      <c r="C208" t="s">
        <v>49</v>
      </c>
      <c r="D208" s="8">
        <f>INDEX(GDP_pc!$E:$ZZ, MATCH(A208, GDP_pc!$C:$C, 0), MATCH(B208, GDP_pc!$E$1:$ZZ$1, 0))</f>
        <v>52016408854.265839</v>
      </c>
      <c r="E208">
        <f>INDEX(CH4_Em!$E:$ZZ, MATCH(A208, CH4_Em!$C:$C, 0), MATCH(B208, CH4_Em!$E$1:$ZZ$1, 0))</f>
        <v>2.9377</v>
      </c>
      <c r="F208">
        <f>INDEX(N2O_Em!$E:$ZZ, MATCH(A208, N2O_Em!$C:$C, 0), MATCH(B208, N2O_Em!$E$1:$ZZ$1, 0))</f>
        <v>1.2109000000000001</v>
      </c>
      <c r="G208">
        <f>INDEX(CO2_Em!$E:$ZZ, MATCH(A208, CO2_Em!$C:$C, 0), MATCH(B208, CO2_Em!$E$1:$ZZ$1, 0))</f>
        <v>0.15970000000000001</v>
      </c>
      <c r="H208">
        <f>INDEX(Agri_VA!$E:$ZZ, MATCH(A208, Agri_VA!$C:$C, 0), MATCH(B208, Agri_VA!$E$1:$ZZ$1, 0))</f>
        <v>4.8878837898313936</v>
      </c>
      <c r="I208" s="6">
        <f>INDEX('Agri_land '!$E:$ZZ, MATCH(A208, 'Agri_land '!$C:$C, 0), MATCH(B208, 'Agri_land '!$E$1:$ZZ$1, 0))</f>
        <v>34.958871915393651</v>
      </c>
      <c r="J208">
        <f>INDEX(Cereal_Yield!$E:$ZZ, MATCH(A208, Cereal_Yield!$C:$C, 0), MATCH(B208, Cereal_Yield!$E$1:$ZZ$1, 0))</f>
        <v>4497.5</v>
      </c>
    </row>
    <row r="209" spans="1:10" x14ac:dyDescent="0.3">
      <c r="A209" t="s">
        <v>13</v>
      </c>
      <c r="B209" s="4">
        <v>2015</v>
      </c>
      <c r="C209" t="s">
        <v>49</v>
      </c>
      <c r="D209" s="8">
        <f>INDEX(GDP_pc!$E:$ZZ, MATCH(A209, GDP_pc!$C:$C, 0), MATCH(B209, GDP_pc!$E$1:$ZZ$1, 0))</f>
        <v>56441920820.519424</v>
      </c>
      <c r="E209">
        <f>INDEX(CH4_Em!$E:$ZZ, MATCH(A209, CH4_Em!$C:$C, 0), MATCH(B209, CH4_Em!$E$1:$ZZ$1, 0))</f>
        <v>2.9811999999999999</v>
      </c>
      <c r="F209">
        <f>INDEX(N2O_Em!$E:$ZZ, MATCH(A209, N2O_Em!$C:$C, 0), MATCH(B209, N2O_Em!$E$1:$ZZ$1, 0))</f>
        <v>1.2108000000000001</v>
      </c>
      <c r="G209">
        <f>INDEX(CO2_Em!$E:$ZZ, MATCH(A209, CO2_Em!$C:$C, 0), MATCH(B209, CO2_Em!$E$1:$ZZ$1, 0))</f>
        <v>0.16569999999999999</v>
      </c>
      <c r="H209">
        <f>INDEX(Agri_VA!$E:$ZZ, MATCH(A209, Agri_VA!$C:$C, 0), MATCH(B209, Agri_VA!$E$1:$ZZ$1, 0))</f>
        <v>4.7491104290484056</v>
      </c>
      <c r="I209" s="6">
        <f>INDEX('Agri_land '!$E:$ZZ, MATCH(A209, 'Agri_land '!$C:$C, 0), MATCH(B209, 'Agri_land '!$E$1:$ZZ$1, 0))</f>
        <v>34.453366627497061</v>
      </c>
      <c r="J209">
        <f>INDEX(Cereal_Yield!$E:$ZZ, MATCH(A209, Cereal_Yield!$C:$C, 0), MATCH(B209, Cereal_Yield!$E$1:$ZZ$1, 0))</f>
        <v>3831.6</v>
      </c>
    </row>
    <row r="210" spans="1:10" x14ac:dyDescent="0.3">
      <c r="A210" t="s">
        <v>13</v>
      </c>
      <c r="B210" s="4">
        <v>2016</v>
      </c>
      <c r="C210" t="s">
        <v>49</v>
      </c>
      <c r="D210" s="8">
        <f>INDEX(GDP_pc!$E:$ZZ, MATCH(A210, GDP_pc!$C:$C, 0), MATCH(B210, GDP_pc!$E$1:$ZZ$1, 0))</f>
        <v>58847019609.6549</v>
      </c>
      <c r="E210">
        <f>INDEX(CH4_Em!$E:$ZZ, MATCH(A210, CH4_Em!$C:$C, 0), MATCH(B210, CH4_Em!$E$1:$ZZ$1, 0))</f>
        <v>3.1419999999999999</v>
      </c>
      <c r="F210">
        <f>INDEX(N2O_Em!$E:$ZZ, MATCH(A210, N2O_Em!$C:$C, 0), MATCH(B210, N2O_Em!$E$1:$ZZ$1, 0))</f>
        <v>1.2128000000000001</v>
      </c>
      <c r="G210">
        <f>INDEX(CO2_Em!$E:$ZZ, MATCH(A210, CO2_Em!$C:$C, 0), MATCH(B210, CO2_Em!$E$1:$ZZ$1, 0))</f>
        <v>0.16420000000000001</v>
      </c>
      <c r="H210">
        <f>INDEX(Agri_VA!$E:$ZZ, MATCH(A210, Agri_VA!$C:$C, 0), MATCH(B210, Agri_VA!$E$1:$ZZ$1, 0))</f>
        <v>4.9143557868633003</v>
      </c>
      <c r="I210" s="6">
        <f>INDEX('Agri_land '!$E:$ZZ, MATCH(A210, 'Agri_land '!$C:$C, 0), MATCH(B210, 'Agri_land '!$E$1:$ZZ$1, 0))</f>
        <v>34.13107716412064</v>
      </c>
      <c r="J210">
        <f>INDEX(Cereal_Yield!$E:$ZZ, MATCH(A210, Cereal_Yield!$C:$C, 0), MATCH(B210, Cereal_Yield!$E$1:$ZZ$1, 0))</f>
        <v>4026.1</v>
      </c>
    </row>
    <row r="211" spans="1:10" x14ac:dyDescent="0.3">
      <c r="A211" t="s">
        <v>13</v>
      </c>
      <c r="B211" s="4">
        <v>2017</v>
      </c>
      <c r="C211" t="s">
        <v>49</v>
      </c>
      <c r="D211" s="8">
        <f>INDEX(GDP_pc!$E:$ZZ, MATCH(A211, GDP_pc!$C:$C, 0), MATCH(B211, GDP_pc!$E$1:$ZZ$1, 0))</f>
        <v>60516044656.520599</v>
      </c>
      <c r="E211">
        <f>INDEX(CH4_Em!$E:$ZZ, MATCH(A211, CH4_Em!$C:$C, 0), MATCH(B211, CH4_Em!$E$1:$ZZ$1, 0))</f>
        <v>3.2351000000000001</v>
      </c>
      <c r="F211">
        <f>INDEX(N2O_Em!$E:$ZZ, MATCH(A211, N2O_Em!$C:$C, 0), MATCH(B211, N2O_Em!$E$1:$ZZ$1, 0))</f>
        <v>1.2596000000000001</v>
      </c>
      <c r="G211">
        <f>INDEX(CO2_Em!$E:$ZZ, MATCH(A211, CO2_Em!$C:$C, 0), MATCH(B211, CO2_Em!$E$1:$ZZ$1, 0))</f>
        <v>0.15989999999999999</v>
      </c>
      <c r="H211">
        <f>INDEX(Agri_VA!$E:$ZZ, MATCH(A211, Agri_VA!$C:$C, 0), MATCH(B211, Agri_VA!$E$1:$ZZ$1, 0))</f>
        <v>4.6997763315990095</v>
      </c>
      <c r="I211" s="6">
        <f>INDEX('Agri_land '!$E:$ZZ, MATCH(A211, 'Agri_land '!$C:$C, 0), MATCH(B211, 'Agri_land '!$E$1:$ZZ$1, 0))</f>
        <v>33.808787700744219</v>
      </c>
      <c r="J211">
        <f>INDEX(Cereal_Yield!$E:$ZZ, MATCH(A211, Cereal_Yield!$C:$C, 0), MATCH(B211, Cereal_Yield!$E$1:$ZZ$1, 0))</f>
        <v>3731</v>
      </c>
    </row>
    <row r="212" spans="1:10" x14ac:dyDescent="0.3">
      <c r="A212" t="s">
        <v>13</v>
      </c>
      <c r="B212" s="4">
        <v>2018</v>
      </c>
      <c r="C212" t="s">
        <v>49</v>
      </c>
      <c r="D212" s="8">
        <f>INDEX(GDP_pc!$E:$ZZ, MATCH(A212, GDP_pc!$C:$C, 0), MATCH(B212, GDP_pc!$E$1:$ZZ$1, 0))</f>
        <v>62420164991.537445</v>
      </c>
      <c r="E212">
        <f>INDEX(CH4_Em!$E:$ZZ, MATCH(A212, CH4_Em!$C:$C, 0), MATCH(B212, CH4_Em!$E$1:$ZZ$1, 0))</f>
        <v>3.4266999999999999</v>
      </c>
      <c r="F212">
        <f>INDEX(N2O_Em!$E:$ZZ, MATCH(A212, N2O_Em!$C:$C, 0), MATCH(B212, N2O_Em!$E$1:$ZZ$1, 0))</f>
        <v>1.4534</v>
      </c>
      <c r="G212">
        <f>INDEX(CO2_Em!$E:$ZZ, MATCH(A212, CO2_Em!$C:$C, 0), MATCH(B212, CO2_Em!$E$1:$ZZ$1, 0))</f>
        <v>0.22040000000000001</v>
      </c>
      <c r="H212">
        <f>INDEX(Agri_VA!$E:$ZZ, MATCH(A212, Agri_VA!$C:$C, 0), MATCH(B212, Agri_VA!$E$1:$ZZ$1, 0))</f>
        <v>4.4838283372217305</v>
      </c>
      <c r="I212" s="6">
        <f>INDEX('Agri_land '!$E:$ZZ, MATCH(A212, 'Agri_land '!$C:$C, 0), MATCH(B212, 'Agri_land '!$E$1:$ZZ$1, 0))</f>
        <v>33.71964943204074</v>
      </c>
      <c r="J212">
        <f>INDEX(Cereal_Yield!$E:$ZZ, MATCH(A212, Cereal_Yield!$C:$C, 0), MATCH(B212, Cereal_Yield!$E$1:$ZZ$1, 0))</f>
        <v>4210.1000000000004</v>
      </c>
    </row>
    <row r="213" spans="1:10" x14ac:dyDescent="0.3">
      <c r="A213" t="s">
        <v>13</v>
      </c>
      <c r="B213" s="4">
        <v>2019</v>
      </c>
      <c r="C213" t="s">
        <v>49</v>
      </c>
      <c r="D213" s="8">
        <f>INDEX(GDP_pc!$E:$ZZ, MATCH(A213, GDP_pc!$C:$C, 0), MATCH(B213, GDP_pc!$E$1:$ZZ$1, 0))</f>
        <v>64417670521.354507</v>
      </c>
      <c r="E213">
        <f>INDEX(CH4_Em!$E:$ZZ, MATCH(A213, CH4_Em!$C:$C, 0), MATCH(B213, CH4_Em!$E$1:$ZZ$1, 0))</f>
        <v>3.4990999999999999</v>
      </c>
      <c r="F213">
        <f>INDEX(N2O_Em!$E:$ZZ, MATCH(A213, N2O_Em!$C:$C, 0), MATCH(B213, N2O_Em!$E$1:$ZZ$1, 0))</f>
        <v>1.4178999999999999</v>
      </c>
      <c r="G213">
        <f>INDEX(CO2_Em!$E:$ZZ, MATCH(A213, CO2_Em!$C:$C, 0), MATCH(B213, CO2_Em!$E$1:$ZZ$1, 0))</f>
        <v>0.18940000000000001</v>
      </c>
      <c r="H213">
        <f>INDEX(Agri_VA!$E:$ZZ, MATCH(A213, Agri_VA!$C:$C, 0), MATCH(B213, Agri_VA!$E$1:$ZZ$1, 0))</f>
        <v>4.2020511630246453</v>
      </c>
      <c r="I213" s="6">
        <f>INDEX('Agri_land '!$E:$ZZ, MATCH(A213, 'Agri_land '!$C:$C, 0), MATCH(B213, 'Agri_land '!$E$1:$ZZ$1, 0))</f>
        <v>33.630513121817465</v>
      </c>
      <c r="J213">
        <f>INDEX(Cereal_Yield!$E:$ZZ, MATCH(A213, Cereal_Yield!$C:$C, 0), MATCH(B213, Cereal_Yield!$E$1:$ZZ$1, 0))</f>
        <v>4052.4</v>
      </c>
    </row>
    <row r="214" spans="1:10" x14ac:dyDescent="0.3">
      <c r="A214" t="s">
        <v>13</v>
      </c>
      <c r="B214" s="4">
        <v>2020</v>
      </c>
      <c r="C214" t="s">
        <v>49</v>
      </c>
      <c r="D214" s="8">
        <f>INDEX(GDP_pc!$E:$ZZ, MATCH(A214, GDP_pc!$C:$C, 0), MATCH(B214, GDP_pc!$E$1:$ZZ$1, 0))</f>
        <v>62395610760.04924</v>
      </c>
      <c r="E214">
        <f>INDEX(CH4_Em!$E:$ZZ, MATCH(A214, CH4_Em!$C:$C, 0), MATCH(B214, CH4_Em!$E$1:$ZZ$1, 0))</f>
        <v>3.1261999999999999</v>
      </c>
      <c r="F214">
        <f>INDEX(N2O_Em!$E:$ZZ, MATCH(A214, N2O_Em!$C:$C, 0), MATCH(B214, N2O_Em!$E$1:$ZZ$1, 0))</f>
        <v>1.2736000000000001</v>
      </c>
      <c r="G214">
        <f>INDEX(CO2_Em!$E:$ZZ, MATCH(A214, CO2_Em!$C:$C, 0), MATCH(B214, CO2_Em!$E$1:$ZZ$1, 0))</f>
        <v>0.15690000000000001</v>
      </c>
      <c r="H214">
        <f>INDEX(Agri_VA!$E:$ZZ, MATCH(A214, Agri_VA!$C:$C, 0), MATCH(B214, Agri_VA!$E$1:$ZZ$1, 0))</f>
        <v>4.3442255603549667</v>
      </c>
      <c r="I214" s="6">
        <f>INDEX('Agri_land '!$E:$ZZ, MATCH(A214, 'Agri_land '!$C:$C, 0), MATCH(B214, 'Agri_land '!$E$1:$ZZ$1, 0))</f>
        <v>33.541374853113986</v>
      </c>
      <c r="J214">
        <f>INDEX(Cereal_Yield!$E:$ZZ, MATCH(A214, Cereal_Yield!$C:$C, 0), MATCH(B214, Cereal_Yield!$E$1:$ZZ$1, 0))</f>
        <v>3357.1</v>
      </c>
    </row>
    <row r="215" spans="1:10" x14ac:dyDescent="0.3">
      <c r="A215" t="s">
        <v>13</v>
      </c>
      <c r="B215" s="4">
        <v>2021</v>
      </c>
      <c r="C215" t="s">
        <v>49</v>
      </c>
      <c r="D215" s="8">
        <f>INDEX(GDP_pc!$E:$ZZ, MATCH(A215, GDP_pc!$C:$C, 0), MATCH(B215, GDP_pc!$E$1:$ZZ$1, 0))</f>
        <v>64960725734.196548</v>
      </c>
      <c r="E215">
        <f>INDEX(CH4_Em!$E:$ZZ, MATCH(A215, CH4_Em!$C:$C, 0), MATCH(B215, CH4_Em!$E$1:$ZZ$1, 0))</f>
        <v>3.4655</v>
      </c>
      <c r="F215">
        <f>INDEX(N2O_Em!$E:$ZZ, MATCH(A215, N2O_Em!$C:$C, 0), MATCH(B215, N2O_Em!$E$1:$ZZ$1, 0))</f>
        <v>1.2905</v>
      </c>
      <c r="G215">
        <f>INDEX(CO2_Em!$E:$ZZ, MATCH(A215, CO2_Em!$C:$C, 0), MATCH(B215, CO2_Em!$E$1:$ZZ$1, 0))</f>
        <v>0.14399999999999999</v>
      </c>
      <c r="H215">
        <f>INDEX(Agri_VA!$E:$ZZ, MATCH(A215, Agri_VA!$C:$C, 0), MATCH(B215, Agri_VA!$E$1:$ZZ$1, 0))</f>
        <v>4.3667132593712727</v>
      </c>
      <c r="I215" s="6">
        <f>INDEX('Agri_land '!$E:$ZZ, MATCH(A215, 'Agri_land '!$C:$C, 0), MATCH(B215, 'Agri_land '!$E$1:$ZZ$1, 0))</f>
        <v>33.342687034860951</v>
      </c>
      <c r="J215">
        <f>INDEX(Cereal_Yield!$E:$ZZ, MATCH(A215, Cereal_Yield!$C:$C, 0), MATCH(B215, Cereal_Yield!$E$1:$ZZ$1, 0))</f>
        <v>4311.2</v>
      </c>
    </row>
    <row r="216" spans="1:10" x14ac:dyDescent="0.3">
      <c r="A216" t="s">
        <v>13</v>
      </c>
      <c r="B216" s="4">
        <v>2022</v>
      </c>
      <c r="C216" t="s">
        <v>49</v>
      </c>
      <c r="D216" s="8">
        <f>INDEX(GDP_pc!$E:$ZZ, MATCH(A216, GDP_pc!$C:$C, 0), MATCH(B216, GDP_pc!$E$1:$ZZ$1, 0))</f>
        <v>69243626028.593582</v>
      </c>
      <c r="E216">
        <f>INDEX(CH4_Em!$E:$ZZ, MATCH(A216, CH4_Em!$C:$C, 0), MATCH(B216, CH4_Em!$E$1:$ZZ$1, 0))</f>
        <v>3.5188999999999999</v>
      </c>
      <c r="F216">
        <f>INDEX(N2O_Em!$E:$ZZ, MATCH(A216, N2O_Em!$C:$C, 0), MATCH(B216, N2O_Em!$E$1:$ZZ$1, 0))</f>
        <v>1.268</v>
      </c>
      <c r="G216">
        <f>INDEX(CO2_Em!$E:$ZZ, MATCH(A216, CO2_Em!$C:$C, 0), MATCH(B216, CO2_Em!$E$1:$ZZ$1, 0))</f>
        <v>0.1268</v>
      </c>
      <c r="H216">
        <f>INDEX(Agri_VA!$E:$ZZ, MATCH(A216, Agri_VA!$C:$C, 0), MATCH(B216, Agri_VA!$E$1:$ZZ$1, 0))</f>
        <v>4.1400736209008544</v>
      </c>
      <c r="I216" s="6">
        <f>INDEX('Agri_land '!$E:$ZZ, MATCH(A216, 'Agri_land '!$C:$C, 0), MATCH(B216, 'Agri_land '!$E$1:$ZZ$1, 0))</f>
        <v>33.143999216607916</v>
      </c>
      <c r="J216">
        <f>INDEX(Cereal_Yield!$E:$ZZ, MATCH(A216, Cereal_Yield!$C:$C, 0), MATCH(B216, Cereal_Yield!$E$1:$ZZ$1, 0))</f>
        <v>4061.6</v>
      </c>
    </row>
    <row r="217" spans="1:10" x14ac:dyDescent="0.3">
      <c r="A217" t="s">
        <v>13</v>
      </c>
      <c r="B217" s="4">
        <v>2023</v>
      </c>
      <c r="C217" t="s">
        <v>49</v>
      </c>
      <c r="D217" s="8">
        <f>INDEX(GDP_pc!$E:$ZZ, MATCH(A217, GDP_pc!$C:$C, 0), MATCH(B217, GDP_pc!$E$1:$ZZ$1, 0))</f>
        <v>86497941439.017441</v>
      </c>
      <c r="E217">
        <f>INDEX(CH4_Em!$E:$ZZ, MATCH(A217, CH4_Em!$C:$C, 0), MATCH(B217, CH4_Em!$E$1:$ZZ$1, 0))</f>
        <v>4.3963999999999999</v>
      </c>
      <c r="F217">
        <f>INDEX(N2O_Em!$E:$ZZ, MATCH(A217, N2O_Em!$C:$C, 0), MATCH(B217, N2O_Em!$E$1:$ZZ$1, 0))</f>
        <v>1.4710000000000001</v>
      </c>
      <c r="G217">
        <f>INDEX(CO2_Em!$E:$ZZ, MATCH(A217, CO2_Em!$C:$C, 0), MATCH(B217, CO2_Em!$E$1:$ZZ$1, 0))</f>
        <v>0.13009999999999999</v>
      </c>
      <c r="H217">
        <f>INDEX(Agri_VA!$E:$ZZ, MATCH(A217, Agri_VA!$C:$C, 0), MATCH(B217, Agri_VA!$E$1:$ZZ$1, 0))</f>
        <v>3.8004765728883916</v>
      </c>
      <c r="I217" s="6">
        <f>INDEX('Agri_land '!$E:$ZZ, MATCH(A217, 'Agri_land '!$C:$C, 0), MATCH(B217, 'Agri_land '!$E$1:$ZZ$1, 0))</f>
        <v>33.143999216607916</v>
      </c>
      <c r="J217">
        <f>INDEX(Cereal_Yield!$E:$ZZ, MATCH(A217, Cereal_Yield!$C:$C, 0), MATCH(B217, Cereal_Yield!$E$1:$ZZ$1, 0))</f>
        <v>4448.2</v>
      </c>
    </row>
    <row r="218" spans="1:10" x14ac:dyDescent="0.3">
      <c r="A218" t="s">
        <v>14</v>
      </c>
      <c r="B218" s="4">
        <v>2000</v>
      </c>
      <c r="C218" t="s">
        <v>49</v>
      </c>
      <c r="D218" s="8">
        <f>INDEX(GDP_pc!$E:$ZZ, MATCH(A218, GDP_pc!$C:$C, 0), MATCH(B218, GDP_pc!$E$1:$ZZ$1, 0))</f>
        <v>164043817223.58997</v>
      </c>
      <c r="E218">
        <f>INDEX(CH4_Em!$E:$ZZ, MATCH(A218, CH4_Em!$C:$C, 0), MATCH(B218, CH4_Em!$E$1:$ZZ$1, 0))</f>
        <v>7.1601999999999997</v>
      </c>
      <c r="F218">
        <f>INDEX(N2O_Em!$E:$ZZ, MATCH(A218, N2O_Em!$C:$C, 0), MATCH(B218, N2O_Em!$E$1:$ZZ$1, 0))</f>
        <v>4.2013999999999996</v>
      </c>
      <c r="G218">
        <f>INDEX(CO2_Em!$E:$ZZ, MATCH(A218, CO2_Em!$C:$C, 0), MATCH(B218, CO2_Em!$E$1:$ZZ$1, 0))</f>
        <v>0.1283</v>
      </c>
      <c r="H218">
        <f>INDEX(Agri_VA!$E:$ZZ, MATCH(A218, Agri_VA!$C:$C, 0), MATCH(B218, Agri_VA!$E$1:$ZZ$1, 0))</f>
        <v>2.1495301259157795</v>
      </c>
      <c r="I218" s="6">
        <f>INDEX('Agri_land '!$E:$ZZ, MATCH(A218, 'Agri_land '!$C:$C, 0), MATCH(B218, 'Agri_land '!$E$1:$ZZ$1, 0))</f>
        <v>66.174999999999997</v>
      </c>
      <c r="J218">
        <f>INDEX(Cereal_Yield!$E:$ZZ, MATCH(A218, Cereal_Yield!$C:$C, 0), MATCH(B218, Cereal_Yield!$E$1:$ZZ$1, 0))</f>
        <v>6216</v>
      </c>
    </row>
    <row r="219" spans="1:10" x14ac:dyDescent="0.3">
      <c r="A219" t="s">
        <v>14</v>
      </c>
      <c r="B219" s="4">
        <v>2001</v>
      </c>
      <c r="C219" t="s">
        <v>49</v>
      </c>
      <c r="D219" s="8">
        <f>INDEX(GDP_pc!$E:$ZZ, MATCH(A219, GDP_pc!$C:$C, 0), MATCH(B219, GDP_pc!$E$1:$ZZ$1, 0))</f>
        <v>164881594415.34097</v>
      </c>
      <c r="E219">
        <f>INDEX(CH4_Em!$E:$ZZ, MATCH(A219, CH4_Em!$C:$C, 0), MATCH(B219, CH4_Em!$E$1:$ZZ$1, 0))</f>
        <v>7.3207000000000004</v>
      </c>
      <c r="F219">
        <f>INDEX(N2O_Em!$E:$ZZ, MATCH(A219, N2O_Em!$C:$C, 0), MATCH(B219, N2O_Em!$E$1:$ZZ$1, 0))</f>
        <v>4.1540999999999997</v>
      </c>
      <c r="G219">
        <f>INDEX(CO2_Em!$E:$ZZ, MATCH(A219, CO2_Em!$C:$C, 0), MATCH(B219, CO2_Em!$E$1:$ZZ$1, 0))</f>
        <v>9.4799999999999995E-2</v>
      </c>
      <c r="H219">
        <f>INDEX(Agri_VA!$E:$ZZ, MATCH(A219, Agri_VA!$C:$C, 0), MATCH(B219, Agri_VA!$E$1:$ZZ$1, 0))</f>
        <v>2.3098141092311355</v>
      </c>
      <c r="I219" s="6">
        <f>INDEX('Agri_land '!$E:$ZZ, MATCH(A219, 'Agri_land '!$C:$C, 0), MATCH(B219, 'Agri_land '!$E$1:$ZZ$1, 0))</f>
        <v>66.900000000000006</v>
      </c>
      <c r="J219">
        <f>INDEX(Cereal_Yield!$E:$ZZ, MATCH(A219, Cereal_Yield!$C:$C, 0), MATCH(B219, Cereal_Yield!$E$1:$ZZ$1, 0))</f>
        <v>6126.6</v>
      </c>
    </row>
    <row r="220" spans="1:10" x14ac:dyDescent="0.3">
      <c r="A220" t="s">
        <v>14</v>
      </c>
      <c r="B220" s="4">
        <v>2002</v>
      </c>
      <c r="C220" t="s">
        <v>49</v>
      </c>
      <c r="D220" s="8">
        <f>INDEX(GDP_pc!$E:$ZZ, MATCH(A220, GDP_pc!$C:$C, 0), MATCH(B220, GDP_pc!$E$1:$ZZ$1, 0))</f>
        <v>178788209558.31128</v>
      </c>
      <c r="E220">
        <f>INDEX(CH4_Em!$E:$ZZ, MATCH(A220, CH4_Em!$C:$C, 0), MATCH(B220, CH4_Em!$E$1:$ZZ$1, 0))</f>
        <v>7.2077</v>
      </c>
      <c r="F220">
        <f>INDEX(N2O_Em!$E:$ZZ, MATCH(A220, N2O_Em!$C:$C, 0), MATCH(B220, N2O_Em!$E$1:$ZZ$1, 0))</f>
        <v>4.0444000000000004</v>
      </c>
      <c r="G220">
        <f>INDEX(CO2_Em!$E:$ZZ, MATCH(A220, CO2_Em!$C:$C, 0), MATCH(B220, CO2_Em!$E$1:$ZZ$1, 0))</f>
        <v>6.9699999999999998E-2</v>
      </c>
      <c r="H220">
        <f>INDEX(Agri_VA!$E:$ZZ, MATCH(A220, Agri_VA!$C:$C, 0), MATCH(B220, Agri_VA!$E$1:$ZZ$1, 0))</f>
        <v>1.7548454579579029</v>
      </c>
      <c r="I220" s="6">
        <f>INDEX('Agri_land '!$E:$ZZ, MATCH(A220, 'Agri_land '!$C:$C, 0), MATCH(B220, 'Agri_land '!$E$1:$ZZ$1, 0))</f>
        <v>66.625</v>
      </c>
      <c r="J220">
        <f>INDEX(Cereal_Yield!$E:$ZZ, MATCH(A220, Cereal_Yield!$C:$C, 0), MATCH(B220, Cereal_Yield!$E$1:$ZZ$1, 0))</f>
        <v>5761.8</v>
      </c>
    </row>
    <row r="221" spans="1:10" x14ac:dyDescent="0.3">
      <c r="A221" t="s">
        <v>14</v>
      </c>
      <c r="B221" s="4">
        <v>2003</v>
      </c>
      <c r="C221" t="s">
        <v>49</v>
      </c>
      <c r="D221" s="8">
        <f>INDEX(GDP_pc!$E:$ZZ, MATCH(A221, GDP_pc!$C:$C, 0), MATCH(B221, GDP_pc!$E$1:$ZZ$1, 0))</f>
        <v>218421193436.25241</v>
      </c>
      <c r="E221">
        <f>INDEX(CH4_Em!$E:$ZZ, MATCH(A221, CH4_Em!$C:$C, 0), MATCH(B221, CH4_Em!$E$1:$ZZ$1, 0))</f>
        <v>7.1391999999999998</v>
      </c>
      <c r="F221">
        <f>INDEX(N2O_Em!$E:$ZZ, MATCH(A221, N2O_Em!$C:$C, 0), MATCH(B221, N2O_Em!$E$1:$ZZ$1, 0))</f>
        <v>4.0430000000000001</v>
      </c>
      <c r="G221">
        <f>INDEX(CO2_Em!$E:$ZZ, MATCH(A221, CO2_Em!$C:$C, 0), MATCH(B221, CO2_Em!$E$1:$ZZ$1, 0))</f>
        <v>8.2199999999999995E-2</v>
      </c>
      <c r="H221">
        <f>INDEX(Agri_VA!$E:$ZZ, MATCH(A221, Agri_VA!$C:$C, 0), MATCH(B221, Agri_VA!$E$1:$ZZ$1, 0))</f>
        <v>1.5870035716672073</v>
      </c>
      <c r="I221" s="6">
        <f>INDEX('Agri_land '!$E:$ZZ, MATCH(A221, 'Agri_land '!$C:$C, 0), MATCH(B221, 'Agri_land '!$E$1:$ZZ$1, 0))</f>
        <v>66.45</v>
      </c>
      <c r="J221">
        <f>INDEX(Cereal_Yield!$E:$ZZ, MATCH(A221, Cereal_Yield!$C:$C, 0), MATCH(B221, Cereal_Yield!$E$1:$ZZ$1, 0))</f>
        <v>6096.6</v>
      </c>
    </row>
    <row r="222" spans="1:10" x14ac:dyDescent="0.3">
      <c r="A222" t="s">
        <v>14</v>
      </c>
      <c r="B222" s="4">
        <v>2004</v>
      </c>
      <c r="C222" t="s">
        <v>49</v>
      </c>
      <c r="D222" s="8">
        <f>INDEX(GDP_pc!$E:$ZZ, MATCH(A222, GDP_pc!$C:$C, 0), MATCH(B222, GDP_pc!$E$1:$ZZ$1, 0))</f>
        <v>251986155630.85242</v>
      </c>
      <c r="E222">
        <f>INDEX(CH4_Em!$E:$ZZ, MATCH(A222, CH4_Em!$C:$C, 0), MATCH(B222, CH4_Em!$E$1:$ZZ$1, 0))</f>
        <v>7.0484</v>
      </c>
      <c r="F222">
        <f>INDEX(N2O_Em!$E:$ZZ, MATCH(A222, N2O_Em!$C:$C, 0), MATCH(B222, N2O_Em!$E$1:$ZZ$1, 0))</f>
        <v>4.0056000000000003</v>
      </c>
      <c r="G222">
        <f>INDEX(CO2_Em!$E:$ZZ, MATCH(A222, CO2_Em!$C:$C, 0), MATCH(B222, CO2_Em!$E$1:$ZZ$1, 0))</f>
        <v>6.8099999999999994E-2</v>
      </c>
      <c r="H222">
        <f>INDEX(Agri_VA!$E:$ZZ, MATCH(A222, Agri_VA!$C:$C, 0), MATCH(B222, Agri_VA!$E$1:$ZZ$1, 0))</f>
        <v>1.5968233470381021</v>
      </c>
      <c r="I222" s="6">
        <f>INDEX('Agri_land '!$E:$ZZ, MATCH(A222, 'Agri_land '!$C:$C, 0), MATCH(B222, 'Agri_land '!$E$1:$ZZ$1, 0))</f>
        <v>66.149999999999991</v>
      </c>
      <c r="J222">
        <f>INDEX(Cereal_Yield!$E:$ZZ, MATCH(A222, Cereal_Yield!$C:$C, 0), MATCH(B222, Cereal_Yield!$E$1:$ZZ$1, 0))</f>
        <v>6013.1</v>
      </c>
    </row>
    <row r="223" spans="1:10" x14ac:dyDescent="0.3">
      <c r="A223" t="s">
        <v>14</v>
      </c>
      <c r="B223" s="4">
        <v>2005</v>
      </c>
      <c r="C223" t="s">
        <v>49</v>
      </c>
      <c r="D223" s="8">
        <f>INDEX(GDP_pc!$E:$ZZ, MATCH(A223, GDP_pc!$C:$C, 0), MATCH(B223, GDP_pc!$E$1:$ZZ$1, 0))</f>
        <v>265150087711.98453</v>
      </c>
      <c r="E223">
        <f>INDEX(CH4_Em!$E:$ZZ, MATCH(A223, CH4_Em!$C:$C, 0), MATCH(B223, CH4_Em!$E$1:$ZZ$1, 0))</f>
        <v>6.8639999999999999</v>
      </c>
      <c r="F223">
        <f>INDEX(N2O_Em!$E:$ZZ, MATCH(A223, N2O_Em!$C:$C, 0), MATCH(B223, N2O_Em!$E$1:$ZZ$1, 0))</f>
        <v>3.9647999999999999</v>
      </c>
      <c r="G223">
        <f>INDEX(CO2_Em!$E:$ZZ, MATCH(A223, CO2_Em!$C:$C, 0), MATCH(B223, CO2_Em!$E$1:$ZZ$1, 0))</f>
        <v>6.8099999999999994E-2</v>
      </c>
      <c r="H223">
        <f>INDEX(Agri_VA!$E:$ZZ, MATCH(A223, Agri_VA!$C:$C, 0), MATCH(B223, Agri_VA!$E$1:$ZZ$1, 0))</f>
        <v>1.1305638879059134</v>
      </c>
      <c r="I223" s="6">
        <f>INDEX('Agri_land '!$E:$ZZ, MATCH(A223, 'Agri_land '!$C:$C, 0), MATCH(B223, 'Agri_land '!$E$1:$ZZ$1, 0))</f>
        <v>67.674999999999997</v>
      </c>
      <c r="J223">
        <f>INDEX(Cereal_Yield!$E:$ZZ, MATCH(A223, Cereal_Yield!$C:$C, 0), MATCH(B223, Cereal_Yield!$E$1:$ZZ$1, 0))</f>
        <v>6153.4</v>
      </c>
    </row>
    <row r="224" spans="1:10" x14ac:dyDescent="0.3">
      <c r="A224" t="s">
        <v>14</v>
      </c>
      <c r="B224" s="4">
        <v>2006</v>
      </c>
      <c r="C224" t="s">
        <v>49</v>
      </c>
      <c r="D224" s="8">
        <f>INDEX(GDP_pc!$E:$ZZ, MATCH(A224, GDP_pc!$C:$C, 0), MATCH(B224, GDP_pc!$E$1:$ZZ$1, 0))</f>
        <v>283386151543.68738</v>
      </c>
      <c r="E224">
        <f>INDEX(CH4_Em!$E:$ZZ, MATCH(A224, CH4_Em!$C:$C, 0), MATCH(B224, CH4_Em!$E$1:$ZZ$1, 0))</f>
        <v>6.7275999999999998</v>
      </c>
      <c r="F224">
        <f>INDEX(N2O_Em!$E:$ZZ, MATCH(A224, N2O_Em!$C:$C, 0), MATCH(B224, N2O_Em!$E$1:$ZZ$1, 0))</f>
        <v>3.8858000000000001</v>
      </c>
      <c r="G224">
        <f>INDEX(CO2_Em!$E:$ZZ, MATCH(A224, CO2_Em!$C:$C, 0), MATCH(B224, CO2_Em!$E$1:$ZZ$1, 0))</f>
        <v>5.8599999999999999E-2</v>
      </c>
      <c r="H224">
        <f>INDEX(Agri_VA!$E:$ZZ, MATCH(A224, Agri_VA!$C:$C, 0), MATCH(B224, Agri_VA!$E$1:$ZZ$1, 0))</f>
        <v>1.1468087165890455</v>
      </c>
      <c r="I224" s="6">
        <f>INDEX('Agri_land '!$E:$ZZ, MATCH(A224, 'Agri_land '!$C:$C, 0), MATCH(B224, 'Agri_land '!$E$1:$ZZ$1, 0))</f>
        <v>67.75</v>
      </c>
      <c r="J224">
        <f>INDEX(Cereal_Yield!$E:$ZZ, MATCH(A224, Cereal_Yield!$C:$C, 0), MATCH(B224, Cereal_Yield!$E$1:$ZZ$1, 0))</f>
        <v>5778.4</v>
      </c>
    </row>
    <row r="225" spans="1:10" x14ac:dyDescent="0.3">
      <c r="A225" t="s">
        <v>14</v>
      </c>
      <c r="B225" s="4">
        <v>2007</v>
      </c>
      <c r="C225" t="s">
        <v>49</v>
      </c>
      <c r="D225" s="8">
        <f>INDEX(GDP_pc!$E:$ZZ, MATCH(A225, GDP_pc!$C:$C, 0), MATCH(B225, GDP_pc!$E$1:$ZZ$1, 0))</f>
        <v>320213157595.01813</v>
      </c>
      <c r="E225">
        <f>INDEX(CH4_Em!$E:$ZZ, MATCH(A225, CH4_Em!$C:$C, 0), MATCH(B225, CH4_Em!$E$1:$ZZ$1, 0))</f>
        <v>6.8417000000000003</v>
      </c>
      <c r="F225">
        <f>INDEX(N2O_Em!$E:$ZZ, MATCH(A225, N2O_Em!$C:$C, 0), MATCH(B225, N2O_Em!$E$1:$ZZ$1, 0))</f>
        <v>4.0199999999999996</v>
      </c>
      <c r="G225">
        <f>INDEX(CO2_Em!$E:$ZZ, MATCH(A225, CO2_Em!$C:$C, 0), MATCH(B225, CO2_Em!$E$1:$ZZ$1, 0))</f>
        <v>5.6399999999999999E-2</v>
      </c>
      <c r="H225">
        <f>INDEX(Agri_VA!$E:$ZZ, MATCH(A225, Agri_VA!$C:$C, 0), MATCH(B225, Agri_VA!$E$1:$ZZ$1, 0))</f>
        <v>1.1703836697596852</v>
      </c>
      <c r="I225" s="6">
        <f>INDEX('Agri_land '!$E:$ZZ, MATCH(A225, 'Agri_land '!$C:$C, 0), MATCH(B225, 'Agri_land '!$E$1:$ZZ$1, 0))</f>
        <v>66.574999999999989</v>
      </c>
      <c r="J225">
        <f>INDEX(Cereal_Yield!$E:$ZZ, MATCH(A225, Cereal_Yield!$C:$C, 0), MATCH(B225, Cereal_Yield!$E$1:$ZZ$1, 0))</f>
        <v>5675.8</v>
      </c>
    </row>
    <row r="226" spans="1:10" x14ac:dyDescent="0.3">
      <c r="A226" t="s">
        <v>14</v>
      </c>
      <c r="B226" s="4">
        <v>2008</v>
      </c>
      <c r="C226" t="s">
        <v>49</v>
      </c>
      <c r="D226" s="8">
        <f>INDEX(GDP_pc!$E:$ZZ, MATCH(A226, GDP_pc!$C:$C, 0), MATCH(B226, GDP_pc!$E$1:$ZZ$1, 0))</f>
        <v>354979471960.14203</v>
      </c>
      <c r="E226">
        <f>INDEX(CH4_Em!$E:$ZZ, MATCH(A226, CH4_Em!$C:$C, 0), MATCH(B226, CH4_Em!$E$1:$ZZ$1, 0))</f>
        <v>6.6879999999999997</v>
      </c>
      <c r="F226">
        <f>INDEX(N2O_Em!$E:$ZZ, MATCH(A226, N2O_Em!$C:$C, 0), MATCH(B226, N2O_Em!$E$1:$ZZ$1, 0))</f>
        <v>3.8313000000000001</v>
      </c>
      <c r="G226">
        <f>INDEX(CO2_Em!$E:$ZZ, MATCH(A226, CO2_Em!$C:$C, 0), MATCH(B226, CO2_Em!$E$1:$ZZ$1, 0))</f>
        <v>5.1900000000000002E-2</v>
      </c>
      <c r="H226">
        <f>INDEX(Agri_VA!$E:$ZZ, MATCH(A226, Agri_VA!$C:$C, 0), MATCH(B226, Agri_VA!$E$1:$ZZ$1, 0))</f>
        <v>0.84168285035050094</v>
      </c>
      <c r="I226" s="6">
        <f>INDEX('Agri_land '!$E:$ZZ, MATCH(A226, 'Agri_land '!$C:$C, 0), MATCH(B226, 'Agri_land '!$E$1:$ZZ$1, 0))</f>
        <v>66.7</v>
      </c>
      <c r="J226">
        <f>INDEX(Cereal_Yield!$E:$ZZ, MATCH(A226, Cereal_Yield!$C:$C, 0), MATCH(B226, Cereal_Yield!$E$1:$ZZ$1, 0))</f>
        <v>6017.4</v>
      </c>
    </row>
    <row r="227" spans="1:10" x14ac:dyDescent="0.3">
      <c r="A227" t="s">
        <v>14</v>
      </c>
      <c r="B227" s="4">
        <v>2009</v>
      </c>
      <c r="C227" t="s">
        <v>49</v>
      </c>
      <c r="D227" s="8">
        <f>INDEX(GDP_pc!$E:$ZZ, MATCH(A227, GDP_pc!$C:$C, 0), MATCH(B227, GDP_pc!$E$1:$ZZ$1, 0))</f>
        <v>322619152194.59418</v>
      </c>
      <c r="E227">
        <f>INDEX(CH4_Em!$E:$ZZ, MATCH(A227, CH4_Em!$C:$C, 0), MATCH(B227, CH4_Em!$E$1:$ZZ$1, 0))</f>
        <v>6.6371000000000002</v>
      </c>
      <c r="F227">
        <f>INDEX(N2O_Em!$E:$ZZ, MATCH(A227, N2O_Em!$C:$C, 0), MATCH(B227, N2O_Em!$E$1:$ZZ$1, 0))</f>
        <v>3.8746</v>
      </c>
      <c r="G227">
        <f>INDEX(CO2_Em!$E:$ZZ, MATCH(A227, CO2_Em!$C:$C, 0), MATCH(B227, CO2_Em!$E$1:$ZZ$1, 0))</f>
        <v>0.11</v>
      </c>
      <c r="H227">
        <f>INDEX(Agri_VA!$E:$ZZ, MATCH(A227, Agri_VA!$C:$C, 0), MATCH(B227, Agri_VA!$E$1:$ZZ$1, 0))</f>
        <v>0.80694593123891123</v>
      </c>
      <c r="I227" s="6">
        <f>INDEX('Agri_land '!$E:$ZZ, MATCH(A227, 'Agri_land '!$C:$C, 0), MATCH(B227, 'Agri_land '!$E$1:$ZZ$1, 0))</f>
        <v>65.849999999999994</v>
      </c>
      <c r="J227">
        <f>INDEX(Cereal_Yield!$E:$ZZ, MATCH(A227, Cereal_Yield!$C:$C, 0), MATCH(B227, Cereal_Yield!$E$1:$ZZ$1, 0))</f>
        <v>6779</v>
      </c>
    </row>
    <row r="228" spans="1:10" x14ac:dyDescent="0.3">
      <c r="A228" t="s">
        <v>14</v>
      </c>
      <c r="B228" s="4">
        <v>2010</v>
      </c>
      <c r="C228" t="s">
        <v>49</v>
      </c>
      <c r="D228" s="8">
        <f>INDEX(GDP_pc!$E:$ZZ, MATCH(A228, GDP_pc!$C:$C, 0), MATCH(B228, GDP_pc!$E$1:$ZZ$1, 0))</f>
        <v>322345594075.47015</v>
      </c>
      <c r="E228">
        <f>INDEX(CH4_Em!$E:$ZZ, MATCH(A228, CH4_Em!$C:$C, 0), MATCH(B228, CH4_Em!$E$1:$ZZ$1, 0))</f>
        <v>6.9336000000000002</v>
      </c>
      <c r="F228">
        <f>INDEX(N2O_Em!$E:$ZZ, MATCH(A228, N2O_Em!$C:$C, 0), MATCH(B228, N2O_Em!$E$1:$ZZ$1, 0))</f>
        <v>3.9125000000000001</v>
      </c>
      <c r="G228">
        <f>INDEX(CO2_Em!$E:$ZZ, MATCH(A228, CO2_Em!$C:$C, 0), MATCH(B228, CO2_Em!$E$1:$ZZ$1, 0))</f>
        <v>6.9699999999999998E-2</v>
      </c>
      <c r="H228">
        <f>INDEX(Agri_VA!$E:$ZZ, MATCH(A228, Agri_VA!$C:$C, 0), MATCH(B228, Agri_VA!$E$1:$ZZ$1, 0))</f>
        <v>1.1884393485633966</v>
      </c>
      <c r="I228" s="6">
        <f>INDEX('Agri_land '!$E:$ZZ, MATCH(A228, 'Agri_land '!$C:$C, 0), MATCH(B228, 'Agri_land '!$E$1:$ZZ$1, 0))</f>
        <v>65.649999999999991</v>
      </c>
      <c r="J228">
        <f>INDEX(Cereal_Yield!$E:$ZZ, MATCH(A228, Cereal_Yield!$C:$C, 0), MATCH(B228, Cereal_Yield!$E$1:$ZZ$1, 0))</f>
        <v>5875.9</v>
      </c>
    </row>
    <row r="229" spans="1:10" x14ac:dyDescent="0.3">
      <c r="A229" t="s">
        <v>14</v>
      </c>
      <c r="B229" s="4">
        <v>2011</v>
      </c>
      <c r="C229" t="s">
        <v>49</v>
      </c>
      <c r="D229" s="8">
        <f>INDEX(GDP_pc!$E:$ZZ, MATCH(A229, GDP_pc!$C:$C, 0), MATCH(B229, GDP_pc!$E$1:$ZZ$1, 0))</f>
        <v>344315595263.17456</v>
      </c>
      <c r="E229">
        <f>INDEX(CH4_Em!$E:$ZZ, MATCH(A229, CH4_Em!$C:$C, 0), MATCH(B229, CH4_Em!$E$1:$ZZ$1, 0))</f>
        <v>6.9035000000000002</v>
      </c>
      <c r="F229">
        <f>INDEX(N2O_Em!$E:$ZZ, MATCH(A229, N2O_Em!$C:$C, 0), MATCH(B229, N2O_Em!$E$1:$ZZ$1, 0))</f>
        <v>3.8389000000000002</v>
      </c>
      <c r="G229">
        <f>INDEX(CO2_Em!$E:$ZZ, MATCH(A229, CO2_Em!$C:$C, 0), MATCH(B229, CO2_Em!$E$1:$ZZ$1, 0))</f>
        <v>6.6500000000000004E-2</v>
      </c>
      <c r="H229">
        <f>INDEX(Agri_VA!$E:$ZZ, MATCH(A229, Agri_VA!$C:$C, 0), MATCH(B229, Agri_VA!$E$1:$ZZ$1, 0))</f>
        <v>1.2683280740331475</v>
      </c>
      <c r="I229" s="6">
        <f>INDEX('Agri_land '!$E:$ZZ, MATCH(A229, 'Agri_land '!$C:$C, 0), MATCH(B229, 'Agri_land '!$E$1:$ZZ$1, 0))</f>
        <v>67.25</v>
      </c>
      <c r="J229">
        <f>INDEX(Cereal_Yield!$E:$ZZ, MATCH(A229, Cereal_Yield!$C:$C, 0), MATCH(B229, Cereal_Yield!$E$1:$ZZ$1, 0))</f>
        <v>5886.5</v>
      </c>
    </row>
    <row r="230" spans="1:10" x14ac:dyDescent="0.3">
      <c r="A230" t="s">
        <v>14</v>
      </c>
      <c r="B230" s="4">
        <v>2012</v>
      </c>
      <c r="C230" t="s">
        <v>49</v>
      </c>
      <c r="D230" s="8">
        <f>INDEX(GDP_pc!$E:$ZZ, MATCH(A230, GDP_pc!$C:$C, 0), MATCH(B230, GDP_pc!$E$1:$ZZ$1, 0))</f>
        <v>326792574244.96271</v>
      </c>
      <c r="E230">
        <f>INDEX(CH4_Em!$E:$ZZ, MATCH(A230, CH4_Em!$C:$C, 0), MATCH(B230, CH4_Em!$E$1:$ZZ$1, 0))</f>
        <v>6.9077000000000002</v>
      </c>
      <c r="F230">
        <f>INDEX(N2O_Em!$E:$ZZ, MATCH(A230, N2O_Em!$C:$C, 0), MATCH(B230, N2O_Em!$E$1:$ZZ$1, 0))</f>
        <v>3.8866000000000001</v>
      </c>
      <c r="G230">
        <f>INDEX(CO2_Em!$E:$ZZ, MATCH(A230, CO2_Em!$C:$C, 0), MATCH(B230, CO2_Em!$E$1:$ZZ$1, 0))</f>
        <v>6.0199999999999997E-2</v>
      </c>
      <c r="H230">
        <f>INDEX(Agri_VA!$E:$ZZ, MATCH(A230, Agri_VA!$C:$C, 0), MATCH(B230, Agri_VA!$E$1:$ZZ$1, 0))</f>
        <v>1.6175821991743298</v>
      </c>
      <c r="I230" s="6">
        <f>INDEX('Agri_land '!$E:$ZZ, MATCH(A230, 'Agri_land '!$C:$C, 0), MATCH(B230, 'Agri_land '!$E$1:$ZZ$1, 0))</f>
        <v>65.600000000000009</v>
      </c>
      <c r="J230">
        <f>INDEX(Cereal_Yield!$E:$ZZ, MATCH(A230, Cereal_Yield!$C:$C, 0), MATCH(B230, Cereal_Yield!$E$1:$ZZ$1, 0))</f>
        <v>6309.7</v>
      </c>
    </row>
    <row r="231" spans="1:10" x14ac:dyDescent="0.3">
      <c r="A231" t="s">
        <v>14</v>
      </c>
      <c r="B231" s="4">
        <v>2013</v>
      </c>
      <c r="C231" t="s">
        <v>49</v>
      </c>
      <c r="D231" s="8">
        <f>INDEX(GDP_pc!$E:$ZZ, MATCH(A231, GDP_pc!$C:$C, 0), MATCH(B231, GDP_pc!$E$1:$ZZ$1, 0))</f>
        <v>344631016965.12024</v>
      </c>
      <c r="E231">
        <f>INDEX(CH4_Em!$E:$ZZ, MATCH(A231, CH4_Em!$C:$C, 0), MATCH(B231, CH4_Em!$E$1:$ZZ$1, 0))</f>
        <v>6.8395000000000001</v>
      </c>
      <c r="F231">
        <f>INDEX(N2O_Em!$E:$ZZ, MATCH(A231, N2O_Em!$C:$C, 0), MATCH(B231, N2O_Em!$E$1:$ZZ$1, 0))</f>
        <v>3.8136999999999999</v>
      </c>
      <c r="G231">
        <f>INDEX(CO2_Em!$E:$ZZ, MATCH(A231, CO2_Em!$C:$C, 0), MATCH(B231, CO2_Em!$E$1:$ZZ$1, 0))</f>
        <v>5.0799999999999998E-2</v>
      </c>
      <c r="H231">
        <f>INDEX(Agri_VA!$E:$ZZ, MATCH(A231, Agri_VA!$C:$C, 0), MATCH(B231, Agri_VA!$E$1:$ZZ$1, 0))</f>
        <v>1.2566404150844557</v>
      </c>
      <c r="I231" s="6">
        <f>INDEX('Agri_land '!$E:$ZZ, MATCH(A231, 'Agri_land '!$C:$C, 0), MATCH(B231, 'Agri_land '!$E$1:$ZZ$1, 0))</f>
        <v>65.7</v>
      </c>
      <c r="J231">
        <f>INDEX(Cereal_Yield!$E:$ZZ, MATCH(A231, Cereal_Yield!$C:$C, 0), MATCH(B231, Cereal_Yield!$E$1:$ZZ$1, 0))</f>
        <v>6316.6</v>
      </c>
    </row>
    <row r="232" spans="1:10" x14ac:dyDescent="0.3">
      <c r="A232" t="s">
        <v>14</v>
      </c>
      <c r="B232" s="4">
        <v>2014</v>
      </c>
      <c r="C232" t="s">
        <v>49</v>
      </c>
      <c r="D232" s="8">
        <f>INDEX(GDP_pc!$E:$ZZ, MATCH(A232, GDP_pc!$C:$C, 0), MATCH(B232, GDP_pc!$E$1:$ZZ$1, 0))</f>
        <v>352832602064.45154</v>
      </c>
      <c r="E232">
        <f>INDEX(CH4_Em!$E:$ZZ, MATCH(A232, CH4_Em!$C:$C, 0), MATCH(B232, CH4_Em!$E$1:$ZZ$1, 0))</f>
        <v>6.7624000000000004</v>
      </c>
      <c r="F232">
        <f>INDEX(N2O_Em!$E:$ZZ, MATCH(A232, N2O_Em!$C:$C, 0), MATCH(B232, N2O_Em!$E$1:$ZZ$1, 0))</f>
        <v>3.919</v>
      </c>
      <c r="G232">
        <f>INDEX(CO2_Em!$E:$ZZ, MATCH(A232, CO2_Em!$C:$C, 0), MATCH(B232, CO2_Em!$E$1:$ZZ$1, 0))</f>
        <v>5.9499999999999997E-2</v>
      </c>
      <c r="H232">
        <f>INDEX(Agri_VA!$E:$ZZ, MATCH(A232, Agri_VA!$C:$C, 0), MATCH(B232, Agri_VA!$E$1:$ZZ$1, 0))</f>
        <v>1.3534272022490319</v>
      </c>
      <c r="I232" s="6">
        <f>INDEX('Agri_land '!$E:$ZZ, MATCH(A232, 'Agri_land '!$C:$C, 0), MATCH(B232, 'Agri_land '!$E$1:$ZZ$1, 0))</f>
        <v>66.315775000000002</v>
      </c>
      <c r="J232">
        <f>INDEX(Cereal_Yield!$E:$ZZ, MATCH(A232, Cereal_Yield!$C:$C, 0), MATCH(B232, Cereal_Yield!$E$1:$ZZ$1, 0))</f>
        <v>6752.1</v>
      </c>
    </row>
    <row r="233" spans="1:10" x14ac:dyDescent="0.3">
      <c r="A233" t="s">
        <v>14</v>
      </c>
      <c r="B233" s="4">
        <v>2015</v>
      </c>
      <c r="C233" t="s">
        <v>49</v>
      </c>
      <c r="D233" s="8">
        <f>INDEX(GDP_pc!$E:$ZZ, MATCH(A233, GDP_pc!$C:$C, 0), MATCH(B233, GDP_pc!$E$1:$ZZ$1, 0))</f>
        <v>301758922337.63733</v>
      </c>
      <c r="E233">
        <f>INDEX(CH4_Em!$E:$ZZ, MATCH(A233, CH4_Em!$C:$C, 0), MATCH(B233, CH4_Em!$E$1:$ZZ$1, 0))</f>
        <v>6.7881999999999998</v>
      </c>
      <c r="F233">
        <f>INDEX(N2O_Em!$E:$ZZ, MATCH(A233, N2O_Em!$C:$C, 0), MATCH(B233, N2O_Em!$E$1:$ZZ$1, 0))</f>
        <v>3.9811000000000001</v>
      </c>
      <c r="G233">
        <f>INDEX(CO2_Em!$E:$ZZ, MATCH(A233, CO2_Em!$C:$C, 0), MATCH(B233, CO2_Em!$E$1:$ZZ$1, 0))</f>
        <v>7.1800000000000003E-2</v>
      </c>
      <c r="H233">
        <f>INDEX(Agri_VA!$E:$ZZ, MATCH(A233, Agri_VA!$C:$C, 0), MATCH(B233, Agri_VA!$E$1:$ZZ$1, 0))</f>
        <v>0.90831806092930234</v>
      </c>
      <c r="I233" s="6">
        <f>INDEX('Agri_land '!$E:$ZZ, MATCH(A233, 'Agri_land '!$C:$C, 0), MATCH(B233, 'Agri_land '!$E$1:$ZZ$1, 0))</f>
        <v>65.847475000000003</v>
      </c>
      <c r="J233">
        <f>INDEX(Cereal_Yield!$E:$ZZ, MATCH(A233, Cereal_Yield!$C:$C, 0), MATCH(B233, Cereal_Yield!$E$1:$ZZ$1, 0))</f>
        <v>6884.7</v>
      </c>
    </row>
    <row r="234" spans="1:10" x14ac:dyDescent="0.3">
      <c r="A234" t="s">
        <v>14</v>
      </c>
      <c r="B234" s="4">
        <v>2016</v>
      </c>
      <c r="C234" t="s">
        <v>49</v>
      </c>
      <c r="D234" s="8">
        <f>INDEX(GDP_pc!$E:$ZZ, MATCH(A234, GDP_pc!$C:$C, 0), MATCH(B234, GDP_pc!$E$1:$ZZ$1, 0))</f>
        <v>312181849372.23297</v>
      </c>
      <c r="E234">
        <f>INDEX(CH4_Em!$E:$ZZ, MATCH(A234, CH4_Em!$C:$C, 0), MATCH(B234, CH4_Em!$E$1:$ZZ$1, 0))</f>
        <v>6.8121999999999998</v>
      </c>
      <c r="F234">
        <f>INDEX(N2O_Em!$E:$ZZ, MATCH(A234, N2O_Em!$C:$C, 0), MATCH(B234, N2O_Em!$E$1:$ZZ$1, 0))</f>
        <v>4.0010000000000003</v>
      </c>
      <c r="G234">
        <f>INDEX(CO2_Em!$E:$ZZ, MATCH(A234, CO2_Em!$C:$C, 0), MATCH(B234, CO2_Em!$E$1:$ZZ$1, 0))</f>
        <v>5.6300000000000003E-2</v>
      </c>
      <c r="H234">
        <f>INDEX(Agri_VA!$E:$ZZ, MATCH(A234, Agri_VA!$C:$C, 0), MATCH(B234, Agri_VA!$E$1:$ZZ$1, 0))</f>
        <v>0.92879780499664988</v>
      </c>
      <c r="I234" s="6">
        <f>INDEX('Agri_land '!$E:$ZZ, MATCH(A234, 'Agri_land '!$C:$C, 0), MATCH(B234, 'Agri_land '!$E$1:$ZZ$1, 0))</f>
        <v>65.627500000000012</v>
      </c>
      <c r="J234">
        <f>INDEX(Cereal_Yield!$E:$ZZ, MATCH(A234, Cereal_Yield!$C:$C, 0), MATCH(B234, Cereal_Yield!$E$1:$ZZ$1, 0))</f>
        <v>6222</v>
      </c>
    </row>
    <row r="235" spans="1:10" x14ac:dyDescent="0.3">
      <c r="A235" t="s">
        <v>14</v>
      </c>
      <c r="B235" s="4">
        <v>2017</v>
      </c>
      <c r="C235" t="s">
        <v>49</v>
      </c>
      <c r="D235" s="8">
        <f>INDEX(GDP_pc!$E:$ZZ, MATCH(A235, GDP_pc!$C:$C, 0), MATCH(B235, GDP_pc!$E$1:$ZZ$1, 0))</f>
        <v>331610593961.98785</v>
      </c>
      <c r="E235">
        <f>INDEX(CH4_Em!$E:$ZZ, MATCH(A235, CH4_Em!$C:$C, 0), MATCH(B235, CH4_Em!$E$1:$ZZ$1, 0))</f>
        <v>6.7827000000000002</v>
      </c>
      <c r="F235">
        <f>INDEX(N2O_Em!$E:$ZZ, MATCH(A235, N2O_Em!$C:$C, 0), MATCH(B235, N2O_Em!$E$1:$ZZ$1, 0))</f>
        <v>3.9963000000000002</v>
      </c>
      <c r="G235">
        <f>INDEX(CO2_Em!$E:$ZZ, MATCH(A235, CO2_Em!$C:$C, 0), MATCH(B235, CO2_Em!$E$1:$ZZ$1, 0))</f>
        <v>7.5600000000000001E-2</v>
      </c>
      <c r="H235">
        <f>INDEX(Agri_VA!$E:$ZZ, MATCH(A235, Agri_VA!$C:$C, 0), MATCH(B235, Agri_VA!$E$1:$ZZ$1, 0))</f>
        <v>1.2598580673451407</v>
      </c>
      <c r="I235" s="6">
        <f>INDEX('Agri_land '!$E:$ZZ, MATCH(A235, 'Agri_land '!$C:$C, 0), MATCH(B235, 'Agri_land '!$E$1:$ZZ$1, 0))</f>
        <v>65.782499999999999</v>
      </c>
      <c r="J235">
        <f>INDEX(Cereal_Yield!$E:$ZZ, MATCH(A235, Cereal_Yield!$C:$C, 0), MATCH(B235, Cereal_Yield!$E$1:$ZZ$1, 0))</f>
        <v>6916.5</v>
      </c>
    </row>
    <row r="236" spans="1:10" x14ac:dyDescent="0.3">
      <c r="A236" t="s">
        <v>14</v>
      </c>
      <c r="B236" s="4">
        <v>2018</v>
      </c>
      <c r="C236" t="s">
        <v>49</v>
      </c>
      <c r="D236" s="8">
        <f>INDEX(GDP_pc!$E:$ZZ, MATCH(A236, GDP_pc!$C:$C, 0), MATCH(B236, GDP_pc!$E$1:$ZZ$1, 0))</f>
        <v>355293374912.39276</v>
      </c>
      <c r="E236">
        <f>INDEX(CH4_Em!$E:$ZZ, MATCH(A236, CH4_Em!$C:$C, 0), MATCH(B236, CH4_Em!$E$1:$ZZ$1, 0))</f>
        <v>6.8131000000000004</v>
      </c>
      <c r="F236">
        <f>INDEX(N2O_Em!$E:$ZZ, MATCH(A236, N2O_Em!$C:$C, 0), MATCH(B236, N2O_Em!$E$1:$ZZ$1, 0))</f>
        <v>3.9114</v>
      </c>
      <c r="G236">
        <f>INDEX(CO2_Em!$E:$ZZ, MATCH(A236, CO2_Em!$C:$C, 0), MATCH(B236, CO2_Em!$E$1:$ZZ$1, 0))</f>
        <v>7.3700000000000002E-2</v>
      </c>
      <c r="H236">
        <f>INDEX(Agri_VA!$E:$ZZ, MATCH(A236, Agri_VA!$C:$C, 0), MATCH(B236, Agri_VA!$E$1:$ZZ$1, 0))</f>
        <v>0.99704488734782981</v>
      </c>
      <c r="I236" s="6">
        <f>INDEX('Agri_land '!$E:$ZZ, MATCH(A236, 'Agri_land '!$C:$C, 0), MATCH(B236, 'Agri_land '!$E$1:$ZZ$1, 0))</f>
        <v>65.8125</v>
      </c>
      <c r="J236">
        <f>INDEX(Cereal_Yield!$E:$ZZ, MATCH(A236, Cereal_Yield!$C:$C, 0), MATCH(B236, Cereal_Yield!$E$1:$ZZ$1, 0))</f>
        <v>4888.8</v>
      </c>
    </row>
    <row r="237" spans="1:10" x14ac:dyDescent="0.3">
      <c r="A237" t="s">
        <v>14</v>
      </c>
      <c r="B237" s="4">
        <v>2019</v>
      </c>
      <c r="C237" t="s">
        <v>49</v>
      </c>
      <c r="D237" s="8">
        <f>INDEX(GDP_pc!$E:$ZZ, MATCH(A237, GDP_pc!$C:$C, 0), MATCH(B237, GDP_pc!$E$1:$ZZ$1, 0))</f>
        <v>345401473012.61517</v>
      </c>
      <c r="E237">
        <f>INDEX(CH4_Em!$E:$ZZ, MATCH(A237, CH4_Em!$C:$C, 0), MATCH(B237, CH4_Em!$E$1:$ZZ$1, 0))</f>
        <v>6.7938000000000001</v>
      </c>
      <c r="F237">
        <f>INDEX(N2O_Em!$E:$ZZ, MATCH(A237, N2O_Em!$C:$C, 0), MATCH(B237, N2O_Em!$E$1:$ZZ$1, 0))</f>
        <v>4.0229999999999997</v>
      </c>
      <c r="G237">
        <f>INDEX(CO2_Em!$E:$ZZ, MATCH(A237, CO2_Em!$C:$C, 0), MATCH(B237, CO2_Em!$E$1:$ZZ$1, 0))</f>
        <v>0.10920000000000001</v>
      </c>
      <c r="H237">
        <f>INDEX(Agri_VA!$E:$ZZ, MATCH(A237, Agri_VA!$C:$C, 0), MATCH(B237, Agri_VA!$E$1:$ZZ$1, 0))</f>
        <v>1.2412274116914404</v>
      </c>
      <c r="I237" s="6">
        <f>INDEX('Agri_land '!$E:$ZZ, MATCH(A237, 'Agri_land '!$C:$C, 0), MATCH(B237, 'Agri_land '!$E$1:$ZZ$1, 0))</f>
        <v>65.649124999999998</v>
      </c>
      <c r="J237">
        <f>INDEX(Cereal_Yield!$E:$ZZ, MATCH(A237, Cereal_Yield!$C:$C, 0), MATCH(B237, Cereal_Yield!$E$1:$ZZ$1, 0))</f>
        <v>6928.9</v>
      </c>
    </row>
    <row r="238" spans="1:10" x14ac:dyDescent="0.3">
      <c r="A238" t="s">
        <v>14</v>
      </c>
      <c r="B238" s="4">
        <v>2020</v>
      </c>
      <c r="C238" t="s">
        <v>49</v>
      </c>
      <c r="D238" s="8">
        <f>INDEX(GDP_pc!$E:$ZZ, MATCH(A238, GDP_pc!$C:$C, 0), MATCH(B238, GDP_pc!$E$1:$ZZ$1, 0))</f>
        <v>355631021931.62103</v>
      </c>
      <c r="E238">
        <f>INDEX(CH4_Em!$E:$ZZ, MATCH(A238, CH4_Em!$C:$C, 0), MATCH(B238, CH4_Em!$E$1:$ZZ$1, 0))</f>
        <v>6.9329000000000001</v>
      </c>
      <c r="F238">
        <f>INDEX(N2O_Em!$E:$ZZ, MATCH(A238, N2O_Em!$C:$C, 0), MATCH(B238, N2O_Em!$E$1:$ZZ$1, 0))</f>
        <v>4.1597999999999997</v>
      </c>
      <c r="G238">
        <f>INDEX(CO2_Em!$E:$ZZ, MATCH(A238, CO2_Em!$C:$C, 0), MATCH(B238, CO2_Em!$E$1:$ZZ$1, 0))</f>
        <v>0.1114</v>
      </c>
      <c r="H238">
        <f>INDEX(Agri_VA!$E:$ZZ, MATCH(A238, Agri_VA!$C:$C, 0), MATCH(B238, Agri_VA!$E$1:$ZZ$1, 0))</f>
        <v>1.3375200866845138</v>
      </c>
      <c r="I238" s="6">
        <f>INDEX('Agri_land '!$E:$ZZ, MATCH(A238, 'Agri_land '!$C:$C, 0), MATCH(B238, 'Agri_land '!$E$1:$ZZ$1, 0))</f>
        <v>65.499674999999996</v>
      </c>
      <c r="J238">
        <f>INDEX(Cereal_Yield!$E:$ZZ, MATCH(A238, Cereal_Yield!$C:$C, 0), MATCH(B238, Cereal_Yield!$E$1:$ZZ$1, 0))</f>
        <v>6926.3</v>
      </c>
    </row>
    <row r="239" spans="1:10" x14ac:dyDescent="0.3">
      <c r="A239" t="s">
        <v>14</v>
      </c>
      <c r="B239" s="4">
        <v>2021</v>
      </c>
      <c r="C239" t="s">
        <v>49</v>
      </c>
      <c r="D239" s="8">
        <f>INDEX(GDP_pc!$E:$ZZ, MATCH(A239, GDP_pc!$C:$C, 0), MATCH(B239, GDP_pc!$E$1:$ZZ$1, 0))</f>
        <v>406110162088.05402</v>
      </c>
      <c r="E239">
        <f>INDEX(CH4_Em!$E:$ZZ, MATCH(A239, CH4_Em!$C:$C, 0), MATCH(B239, CH4_Em!$E$1:$ZZ$1, 0))</f>
        <v>6.8356000000000003</v>
      </c>
      <c r="F239">
        <f>INDEX(N2O_Em!$E:$ZZ, MATCH(A239, N2O_Em!$C:$C, 0), MATCH(B239, N2O_Em!$E$1:$ZZ$1, 0))</f>
        <v>3.8679000000000001</v>
      </c>
      <c r="G239">
        <f>INDEX(CO2_Em!$E:$ZZ, MATCH(A239, CO2_Em!$C:$C, 0), MATCH(B239, CO2_Em!$E$1:$ZZ$1, 0))</f>
        <v>5.0799999999999998E-2</v>
      </c>
      <c r="H239">
        <f>INDEX(Agri_VA!$E:$ZZ, MATCH(A239, Agri_VA!$C:$C, 0), MATCH(B239, Agri_VA!$E$1:$ZZ$1, 0))</f>
        <v>1.0810312092896883</v>
      </c>
      <c r="I239" s="6">
        <f>INDEX('Agri_land '!$E:$ZZ, MATCH(A239, 'Agri_land '!$C:$C, 0), MATCH(B239, 'Agri_land '!$E$1:$ZZ$1, 0))</f>
        <v>65.45</v>
      </c>
      <c r="J239">
        <f>INDEX(Cereal_Yield!$E:$ZZ, MATCH(A239, Cereal_Yield!$C:$C, 0), MATCH(B239, Cereal_Yield!$E$1:$ZZ$1, 0))</f>
        <v>6355</v>
      </c>
    </row>
    <row r="240" spans="1:10" x14ac:dyDescent="0.3">
      <c r="A240" t="s">
        <v>14</v>
      </c>
      <c r="B240" s="4">
        <v>2022</v>
      </c>
      <c r="C240" t="s">
        <v>49</v>
      </c>
      <c r="D240" s="8">
        <f>INDEX(GDP_pc!$E:$ZZ, MATCH(A240, GDP_pc!$C:$C, 0), MATCH(B240, GDP_pc!$E$1:$ZZ$1, 0))</f>
        <v>400114306337.0766</v>
      </c>
      <c r="E240">
        <f>INDEX(CH4_Em!$E:$ZZ, MATCH(A240, CH4_Em!$C:$C, 0), MATCH(B240, CH4_Em!$E$1:$ZZ$1, 0))</f>
        <v>6.4641000000000002</v>
      </c>
      <c r="F240">
        <f>INDEX(N2O_Em!$E:$ZZ, MATCH(A240, N2O_Em!$C:$C, 0), MATCH(B240, N2O_Em!$E$1:$ZZ$1, 0))</f>
        <v>3.7709999999999999</v>
      </c>
      <c r="G240">
        <f>INDEX(CO2_Em!$E:$ZZ, MATCH(A240, CO2_Em!$C:$C, 0), MATCH(B240, CO2_Em!$E$1:$ZZ$1, 0))</f>
        <v>6.2600000000000003E-2</v>
      </c>
      <c r="H240">
        <f>INDEX(Agri_VA!$E:$ZZ, MATCH(A240, Agri_VA!$C:$C, 0), MATCH(B240, Agri_VA!$E$1:$ZZ$1, 0))</f>
        <v>1.002285337296636</v>
      </c>
      <c r="I240" s="6">
        <f>INDEX('Agri_land '!$E:$ZZ, MATCH(A240, 'Agri_land '!$C:$C, 0), MATCH(B240, 'Agri_land '!$E$1:$ZZ$1, 0))</f>
        <v>65.600000000000009</v>
      </c>
      <c r="J240">
        <f>INDEX(Cereal_Yield!$E:$ZZ, MATCH(A240, Cereal_Yield!$C:$C, 0), MATCH(B240, Cereal_Yield!$E$1:$ZZ$1, 0))</f>
        <v>7241.4</v>
      </c>
    </row>
    <row r="241" spans="1:10" x14ac:dyDescent="0.3">
      <c r="A241" t="s">
        <v>14</v>
      </c>
      <c r="B241" s="4">
        <v>2023</v>
      </c>
      <c r="C241" t="s">
        <v>49</v>
      </c>
      <c r="D241" s="8">
        <f>INDEX(GDP_pc!$E:$ZZ, MATCH(A241, GDP_pc!$C:$C, 0), MATCH(B241, GDP_pc!$E$1:$ZZ$1, 0))</f>
        <v>404651706117.55682</v>
      </c>
      <c r="E241">
        <f>INDEX(CH4_Em!$E:$ZZ, MATCH(A241, CH4_Em!$C:$C, 0), MATCH(B241, CH4_Em!$E$1:$ZZ$1, 0))</f>
        <v>6.3384</v>
      </c>
      <c r="F241">
        <f>INDEX(N2O_Em!$E:$ZZ, MATCH(A241, N2O_Em!$C:$C, 0), MATCH(B241, N2O_Em!$E$1:$ZZ$1, 0))</f>
        <v>3.6219000000000001</v>
      </c>
      <c r="G241">
        <f>INDEX(CO2_Em!$E:$ZZ, MATCH(A241, CO2_Em!$C:$C, 0), MATCH(B241, CO2_Em!$E$1:$ZZ$1, 0))</f>
        <v>5.96E-2</v>
      </c>
      <c r="H241">
        <f>INDEX(Agri_VA!$E:$ZZ, MATCH(A241, Agri_VA!$C:$C, 0), MATCH(B241, Agri_VA!$E$1:$ZZ$1, 0))</f>
        <v>1.0378705697631696</v>
      </c>
      <c r="I241" s="6">
        <f>INDEX('Agri_land '!$E:$ZZ, MATCH(A241, 'Agri_land '!$C:$C, 0), MATCH(B241, 'Agri_land '!$E$1:$ZZ$1, 0))</f>
        <v>65.525000000000006</v>
      </c>
      <c r="J241">
        <f>INDEX(Cereal_Yield!$E:$ZZ, MATCH(A241, Cereal_Yield!$C:$C, 0), MATCH(B241, Cereal_Yield!$E$1:$ZZ$1, 0))</f>
        <v>5671.7</v>
      </c>
    </row>
    <row r="242" spans="1:10" x14ac:dyDescent="0.3">
      <c r="A242" t="s">
        <v>15</v>
      </c>
      <c r="B242" s="4">
        <v>2000</v>
      </c>
      <c r="C242" t="s">
        <v>48</v>
      </c>
      <c r="D242" s="8">
        <f>INDEX(GDP_pc!$E:$ZZ, MATCH(A242, GDP_pc!$C:$C, 0), MATCH(B242, GDP_pc!$E$1:$ZZ$1, 0))</f>
        <v>99838543960.076324</v>
      </c>
      <c r="E242">
        <f>INDEX(CH4_Em!$E:$ZZ, MATCH(A242, CH4_Em!$C:$C, 0), MATCH(B242, CH4_Em!$E$1:$ZZ$1, 0))</f>
        <v>17.541899999999998</v>
      </c>
      <c r="F242">
        <f>INDEX(N2O_Em!$E:$ZZ, MATCH(A242, N2O_Em!$C:$C, 0), MATCH(B242, N2O_Em!$E$1:$ZZ$1, 0))</f>
        <v>10.088699999999999</v>
      </c>
      <c r="G242">
        <f>INDEX(CO2_Em!$E:$ZZ, MATCH(A242, CO2_Em!$C:$C, 0), MATCH(B242, CO2_Em!$E$1:$ZZ$1, 0))</f>
        <v>2.6133000000000002</v>
      </c>
      <c r="H242">
        <f>INDEX(Agri_VA!$E:$ZZ, MATCH(A242, Agri_VA!$C:$C, 0), MATCH(B242, Agri_VA!$E$1:$ZZ$1, 0))</f>
        <v>15.538077036165834</v>
      </c>
      <c r="I242" s="6">
        <f>INDEX('Agri_land '!$E:$ZZ, MATCH(A242, 'Agri_land '!$C:$C, 0), MATCH(B242, 'Agri_land '!$E$1:$ZZ$1, 0))</f>
        <v>3.3060424933447186</v>
      </c>
      <c r="J242">
        <f>INDEX(Cereal_Yield!$E:$ZZ, MATCH(A242, Cereal_Yield!$C:$C, 0), MATCH(B242, Cereal_Yield!$E$1:$ZZ$1, 0))</f>
        <v>7280.1</v>
      </c>
    </row>
    <row r="243" spans="1:10" x14ac:dyDescent="0.3">
      <c r="A243" t="s">
        <v>15</v>
      </c>
      <c r="B243" s="4">
        <v>2001</v>
      </c>
      <c r="C243" t="s">
        <v>48</v>
      </c>
      <c r="D243" s="8">
        <f>INDEX(GDP_pc!$E:$ZZ, MATCH(A243, GDP_pc!$C:$C, 0), MATCH(B243, GDP_pc!$E$1:$ZZ$1, 0))</f>
        <v>96684636118.598389</v>
      </c>
      <c r="E243">
        <f>INDEX(CH4_Em!$E:$ZZ, MATCH(A243, CH4_Em!$C:$C, 0), MATCH(B243, CH4_Em!$E$1:$ZZ$1, 0))</f>
        <v>17.244499999999999</v>
      </c>
      <c r="F243">
        <f>INDEX(N2O_Em!$E:$ZZ, MATCH(A243, N2O_Em!$C:$C, 0), MATCH(B243, N2O_Em!$E$1:$ZZ$1, 0))</f>
        <v>10.752700000000001</v>
      </c>
      <c r="G243">
        <f>INDEX(CO2_Em!$E:$ZZ, MATCH(A243, CO2_Em!$C:$C, 0), MATCH(B243, CO2_Em!$E$1:$ZZ$1, 0))</f>
        <v>2.7484000000000002</v>
      </c>
      <c r="H243">
        <f>INDEX(Agri_VA!$E:$ZZ, MATCH(A243, Agri_VA!$C:$C, 0), MATCH(B243, Agri_VA!$E$1:$ZZ$1, 0))</f>
        <v>15.351268469473098</v>
      </c>
      <c r="I243" s="6">
        <f>INDEX('Agri_land '!$E:$ZZ, MATCH(A243, 'Agri_land '!$C:$C, 0), MATCH(B243, 'Agri_land '!$E$1:$ZZ$1, 0))</f>
        <v>3.3532573208096843</v>
      </c>
      <c r="J243">
        <f>INDEX(Cereal_Yield!$E:$ZZ, MATCH(A243, Cereal_Yield!$C:$C, 0), MATCH(B243, Cereal_Yield!$E$1:$ZZ$1, 0))</f>
        <v>7099.4</v>
      </c>
    </row>
    <row r="244" spans="1:10" x14ac:dyDescent="0.3">
      <c r="A244" t="s">
        <v>15</v>
      </c>
      <c r="B244" s="4">
        <v>2002</v>
      </c>
      <c r="C244" t="s">
        <v>48</v>
      </c>
      <c r="D244" s="8">
        <f>INDEX(GDP_pc!$E:$ZZ, MATCH(A244, GDP_pc!$C:$C, 0), MATCH(B244, GDP_pc!$E$1:$ZZ$1, 0))</f>
        <v>85146067415.730331</v>
      </c>
      <c r="E244">
        <f>INDEX(CH4_Em!$E:$ZZ, MATCH(A244, CH4_Em!$C:$C, 0), MATCH(B244, CH4_Em!$E$1:$ZZ$1, 0))</f>
        <v>18.902699999999999</v>
      </c>
      <c r="F244">
        <f>INDEX(N2O_Em!$E:$ZZ, MATCH(A244, N2O_Em!$C:$C, 0), MATCH(B244, N2O_Em!$E$1:$ZZ$1, 0))</f>
        <v>10.9</v>
      </c>
      <c r="G244">
        <f>INDEX(CO2_Em!$E:$ZZ, MATCH(A244, CO2_Em!$C:$C, 0), MATCH(B244, CO2_Em!$E$1:$ZZ$1, 0))</f>
        <v>2.6518999999999999</v>
      </c>
      <c r="H244">
        <f>INDEX(Agri_VA!$E:$ZZ, MATCH(A244, Agri_VA!$C:$C, 0), MATCH(B244, Agri_VA!$E$1:$ZZ$1, 0))</f>
        <v>15.404856162575879</v>
      </c>
      <c r="I244" s="6">
        <f>INDEX('Agri_land '!$E:$ZZ, MATCH(A244, 'Agri_land '!$C:$C, 0), MATCH(B244, 'Agri_land '!$E$1:$ZZ$1, 0))</f>
        <v>3.4396504093625997</v>
      </c>
      <c r="J244">
        <f>INDEX(Cereal_Yield!$E:$ZZ, MATCH(A244, Cereal_Yield!$C:$C, 0), MATCH(B244, Cereal_Yield!$E$1:$ZZ$1, 0))</f>
        <v>7445.6</v>
      </c>
    </row>
    <row r="245" spans="1:10" x14ac:dyDescent="0.3">
      <c r="A245" t="s">
        <v>15</v>
      </c>
      <c r="B245" s="4">
        <v>2003</v>
      </c>
      <c r="C245" t="s">
        <v>48</v>
      </c>
      <c r="D245" s="8">
        <f>INDEX(GDP_pc!$E:$ZZ, MATCH(A245, GDP_pc!$C:$C, 0), MATCH(B245, GDP_pc!$E$1:$ZZ$1, 0))</f>
        <v>80288461538.461533</v>
      </c>
      <c r="E245">
        <f>INDEX(CH4_Em!$E:$ZZ, MATCH(A245, CH4_Em!$C:$C, 0), MATCH(B245, CH4_Em!$E$1:$ZZ$1, 0))</f>
        <v>19.463999999999999</v>
      </c>
      <c r="F245">
        <f>INDEX(N2O_Em!$E:$ZZ, MATCH(A245, N2O_Em!$C:$C, 0), MATCH(B245, N2O_Em!$E$1:$ZZ$1, 0))</f>
        <v>11.307600000000001</v>
      </c>
      <c r="G245">
        <f>INDEX(CO2_Em!$E:$ZZ, MATCH(A245, CO2_Em!$C:$C, 0), MATCH(B245, CO2_Em!$E$1:$ZZ$1, 0))</f>
        <v>2.5122</v>
      </c>
      <c r="H245">
        <f>INDEX(Agri_VA!$E:$ZZ, MATCH(A245, Agri_VA!$C:$C, 0), MATCH(B245, Agri_VA!$E$1:$ZZ$1, 0))</f>
        <v>15.286706586826348</v>
      </c>
      <c r="I245" s="6">
        <f>INDEX('Agri_land '!$E:$ZZ, MATCH(A245, 'Agri_land '!$C:$C, 0), MATCH(B245, 'Agri_land '!$E$1:$ZZ$1, 0))</f>
        <v>3.4245818474056957</v>
      </c>
      <c r="J245">
        <f>INDEX(Cereal_Yield!$E:$ZZ, MATCH(A245, Cereal_Yield!$C:$C, 0), MATCH(B245, Cereal_Yield!$E$1:$ZZ$1, 0))</f>
        <v>7515.4</v>
      </c>
    </row>
    <row r="246" spans="1:10" x14ac:dyDescent="0.3">
      <c r="A246" t="s">
        <v>15</v>
      </c>
      <c r="B246" s="4">
        <v>2004</v>
      </c>
      <c r="C246" t="s">
        <v>48</v>
      </c>
      <c r="D246" s="8">
        <f>INDEX(GDP_pc!$E:$ZZ, MATCH(A246, GDP_pc!$C:$C, 0), MATCH(B246, GDP_pc!$E$1:$ZZ$1, 0))</f>
        <v>78782467532.467529</v>
      </c>
      <c r="E246">
        <f>INDEX(CH4_Em!$E:$ZZ, MATCH(A246, CH4_Em!$C:$C, 0), MATCH(B246, CH4_Em!$E$1:$ZZ$1, 0))</f>
        <v>19.844000000000001</v>
      </c>
      <c r="F246">
        <f>INDEX(N2O_Em!$E:$ZZ, MATCH(A246, N2O_Em!$C:$C, 0), MATCH(B246, N2O_Em!$E$1:$ZZ$1, 0))</f>
        <v>12.3209</v>
      </c>
      <c r="G246">
        <f>INDEX(CO2_Em!$E:$ZZ, MATCH(A246, CO2_Em!$C:$C, 0), MATCH(B246, CO2_Em!$E$1:$ZZ$1, 0))</f>
        <v>3.0377000000000001</v>
      </c>
      <c r="H246">
        <f>INDEX(Agri_VA!$E:$ZZ, MATCH(A246, Agri_VA!$C:$C, 0), MATCH(B246, Agri_VA!$E$1:$ZZ$1, 0))</f>
        <v>14.269936121986401</v>
      </c>
      <c r="I246" s="6">
        <f>INDEX('Agri_land '!$E:$ZZ, MATCH(A246, 'Agri_land '!$C:$C, 0), MATCH(B246, 'Agri_land '!$E$1:$ZZ$1, 0))</f>
        <v>3.4938972324074538</v>
      </c>
      <c r="J246">
        <f>INDEX(Cereal_Yield!$E:$ZZ, MATCH(A246, Cereal_Yield!$C:$C, 0), MATCH(B246, Cereal_Yield!$E$1:$ZZ$1, 0))</f>
        <v>7556.2</v>
      </c>
    </row>
    <row r="247" spans="1:10" x14ac:dyDescent="0.3">
      <c r="A247" t="s">
        <v>15</v>
      </c>
      <c r="B247" s="4">
        <v>2005</v>
      </c>
      <c r="C247" t="s">
        <v>48</v>
      </c>
      <c r="D247" s="8">
        <f>INDEX(GDP_pc!$E:$ZZ, MATCH(A247, GDP_pc!$C:$C, 0), MATCH(B247, GDP_pc!$E$1:$ZZ$1, 0))</f>
        <v>89660339660.339661</v>
      </c>
      <c r="E247">
        <f>INDEX(CH4_Em!$E:$ZZ, MATCH(A247, CH4_Em!$C:$C, 0), MATCH(B247, CH4_Em!$E$1:$ZZ$1, 0))</f>
        <v>19.953299999999999</v>
      </c>
      <c r="F247">
        <f>INDEX(N2O_Em!$E:$ZZ, MATCH(A247, N2O_Em!$C:$C, 0), MATCH(B247, N2O_Em!$E$1:$ZZ$1, 0))</f>
        <v>12.096</v>
      </c>
      <c r="G247">
        <f>INDEX(CO2_Em!$E:$ZZ, MATCH(A247, CO2_Em!$C:$C, 0), MATCH(B247, CO2_Em!$E$1:$ZZ$1, 0))</f>
        <v>2.9449000000000001</v>
      </c>
      <c r="H247">
        <f>INDEX(Agri_VA!$E:$ZZ, MATCH(A247, Agri_VA!$C:$C, 0), MATCH(B247, Agri_VA!$E$1:$ZZ$1, 0))</f>
        <v>13.981689879294338</v>
      </c>
      <c r="I247" s="6">
        <f>INDEX('Agri_land '!$E:$ZZ, MATCH(A247, 'Agri_land '!$C:$C, 0), MATCH(B247, 'Agri_land '!$E$1:$ZZ$1, 0))</f>
        <v>3.5391029182781657</v>
      </c>
      <c r="J247">
        <f>INDEX(Cereal_Yield!$E:$ZZ, MATCH(A247, Cereal_Yield!$C:$C, 0), MATCH(B247, Cereal_Yield!$E$1:$ZZ$1, 0))</f>
        <v>7536.9</v>
      </c>
    </row>
    <row r="248" spans="1:10" x14ac:dyDescent="0.3">
      <c r="A248" t="s">
        <v>15</v>
      </c>
      <c r="B248" s="4">
        <v>2006</v>
      </c>
      <c r="C248" t="s">
        <v>48</v>
      </c>
      <c r="D248" s="8">
        <f>INDEX(GDP_pc!$E:$ZZ, MATCH(A248, GDP_pc!$C:$C, 0), MATCH(B248, GDP_pc!$E$1:$ZZ$1, 0))</f>
        <v>107426086956.52174</v>
      </c>
      <c r="E248">
        <f>INDEX(CH4_Em!$E:$ZZ, MATCH(A248, CH4_Em!$C:$C, 0), MATCH(B248, CH4_Em!$E$1:$ZZ$1, 0))</f>
        <v>20.786000000000001</v>
      </c>
      <c r="F248">
        <f>INDEX(N2O_Em!$E:$ZZ, MATCH(A248, N2O_Em!$C:$C, 0), MATCH(B248, N2O_Em!$E$1:$ZZ$1, 0))</f>
        <v>11.8561</v>
      </c>
      <c r="G248">
        <f>INDEX(CO2_Em!$E:$ZZ, MATCH(A248, CO2_Em!$C:$C, 0), MATCH(B248, CO2_Em!$E$1:$ZZ$1, 0))</f>
        <v>2.6674000000000002</v>
      </c>
      <c r="H248">
        <f>INDEX(Agri_VA!$E:$ZZ, MATCH(A248, Agri_VA!$C:$C, 0), MATCH(B248, Agri_VA!$E$1:$ZZ$1, 0))</f>
        <v>13.237202525497816</v>
      </c>
      <c r="I248" s="6">
        <f>INDEX('Agri_land '!$E:$ZZ, MATCH(A248, 'Agri_land '!$C:$C, 0), MATCH(B248, 'Agri_land '!$E$1:$ZZ$1, 0))</f>
        <v>3.5491486262494347</v>
      </c>
      <c r="J248">
        <f>INDEX(Cereal_Yield!$E:$ZZ, MATCH(A248, Cereal_Yield!$C:$C, 0), MATCH(B248, Cereal_Yield!$E$1:$ZZ$1, 0))</f>
        <v>7500.2</v>
      </c>
    </row>
    <row r="249" spans="1:10" x14ac:dyDescent="0.3">
      <c r="A249" t="s">
        <v>15</v>
      </c>
      <c r="B249" s="4">
        <v>2007</v>
      </c>
      <c r="C249" t="s">
        <v>48</v>
      </c>
      <c r="D249" s="8">
        <f>INDEX(GDP_pc!$E:$ZZ, MATCH(A249, GDP_pc!$C:$C, 0), MATCH(B249, GDP_pc!$E$1:$ZZ$1, 0))</f>
        <v>130437828371.27846</v>
      </c>
      <c r="E249">
        <f>INDEX(CH4_Em!$E:$ZZ, MATCH(A249, CH4_Em!$C:$C, 0), MATCH(B249, CH4_Em!$E$1:$ZZ$1, 0))</f>
        <v>22.046399999999998</v>
      </c>
      <c r="F249">
        <f>INDEX(N2O_Em!$E:$ZZ, MATCH(A249, N2O_Em!$C:$C, 0), MATCH(B249, N2O_Em!$E$1:$ZZ$1, 0))</f>
        <v>11.4536</v>
      </c>
      <c r="G249">
        <f>INDEX(CO2_Em!$E:$ZZ, MATCH(A249, CO2_Em!$C:$C, 0), MATCH(B249, CO2_Em!$E$1:$ZZ$1, 0))</f>
        <v>2.4666999999999999</v>
      </c>
      <c r="H249">
        <f>INDEX(Agri_VA!$E:$ZZ, MATCH(A249, Agri_VA!$C:$C, 0), MATCH(B249, Agri_VA!$E$1:$ZZ$1, 0))</f>
        <v>13.420126208378088</v>
      </c>
      <c r="I249" s="6">
        <f>INDEX('Agri_land '!$E:$ZZ, MATCH(A249, 'Agri_land '!$C:$C, 0), MATCH(B249, 'Agri_land '!$E$1:$ZZ$1, 0))</f>
        <v>3.5541714802350697</v>
      </c>
      <c r="J249">
        <f>INDEX(Cereal_Yield!$E:$ZZ, MATCH(A249, Cereal_Yield!$C:$C, 0), MATCH(B249, Cereal_Yield!$E$1:$ZZ$1, 0))</f>
        <v>7418.5</v>
      </c>
    </row>
    <row r="250" spans="1:10" x14ac:dyDescent="0.3">
      <c r="A250" t="s">
        <v>15</v>
      </c>
      <c r="B250" s="4">
        <v>2008</v>
      </c>
      <c r="C250" t="s">
        <v>48</v>
      </c>
      <c r="D250" s="8">
        <f>INDEX(GDP_pc!$E:$ZZ, MATCH(A250, GDP_pc!$C:$C, 0), MATCH(B250, GDP_pc!$E$1:$ZZ$1, 0))</f>
        <v>162818181818.18182</v>
      </c>
      <c r="E250">
        <f>INDEX(CH4_Em!$E:$ZZ, MATCH(A250, CH4_Em!$C:$C, 0), MATCH(B250, CH4_Em!$E$1:$ZZ$1, 0))</f>
        <v>22.706299999999999</v>
      </c>
      <c r="F250">
        <f>INDEX(N2O_Em!$E:$ZZ, MATCH(A250, N2O_Em!$C:$C, 0), MATCH(B250, N2O_Em!$E$1:$ZZ$1, 0))</f>
        <v>11.567299999999999</v>
      </c>
      <c r="G250">
        <f>INDEX(CO2_Em!$E:$ZZ, MATCH(A250, CO2_Em!$C:$C, 0), MATCH(B250, CO2_Em!$E$1:$ZZ$1, 0))</f>
        <v>2.4626000000000001</v>
      </c>
      <c r="H250">
        <f>INDEX(Agri_VA!$E:$ZZ, MATCH(A250, Agri_VA!$C:$C, 0), MATCH(B250, Agri_VA!$E$1:$ZZ$1, 0))</f>
        <v>12.630240089335567</v>
      </c>
      <c r="I250" s="6">
        <f>INDEX('Agri_land '!$E:$ZZ, MATCH(A250, 'Agri_land '!$C:$C, 0), MATCH(B250, 'Agri_land '!$E$1:$ZZ$1, 0))</f>
        <v>3.5581897634235777</v>
      </c>
      <c r="J250">
        <f>INDEX(Cereal_Yield!$E:$ZZ, MATCH(A250, Cereal_Yield!$C:$C, 0), MATCH(B250, Cereal_Yield!$E$1:$ZZ$1, 0))</f>
        <v>7452.2</v>
      </c>
    </row>
    <row r="251" spans="1:10" x14ac:dyDescent="0.3">
      <c r="A251" t="s">
        <v>15</v>
      </c>
      <c r="B251" s="4">
        <v>2009</v>
      </c>
      <c r="C251" t="s">
        <v>48</v>
      </c>
      <c r="D251" s="8">
        <f>INDEX(GDP_pc!$E:$ZZ, MATCH(A251, GDP_pc!$C:$C, 0), MATCH(B251, GDP_pc!$E$1:$ZZ$1, 0))</f>
        <v>189147005444.64612</v>
      </c>
      <c r="E251">
        <f>INDEX(CH4_Em!$E:$ZZ, MATCH(A251, CH4_Em!$C:$C, 0), MATCH(B251, CH4_Em!$E$1:$ZZ$1, 0))</f>
        <v>20.152699999999999</v>
      </c>
      <c r="F251">
        <f>INDEX(N2O_Em!$E:$ZZ, MATCH(A251, N2O_Em!$C:$C, 0), MATCH(B251, N2O_Em!$E$1:$ZZ$1, 0))</f>
        <v>11.4551</v>
      </c>
      <c r="G251">
        <f>INDEX(CO2_Em!$E:$ZZ, MATCH(A251, CO2_Em!$C:$C, 0), MATCH(B251, CO2_Em!$E$1:$ZZ$1, 0))</f>
        <v>2.6593</v>
      </c>
      <c r="H251">
        <f>INDEX(Agri_VA!$E:$ZZ, MATCH(A251, Agri_VA!$C:$C, 0), MATCH(B251, Agri_VA!$E$1:$ZZ$1, 0))</f>
        <v>12.997946651314527</v>
      </c>
      <c r="I251" s="6">
        <f>INDEX('Agri_land '!$E:$ZZ, MATCH(A251, 'Agri_land '!$C:$C, 0), MATCH(B251, 'Agri_land '!$E$1:$ZZ$1, 0))</f>
        <v>3.7058616706012355</v>
      </c>
      <c r="J251">
        <f>INDEX(Cereal_Yield!$E:$ZZ, MATCH(A251, Cereal_Yield!$C:$C, 0), MATCH(B251, Cereal_Yield!$E$1:$ZZ$1, 0))</f>
        <v>7158.3</v>
      </c>
    </row>
    <row r="252" spans="1:10" x14ac:dyDescent="0.3">
      <c r="A252" t="s">
        <v>15</v>
      </c>
      <c r="B252" s="4">
        <v>2010</v>
      </c>
      <c r="C252" t="s">
        <v>48</v>
      </c>
      <c r="D252" s="8">
        <f>INDEX(GDP_pc!$E:$ZZ, MATCH(A252, GDP_pc!$C:$C, 0), MATCH(B252, GDP_pc!$E$1:$ZZ$1, 0))</f>
        <v>218983666061.70599</v>
      </c>
      <c r="E252">
        <f>INDEX(CH4_Em!$E:$ZZ, MATCH(A252, CH4_Em!$C:$C, 0), MATCH(B252, CH4_Em!$E$1:$ZZ$1, 0))</f>
        <v>19.478999999999999</v>
      </c>
      <c r="F252">
        <f>INDEX(N2O_Em!$E:$ZZ, MATCH(A252, N2O_Em!$C:$C, 0), MATCH(B252, N2O_Em!$E$1:$ZZ$1, 0))</f>
        <v>11.3293</v>
      </c>
      <c r="G252">
        <f>INDEX(CO2_Em!$E:$ZZ, MATCH(A252, CO2_Em!$C:$C, 0), MATCH(B252, CO2_Em!$E$1:$ZZ$1, 0))</f>
        <v>2.5562999999999998</v>
      </c>
      <c r="H252">
        <f>INDEX(Agri_VA!$E:$ZZ, MATCH(A252, Agri_VA!$C:$C, 0), MATCH(B252, Agri_VA!$E$1:$ZZ$1, 0))</f>
        <v>13.340759157964529</v>
      </c>
      <c r="I252" s="6">
        <f>INDEX('Agri_land '!$E:$ZZ, MATCH(A252, 'Agri_land '!$C:$C, 0), MATCH(B252, 'Agri_land '!$E$1:$ZZ$1, 0))</f>
        <v>3.6877793962529508</v>
      </c>
      <c r="J252">
        <f>INDEX(Cereal_Yield!$E:$ZZ, MATCH(A252, Cereal_Yield!$C:$C, 0), MATCH(B252, Cereal_Yield!$E$1:$ZZ$1, 0))</f>
        <v>6504.3</v>
      </c>
    </row>
    <row r="253" spans="1:10" x14ac:dyDescent="0.3">
      <c r="A253" t="s">
        <v>15</v>
      </c>
      <c r="B253" s="4">
        <v>2011</v>
      </c>
      <c r="C253" t="s">
        <v>48</v>
      </c>
      <c r="D253" s="8">
        <f>INDEX(GDP_pc!$E:$ZZ, MATCH(A253, GDP_pc!$C:$C, 0), MATCH(B253, GDP_pc!$E$1:$ZZ$1, 0))</f>
        <v>235989672977.62479</v>
      </c>
      <c r="E253">
        <f>INDEX(CH4_Em!$E:$ZZ, MATCH(A253, CH4_Em!$C:$C, 0), MATCH(B253, CH4_Em!$E$1:$ZZ$1, 0))</f>
        <v>21.020199999999999</v>
      </c>
      <c r="F253">
        <f>INDEX(N2O_Em!$E:$ZZ, MATCH(A253, N2O_Em!$C:$C, 0), MATCH(B253, N2O_Em!$E$1:$ZZ$1, 0))</f>
        <v>11.7103</v>
      </c>
      <c r="G253">
        <f>INDEX(CO2_Em!$E:$ZZ, MATCH(A253, CO2_Em!$C:$C, 0), MATCH(B253, CO2_Em!$E$1:$ZZ$1, 0))</f>
        <v>2.5929000000000002</v>
      </c>
      <c r="H253">
        <f>INDEX(Agri_VA!$E:$ZZ, MATCH(A253, Agri_VA!$C:$C, 0), MATCH(B253, Agri_VA!$E$1:$ZZ$1, 0))</f>
        <v>13.869105098096417</v>
      </c>
      <c r="I253" s="6">
        <f>INDEX('Agri_land '!$E:$ZZ, MATCH(A253, 'Agri_land '!$C:$C, 0), MATCH(B253, 'Agri_land '!$E$1:$ZZ$1, 0))</f>
        <v>3.6365462855994775</v>
      </c>
      <c r="J253">
        <f>INDEX(Cereal_Yield!$E:$ZZ, MATCH(A253, Cereal_Yield!$C:$C, 0), MATCH(B253, Cereal_Yield!$E$1:$ZZ$1, 0))</f>
        <v>7246.3</v>
      </c>
    </row>
    <row r="254" spans="1:10" x14ac:dyDescent="0.3">
      <c r="A254" t="s">
        <v>15</v>
      </c>
      <c r="B254" s="4">
        <v>2012</v>
      </c>
      <c r="C254" t="s">
        <v>48</v>
      </c>
      <c r="D254" s="8">
        <f>INDEX(GDP_pc!$E:$ZZ, MATCH(A254, GDP_pc!$C:$C, 0), MATCH(B254, GDP_pc!$E$1:$ZZ$1, 0))</f>
        <v>279116666666.66669</v>
      </c>
      <c r="E254">
        <f>INDEX(CH4_Em!$E:$ZZ, MATCH(A254, CH4_Em!$C:$C, 0), MATCH(B254, CH4_Em!$E$1:$ZZ$1, 0))</f>
        <v>21.924600000000002</v>
      </c>
      <c r="F254">
        <f>INDEX(N2O_Em!$E:$ZZ, MATCH(A254, N2O_Em!$C:$C, 0), MATCH(B254, N2O_Em!$E$1:$ZZ$1, 0))</f>
        <v>11.2934</v>
      </c>
      <c r="G254">
        <f>INDEX(CO2_Em!$E:$ZZ, MATCH(A254, CO2_Em!$C:$C, 0), MATCH(B254, CO2_Em!$E$1:$ZZ$1, 0))</f>
        <v>2.1206</v>
      </c>
      <c r="H254">
        <f>INDEX(Agri_VA!$E:$ZZ, MATCH(A254, Agri_VA!$C:$C, 0), MATCH(B254, Agri_VA!$E$1:$ZZ$1, 0))</f>
        <v>11.27276527139189</v>
      </c>
      <c r="I254" s="6">
        <f>INDEX('Agri_land '!$E:$ZZ, MATCH(A254, 'Agri_land '!$C:$C, 0), MATCH(B254, 'Agri_land '!$E$1:$ZZ$1, 0))</f>
        <v>3.7128936661811238</v>
      </c>
      <c r="J254">
        <f>INDEX(Cereal_Yield!$E:$ZZ, MATCH(A254, Cereal_Yield!$C:$C, 0), MATCH(B254, Cereal_Yield!$E$1:$ZZ$1, 0))</f>
        <v>7269</v>
      </c>
    </row>
    <row r="255" spans="1:10" x14ac:dyDescent="0.3">
      <c r="A255" t="s">
        <v>15</v>
      </c>
      <c r="B255" s="4">
        <v>2013</v>
      </c>
      <c r="C255" t="s">
        <v>48</v>
      </c>
      <c r="D255" s="8">
        <f>INDEX(GDP_pc!$E:$ZZ, MATCH(A255, GDP_pc!$C:$C, 0), MATCH(B255, GDP_pc!$E$1:$ZZ$1, 0))</f>
        <v>288434108527.13177</v>
      </c>
      <c r="E255">
        <f>INDEX(CH4_Em!$E:$ZZ, MATCH(A255, CH4_Em!$C:$C, 0), MATCH(B255, CH4_Em!$E$1:$ZZ$1, 0))</f>
        <v>21.011399999999998</v>
      </c>
      <c r="F255">
        <f>INDEX(N2O_Em!$E:$ZZ, MATCH(A255, N2O_Em!$C:$C, 0), MATCH(B255, N2O_Em!$E$1:$ZZ$1, 0))</f>
        <v>11.2187</v>
      </c>
      <c r="G255">
        <f>INDEX(CO2_Em!$E:$ZZ, MATCH(A255, CO2_Em!$C:$C, 0), MATCH(B255, CO2_Em!$E$1:$ZZ$1, 0))</f>
        <v>2.2492000000000001</v>
      </c>
      <c r="H255">
        <f>INDEX(Agri_VA!$E:$ZZ, MATCH(A255, Agri_VA!$C:$C, 0), MATCH(B255, Agri_VA!$E$1:$ZZ$1, 0))</f>
        <v>11.274349602236079</v>
      </c>
      <c r="I255" s="6">
        <f>INDEX('Agri_land '!$E:$ZZ, MATCH(A255, 'Agri_land '!$C:$C, 0), MATCH(B255, 'Agri_land '!$E$1:$ZZ$1, 0))</f>
        <v>3.7480235069566525</v>
      </c>
      <c r="J255">
        <f>INDEX(Cereal_Yield!$E:$ZZ, MATCH(A255, Cereal_Yield!$C:$C, 0), MATCH(B255, Cereal_Yield!$E$1:$ZZ$1, 0))</f>
        <v>7285.3</v>
      </c>
    </row>
    <row r="256" spans="1:10" x14ac:dyDescent="0.3">
      <c r="A256" t="s">
        <v>15</v>
      </c>
      <c r="B256" s="4">
        <v>2014</v>
      </c>
      <c r="C256" t="s">
        <v>48</v>
      </c>
      <c r="D256" s="8">
        <f>INDEX(GDP_pc!$E:$ZZ, MATCH(A256, GDP_pc!$C:$C, 0), MATCH(B256, GDP_pc!$E$1:$ZZ$1, 0))</f>
        <v>305595408895.26544</v>
      </c>
      <c r="E256">
        <f>INDEX(CH4_Em!$E:$ZZ, MATCH(A256, CH4_Em!$C:$C, 0), MATCH(B256, CH4_Em!$E$1:$ZZ$1, 0))</f>
        <v>20.8568</v>
      </c>
      <c r="F256">
        <f>INDEX(N2O_Em!$E:$ZZ, MATCH(A256, N2O_Em!$C:$C, 0), MATCH(B256, N2O_Em!$E$1:$ZZ$1, 0))</f>
        <v>11.352399999999999</v>
      </c>
      <c r="G256">
        <f>INDEX(CO2_Em!$E:$ZZ, MATCH(A256, CO2_Em!$C:$C, 0), MATCH(B256, CO2_Em!$E$1:$ZZ$1, 0))</f>
        <v>2.2650000000000001</v>
      </c>
      <c r="H256">
        <f>INDEX(Agri_VA!$E:$ZZ, MATCH(A256, Agri_VA!$C:$C, 0), MATCH(B256, Agri_VA!$E$1:$ZZ$1, 0))</f>
        <v>11.337708920187794</v>
      </c>
      <c r="I256" s="6">
        <f>INDEX('Agri_land '!$E:$ZZ, MATCH(A256, 'Agri_land '!$C:$C, 0), MATCH(B256, 'Agri_land '!$E$1:$ZZ$1, 0))</f>
        <v>3.7321713797779896</v>
      </c>
      <c r="J256">
        <f>INDEX(Cereal_Yield!$E:$ZZ, MATCH(A256, Cereal_Yield!$C:$C, 0), MATCH(B256, Cereal_Yield!$E$1:$ZZ$1, 0))</f>
        <v>7085</v>
      </c>
    </row>
    <row r="257" spans="1:10" x14ac:dyDescent="0.3">
      <c r="A257" t="s">
        <v>15</v>
      </c>
      <c r="B257" s="4">
        <v>2015</v>
      </c>
      <c r="C257" t="s">
        <v>48</v>
      </c>
      <c r="D257" s="8">
        <f>INDEX(GDP_pc!$E:$ZZ, MATCH(A257, GDP_pc!$C:$C, 0), MATCH(B257, GDP_pc!$E$1:$ZZ$1, 0))</f>
        <v>329366576819.40698</v>
      </c>
      <c r="E257">
        <f>INDEX(CH4_Em!$E:$ZZ, MATCH(A257, CH4_Em!$C:$C, 0), MATCH(B257, CH4_Em!$E$1:$ZZ$1, 0))</f>
        <v>20.217099999999999</v>
      </c>
      <c r="F257">
        <f>INDEX(N2O_Em!$E:$ZZ, MATCH(A257, N2O_Em!$C:$C, 0), MATCH(B257, N2O_Em!$E$1:$ZZ$1, 0))</f>
        <v>11.8118</v>
      </c>
      <c r="G257">
        <f>INDEX(CO2_Em!$E:$ZZ, MATCH(A257, CO2_Em!$C:$C, 0), MATCH(B257, CO2_Em!$E$1:$ZZ$1, 0))</f>
        <v>2.4841000000000002</v>
      </c>
      <c r="H257">
        <f>INDEX(Agri_VA!$E:$ZZ, MATCH(A257, Agri_VA!$C:$C, 0), MATCH(B257, Agri_VA!$E$1:$ZZ$1, 0))</f>
        <v>11.394062768525718</v>
      </c>
      <c r="I257" s="6">
        <f>INDEX('Agri_land '!$E:$ZZ, MATCH(A257, 'Agri_land '!$C:$C, 0), MATCH(B257, 'Agri_land '!$E$1:$ZZ$1, 0))</f>
        <v>3.8071998593600886</v>
      </c>
      <c r="J257">
        <f>INDEX(Cereal_Yield!$E:$ZZ, MATCH(A257, Cereal_Yield!$C:$C, 0), MATCH(B257, Cereal_Yield!$E$1:$ZZ$1, 0))</f>
        <v>7117.3</v>
      </c>
    </row>
    <row r="258" spans="1:10" x14ac:dyDescent="0.3">
      <c r="A258" t="s">
        <v>15</v>
      </c>
      <c r="B258" s="4">
        <v>2016</v>
      </c>
      <c r="C258" t="s">
        <v>48</v>
      </c>
      <c r="D258" s="8">
        <f>INDEX(GDP_pc!$E:$ZZ, MATCH(A258, GDP_pc!$C:$C, 0), MATCH(B258, GDP_pc!$E$1:$ZZ$1, 0))</f>
        <v>332441717791.41101</v>
      </c>
      <c r="E258">
        <f>INDEX(CH4_Em!$E:$ZZ, MATCH(A258, CH4_Em!$C:$C, 0), MATCH(B258, CH4_Em!$E$1:$ZZ$1, 0))</f>
        <v>20.524000000000001</v>
      </c>
      <c r="F258">
        <f>INDEX(N2O_Em!$E:$ZZ, MATCH(A258, N2O_Em!$C:$C, 0), MATCH(B258, N2O_Em!$E$1:$ZZ$1, 0))</f>
        <v>12.1106</v>
      </c>
      <c r="G258">
        <f>INDEX(CO2_Em!$E:$ZZ, MATCH(A258, CO2_Em!$C:$C, 0), MATCH(B258, CO2_Em!$E$1:$ZZ$1, 0))</f>
        <v>2.7014</v>
      </c>
      <c r="H258">
        <f>INDEX(Agri_VA!$E:$ZZ, MATCH(A258, Agri_VA!$C:$C, 0), MATCH(B258, Agri_VA!$E$1:$ZZ$1, 0))</f>
        <v>11.769316084742009</v>
      </c>
      <c r="I258" s="6">
        <f>INDEX('Agri_land '!$E:$ZZ, MATCH(A258, 'Agri_land '!$C:$C, 0), MATCH(B258, 'Agri_land '!$E$1:$ZZ$1, 0))</f>
        <v>3.7508316841629412</v>
      </c>
      <c r="J258">
        <f>INDEX(Cereal_Yield!$E:$ZZ, MATCH(A258, Cereal_Yield!$C:$C, 0), MATCH(B258, Cereal_Yield!$E$1:$ZZ$1, 0))</f>
        <v>7251.5</v>
      </c>
    </row>
    <row r="259" spans="1:10" x14ac:dyDescent="0.3">
      <c r="A259" t="s">
        <v>15</v>
      </c>
      <c r="B259" s="4">
        <v>2017</v>
      </c>
      <c r="C259" t="s">
        <v>48</v>
      </c>
      <c r="D259" s="8">
        <f>INDEX(GDP_pc!$E:$ZZ, MATCH(A259, GDP_pc!$C:$C, 0), MATCH(B259, GDP_pc!$E$1:$ZZ$1, 0))</f>
        <v>248362771739.13043</v>
      </c>
      <c r="E259">
        <f>INDEX(CH4_Em!$E:$ZZ, MATCH(A259, CH4_Em!$C:$C, 0), MATCH(B259, CH4_Em!$E$1:$ZZ$1, 0))</f>
        <v>19.2057</v>
      </c>
      <c r="F259">
        <f>INDEX(N2O_Em!$E:$ZZ, MATCH(A259, N2O_Em!$C:$C, 0), MATCH(B259, N2O_Em!$E$1:$ZZ$1, 0))</f>
        <v>11.931800000000001</v>
      </c>
      <c r="G259">
        <f>INDEX(CO2_Em!$E:$ZZ, MATCH(A259, CO2_Em!$C:$C, 0), MATCH(B259, CO2_Em!$E$1:$ZZ$1, 0))</f>
        <v>2.7936999999999999</v>
      </c>
      <c r="H259">
        <f>INDEX(Agri_VA!$E:$ZZ, MATCH(A259, Agri_VA!$C:$C, 0), MATCH(B259, Agri_VA!$E$1:$ZZ$1, 0))</f>
        <v>10.98638064498482</v>
      </c>
      <c r="I259" s="6">
        <f>INDEX('Agri_land '!$E:$ZZ, MATCH(A259, 'Agri_land '!$C:$C, 0), MATCH(B259, 'Agri_land '!$E$1:$ZZ$1, 0))</f>
        <v>3.8545068059671506</v>
      </c>
      <c r="J259">
        <f>INDEX(Cereal_Yield!$E:$ZZ, MATCH(A259, Cereal_Yield!$C:$C, 0), MATCH(B259, Cereal_Yield!$E$1:$ZZ$1, 0))</f>
        <v>7400.6</v>
      </c>
    </row>
    <row r="260" spans="1:10" x14ac:dyDescent="0.3">
      <c r="A260" t="s">
        <v>15</v>
      </c>
      <c r="B260" s="4">
        <v>2018</v>
      </c>
      <c r="C260" t="s">
        <v>48</v>
      </c>
      <c r="D260" s="8">
        <f>INDEX(GDP_pc!$E:$ZZ, MATCH(A260, GDP_pc!$C:$C, 0), MATCH(B260, GDP_pc!$E$1:$ZZ$1, 0))</f>
        <v>262588632526.73044</v>
      </c>
      <c r="E260">
        <f>INDEX(CH4_Em!$E:$ZZ, MATCH(A260, CH4_Em!$C:$C, 0), MATCH(B260, CH4_Em!$E$1:$ZZ$1, 0))</f>
        <v>17.3918</v>
      </c>
      <c r="F260">
        <f>INDEX(N2O_Em!$E:$ZZ, MATCH(A260, N2O_Em!$C:$C, 0), MATCH(B260, N2O_Em!$E$1:$ZZ$1, 0))</f>
        <v>11.8786</v>
      </c>
      <c r="G260">
        <f>INDEX(CO2_Em!$E:$ZZ, MATCH(A260, CO2_Em!$C:$C, 0), MATCH(B260, CO2_Em!$E$1:$ZZ$1, 0))</f>
        <v>2.9487000000000001</v>
      </c>
      <c r="H260">
        <f>INDEX(Agri_VA!$E:$ZZ, MATCH(A260, Agri_VA!$C:$C, 0), MATCH(B260, Agri_VA!$E$1:$ZZ$1, 0))</f>
        <v>10.830249024902489</v>
      </c>
      <c r="I260" s="6">
        <f>INDEX('Agri_land '!$E:$ZZ, MATCH(A260, 'Agri_land '!$C:$C, 0), MATCH(B260, 'Agri_land '!$E$1:$ZZ$1, 0))</f>
        <v>3.880656989301321</v>
      </c>
      <c r="J260">
        <f>INDEX(Cereal_Yield!$E:$ZZ, MATCH(A260, Cereal_Yield!$C:$C, 0), MATCH(B260, Cereal_Yield!$E$1:$ZZ$1, 0))</f>
        <v>6776</v>
      </c>
    </row>
    <row r="261" spans="1:10" x14ac:dyDescent="0.3">
      <c r="A261" t="s">
        <v>15</v>
      </c>
      <c r="B261" s="4">
        <v>2019</v>
      </c>
      <c r="C261" t="s">
        <v>48</v>
      </c>
      <c r="D261" s="8">
        <f>INDEX(GDP_pc!$E:$ZZ, MATCH(A261, GDP_pc!$C:$C, 0), MATCH(B261, GDP_pc!$E$1:$ZZ$1, 0))</f>
        <v>318678815489.74945</v>
      </c>
      <c r="E261">
        <f>INDEX(CH4_Em!$E:$ZZ, MATCH(A261, CH4_Em!$C:$C, 0), MATCH(B261, CH4_Em!$E$1:$ZZ$1, 0))</f>
        <v>12.2821</v>
      </c>
      <c r="F261">
        <f>INDEX(N2O_Em!$E:$ZZ, MATCH(A261, N2O_Em!$C:$C, 0), MATCH(B261, N2O_Em!$E$1:$ZZ$1, 0))</f>
        <v>9.4993999999999996</v>
      </c>
      <c r="G261">
        <f>INDEX(CO2_Em!$E:$ZZ, MATCH(A261, CO2_Em!$C:$C, 0), MATCH(B261, CO2_Em!$E$1:$ZZ$1, 0))</f>
        <v>2.7370000000000001</v>
      </c>
      <c r="H261">
        <f>INDEX(Agri_VA!$E:$ZZ, MATCH(A261, Agri_VA!$C:$C, 0), MATCH(B261, Agri_VA!$E$1:$ZZ$1, 0))</f>
        <v>10.69713545389564</v>
      </c>
      <c r="I261" s="6">
        <f>INDEX('Agri_land '!$E:$ZZ, MATCH(A261, 'Agri_land '!$C:$C, 0), MATCH(B261, 'Agri_land '!$E$1:$ZZ$1, 0))</f>
        <v>3.9399266663318095</v>
      </c>
      <c r="J261">
        <f>INDEX(Cereal_Yield!$E:$ZZ, MATCH(A261, Cereal_Yield!$C:$C, 0), MATCH(B261, Cereal_Yield!$E$1:$ZZ$1, 0))</f>
        <v>6043.8</v>
      </c>
    </row>
    <row r="262" spans="1:10" x14ac:dyDescent="0.3">
      <c r="A262" t="s">
        <v>15</v>
      </c>
      <c r="B262" s="4">
        <v>2020</v>
      </c>
      <c r="C262" t="s">
        <v>48</v>
      </c>
      <c r="D262" s="8">
        <f>INDEX(GDP_pc!$E:$ZZ, MATCH(A262, GDP_pc!$C:$C, 0), MATCH(B262, GDP_pc!$E$1:$ZZ$1, 0))</f>
        <v>383817841547.09918</v>
      </c>
      <c r="E262">
        <f>INDEX(CH4_Em!$E:$ZZ, MATCH(A262, CH4_Em!$C:$C, 0), MATCH(B262, CH4_Em!$E$1:$ZZ$1, 0))</f>
        <v>11.7445</v>
      </c>
      <c r="F262">
        <f>INDEX(N2O_Em!$E:$ZZ, MATCH(A262, N2O_Em!$C:$C, 0), MATCH(B262, N2O_Em!$E$1:$ZZ$1, 0))</f>
        <v>9.9879999999999995</v>
      </c>
      <c r="G262">
        <f>INDEX(CO2_Em!$E:$ZZ, MATCH(A262, CO2_Em!$C:$C, 0), MATCH(B262, CO2_Em!$E$1:$ZZ$1, 0))</f>
        <v>2.8147000000000002</v>
      </c>
      <c r="H262">
        <f>INDEX(Agri_VA!$E:$ZZ, MATCH(A262, Agri_VA!$C:$C, 0), MATCH(B262, Agri_VA!$E$1:$ZZ$1, 0))</f>
        <v>11.16682394434873</v>
      </c>
      <c r="I262" s="6">
        <f>INDEX('Agri_land '!$E:$ZZ, MATCH(A262, 'Agri_land '!$C:$C, 0), MATCH(B262, 'Agri_land '!$E$1:$ZZ$1, 0))</f>
        <v>3.9891506353910291</v>
      </c>
      <c r="J262">
        <f>INDEX(Cereal_Yield!$E:$ZZ, MATCH(A262, Cereal_Yield!$C:$C, 0), MATCH(B262, Cereal_Yield!$E$1:$ZZ$1, 0))</f>
        <v>7167.4</v>
      </c>
    </row>
    <row r="263" spans="1:10" x14ac:dyDescent="0.3">
      <c r="A263" t="s">
        <v>15</v>
      </c>
      <c r="B263" s="4">
        <v>2021</v>
      </c>
      <c r="C263" t="s">
        <v>48</v>
      </c>
      <c r="D263" s="8">
        <f>INDEX(GDP_pc!$E:$ZZ, MATCH(A263, GDP_pc!$C:$C, 0), MATCH(B263, GDP_pc!$E$1:$ZZ$1, 0))</f>
        <v>424671765455.70428</v>
      </c>
      <c r="E263">
        <f>INDEX(CH4_Em!$E:$ZZ, MATCH(A263, CH4_Em!$C:$C, 0), MATCH(B263, CH4_Em!$E$1:$ZZ$1, 0))</f>
        <v>11.8957</v>
      </c>
      <c r="F263">
        <f>INDEX(N2O_Em!$E:$ZZ, MATCH(A263, N2O_Em!$C:$C, 0), MATCH(B263, N2O_Em!$E$1:$ZZ$1, 0))</f>
        <v>10.058999999999999</v>
      </c>
      <c r="G263">
        <f>INDEX(CO2_Em!$E:$ZZ, MATCH(A263, CO2_Em!$C:$C, 0), MATCH(B263, CO2_Em!$E$1:$ZZ$1, 0))</f>
        <v>2.6263999999999998</v>
      </c>
      <c r="H263">
        <f>INDEX(Agri_VA!$E:$ZZ, MATCH(A263, Agri_VA!$C:$C, 0), MATCH(B263, Agri_VA!$E$1:$ZZ$1, 0))</f>
        <v>11.43693265897255</v>
      </c>
      <c r="I263" s="6">
        <f>INDEX('Agri_land '!$E:$ZZ, MATCH(A263, 'Agri_land '!$C:$C, 0), MATCH(B263, 'Agri_land '!$E$1:$ZZ$1, 0))</f>
        <v>4.049424883218645</v>
      </c>
      <c r="J263">
        <f>INDEX(Cereal_Yield!$E:$ZZ, MATCH(A263, Cereal_Yield!$C:$C, 0), MATCH(B263, Cereal_Yield!$E$1:$ZZ$1, 0))</f>
        <v>7340.5</v>
      </c>
    </row>
    <row r="264" spans="1:10" x14ac:dyDescent="0.3">
      <c r="A264" t="s">
        <v>15</v>
      </c>
      <c r="B264" s="4">
        <v>2022</v>
      </c>
      <c r="C264" t="s">
        <v>48</v>
      </c>
      <c r="D264" s="8">
        <f>INDEX(GDP_pc!$E:$ZZ, MATCH(A264, GDP_pc!$C:$C, 0), MATCH(B264, GDP_pc!$E$1:$ZZ$1, 0))</f>
        <v>476747720364.74164</v>
      </c>
      <c r="E264">
        <f>INDEX(CH4_Em!$E:$ZZ, MATCH(A264, CH4_Em!$C:$C, 0), MATCH(B264, CH4_Em!$E$1:$ZZ$1, 0))</f>
        <v>12.3201</v>
      </c>
      <c r="F264">
        <f>INDEX(N2O_Em!$E:$ZZ, MATCH(A264, N2O_Em!$C:$C, 0), MATCH(B264, N2O_Em!$E$1:$ZZ$1, 0))</f>
        <v>9.875</v>
      </c>
      <c r="G264">
        <f>INDEX(CO2_Em!$E:$ZZ, MATCH(A264, CO2_Em!$C:$C, 0), MATCH(B264, CO2_Em!$E$1:$ZZ$1, 0))</f>
        <v>2.5019</v>
      </c>
      <c r="H264">
        <f>INDEX(Agri_VA!$E:$ZZ, MATCH(A264, Agri_VA!$C:$C, 0), MATCH(B264, Agri_VA!$E$1:$ZZ$1, 0))</f>
        <v>10.945753522473701</v>
      </c>
      <c r="I264" s="6">
        <f>INDEX('Agri_land '!$E:$ZZ, MATCH(A264, 'Agri_land '!$C:$C, 0), MATCH(B264, 'Agri_land '!$E$1:$ZZ$1, 0))</f>
        <v>4.0765482947410714</v>
      </c>
      <c r="J264">
        <f>INDEX(Cereal_Yield!$E:$ZZ, MATCH(A264, Cereal_Yield!$C:$C, 0), MATCH(B264, Cereal_Yield!$E$1:$ZZ$1, 0))</f>
        <v>7080.3</v>
      </c>
    </row>
    <row r="265" spans="1:10" x14ac:dyDescent="0.3">
      <c r="A265" t="s">
        <v>15</v>
      </c>
      <c r="B265" s="4">
        <v>2023</v>
      </c>
      <c r="C265" t="s">
        <v>48</v>
      </c>
      <c r="D265" s="8">
        <f>INDEX(GDP_pc!$E:$ZZ, MATCH(A265, GDP_pc!$C:$C, 0), MATCH(B265, GDP_pc!$E$1:$ZZ$1, 0))</f>
        <v>395926075163.0058</v>
      </c>
      <c r="E265">
        <f>INDEX(CH4_Em!$E:$ZZ, MATCH(A265, CH4_Em!$C:$C, 0), MATCH(B265, CH4_Em!$E$1:$ZZ$1, 0))</f>
        <v>13.819100000000001</v>
      </c>
      <c r="F265">
        <f>INDEX(N2O_Em!$E:$ZZ, MATCH(A265, N2O_Em!$C:$C, 0), MATCH(B265, N2O_Em!$E$1:$ZZ$1, 0))</f>
        <v>9.8793000000000006</v>
      </c>
      <c r="G265">
        <f>INDEX(CO2_Em!$E:$ZZ, MATCH(A265, CO2_Em!$C:$C, 0), MATCH(B265, CO2_Em!$E$1:$ZZ$1, 0))</f>
        <v>2.5188000000000001</v>
      </c>
      <c r="H265">
        <f>INDEX(Agri_VA!$E:$ZZ, MATCH(A265, Agri_VA!$C:$C, 0), MATCH(B265, Agri_VA!$E$1:$ZZ$1, 0))</f>
        <v>10.600311164503614</v>
      </c>
      <c r="I265" s="6">
        <f>INDEX('Agri_land '!$E:$ZZ, MATCH(A265, 'Agri_land '!$C:$C, 0), MATCH(B265, 'Agri_land '!$E$1:$ZZ$1, 0))</f>
        <v>4.0765482947410714</v>
      </c>
      <c r="J265">
        <f>INDEX(Cereal_Yield!$E:$ZZ, MATCH(A265, Cereal_Yield!$C:$C, 0), MATCH(B265, Cereal_Yield!$E$1:$ZZ$1, 0))</f>
        <v>7402.2</v>
      </c>
    </row>
    <row r="266" spans="1:10" x14ac:dyDescent="0.3">
      <c r="A266" t="s">
        <v>16</v>
      </c>
      <c r="B266" s="4">
        <v>2000</v>
      </c>
      <c r="C266" t="s">
        <v>49</v>
      </c>
      <c r="D266" s="8">
        <f>INDEX(GDP_pc!$E:$ZZ, MATCH(A266, GDP_pc!$C:$C, 0), MATCH(B266, GDP_pc!$E$1:$ZZ$1, 0))</f>
        <v>5686579747.535244</v>
      </c>
      <c r="E266">
        <f>INDEX(CH4_Em!$E:$ZZ, MATCH(A266, CH4_Em!$C:$C, 0), MATCH(B266, CH4_Em!$E$1:$ZZ$1, 0))</f>
        <v>0.79920000000000002</v>
      </c>
      <c r="F266">
        <f>INDEX(N2O_Em!$E:$ZZ, MATCH(A266, N2O_Em!$C:$C, 0), MATCH(B266, N2O_Em!$E$1:$ZZ$1, 0))</f>
        <v>1.2327999999999999</v>
      </c>
      <c r="G266">
        <f>INDEX(CO2_Em!$E:$ZZ, MATCH(A266, CO2_Em!$C:$C, 0), MATCH(B266, CO2_Em!$E$1:$ZZ$1, 0))</f>
        <v>5.1400000000000001E-2</v>
      </c>
      <c r="H266">
        <f>INDEX(Agri_VA!$E:$ZZ, MATCH(A266, Agri_VA!$C:$C, 0), MATCH(B266, Agri_VA!$E$1:$ZZ$1, 0))</f>
        <v>3.8850095882054139</v>
      </c>
      <c r="I266" s="6">
        <f>INDEX('Agri_land '!$E:$ZZ, MATCH(A266, 'Agri_land '!$C:$C, 0), MATCH(B266, 'Agri_land '!$E$1:$ZZ$1, 0))</f>
        <v>23.260202878037273</v>
      </c>
      <c r="J266">
        <f>INDEX(Cereal_Yield!$E:$ZZ, MATCH(A266, Cereal_Yield!$C:$C, 0), MATCH(B266, Cereal_Yield!$E$1:$ZZ$1, 0))</f>
        <v>2114.6999999999998</v>
      </c>
    </row>
    <row r="267" spans="1:10" x14ac:dyDescent="0.3">
      <c r="A267" t="s">
        <v>16</v>
      </c>
      <c r="B267" s="4">
        <v>2001</v>
      </c>
      <c r="C267" t="s">
        <v>49</v>
      </c>
      <c r="D267" s="8">
        <f>INDEX(GDP_pc!$E:$ZZ, MATCH(A267, GDP_pc!$C:$C, 0), MATCH(B267, GDP_pc!$E$1:$ZZ$1, 0))</f>
        <v>6250218422.7016382</v>
      </c>
      <c r="E267">
        <f>INDEX(CH4_Em!$E:$ZZ, MATCH(A267, CH4_Em!$C:$C, 0), MATCH(B267, CH4_Em!$E$1:$ZZ$1, 0))</f>
        <v>0.79730000000000001</v>
      </c>
      <c r="F267">
        <f>INDEX(N2O_Em!$E:$ZZ, MATCH(A267, N2O_Em!$C:$C, 0), MATCH(B267, N2O_Em!$E$1:$ZZ$1, 0))</f>
        <v>1.2607999999999999</v>
      </c>
      <c r="G267">
        <f>INDEX(CO2_Em!$E:$ZZ, MATCH(A267, CO2_Em!$C:$C, 0), MATCH(B267, CO2_Em!$E$1:$ZZ$1, 0))</f>
        <v>5.8099999999999999E-2</v>
      </c>
      <c r="H267">
        <f>INDEX(Agri_VA!$E:$ZZ, MATCH(A267, Agri_VA!$C:$C, 0), MATCH(B267, Agri_VA!$E$1:$ZZ$1, 0))</f>
        <v>3.4964457065254835</v>
      </c>
      <c r="I267" s="6">
        <f>INDEX('Agri_land '!$E:$ZZ, MATCH(A267, 'Agri_land '!$C:$C, 0), MATCH(B267, 'Agri_land '!$E$1:$ZZ$1, 0))</f>
        <v>20.995517810804433</v>
      </c>
      <c r="J267">
        <f>INDEX(Cereal_Yield!$E:$ZZ, MATCH(A267, Cereal_Yield!$C:$C, 0), MATCH(B267, Cereal_Yield!$E$1:$ZZ$1, 0))</f>
        <v>2037</v>
      </c>
    </row>
    <row r="268" spans="1:10" x14ac:dyDescent="0.3">
      <c r="A268" t="s">
        <v>16</v>
      </c>
      <c r="B268" s="4">
        <v>2002</v>
      </c>
      <c r="C268" t="s">
        <v>49</v>
      </c>
      <c r="D268" s="8">
        <f>INDEX(GDP_pc!$E:$ZZ, MATCH(A268, GDP_pc!$C:$C, 0), MATCH(B268, GDP_pc!$E$1:$ZZ$1, 0))</f>
        <v>7370119619.4781952</v>
      </c>
      <c r="E268">
        <f>INDEX(CH4_Em!$E:$ZZ, MATCH(A268, CH4_Em!$C:$C, 0), MATCH(B268, CH4_Em!$E$1:$ZZ$1, 0))</f>
        <v>0.8014</v>
      </c>
      <c r="F268">
        <f>INDEX(N2O_Em!$E:$ZZ, MATCH(A268, N2O_Em!$C:$C, 0), MATCH(B268, N2O_Em!$E$1:$ZZ$1, 0))</f>
        <v>1.2788999999999999</v>
      </c>
      <c r="G268">
        <f>INDEX(CO2_Em!$E:$ZZ, MATCH(A268, CO2_Em!$C:$C, 0), MATCH(B268, CO2_Em!$E$1:$ZZ$1, 0))</f>
        <v>5.9499999999999997E-2</v>
      </c>
      <c r="H268">
        <f>INDEX(Agri_VA!$E:$ZZ, MATCH(A268, Agri_VA!$C:$C, 0), MATCH(B268, Agri_VA!$E$1:$ZZ$1, 0))</f>
        <v>3.5524871000820974</v>
      </c>
      <c r="I268" s="6">
        <f>INDEX('Agri_land '!$E:$ZZ, MATCH(A268, 'Agri_land '!$C:$C, 0), MATCH(B268, 'Agri_land '!$E$1:$ZZ$1, 0))</f>
        <v>16.470865770228826</v>
      </c>
      <c r="J268">
        <f>INDEX(Cereal_Yield!$E:$ZZ, MATCH(A268, Cereal_Yield!$C:$C, 0), MATCH(B268, Cereal_Yield!$E$1:$ZZ$1, 0))</f>
        <v>2024</v>
      </c>
    </row>
    <row r="269" spans="1:10" x14ac:dyDescent="0.3">
      <c r="A269" t="s">
        <v>16</v>
      </c>
      <c r="B269" s="4">
        <v>2003</v>
      </c>
      <c r="C269" t="s">
        <v>49</v>
      </c>
      <c r="D269" s="8">
        <f>INDEX(GDP_pc!$E:$ZZ, MATCH(A269, GDP_pc!$C:$C, 0), MATCH(B269, GDP_pc!$E$1:$ZZ$1, 0))</f>
        <v>9876595528.4552841</v>
      </c>
      <c r="E269">
        <f>INDEX(CH4_Em!$E:$ZZ, MATCH(A269, CH4_Em!$C:$C, 0), MATCH(B269, CH4_Em!$E$1:$ZZ$1, 0))</f>
        <v>0.79479999999999995</v>
      </c>
      <c r="F269">
        <f>INDEX(N2O_Em!$E:$ZZ, MATCH(A269, N2O_Em!$C:$C, 0), MATCH(B269, N2O_Em!$E$1:$ZZ$1, 0))</f>
        <v>1.2531000000000001</v>
      </c>
      <c r="G269">
        <f>INDEX(CO2_Em!$E:$ZZ, MATCH(A269, CO2_Em!$C:$C, 0), MATCH(B269, CO2_Em!$E$1:$ZZ$1, 0))</f>
        <v>5.2600000000000001E-2</v>
      </c>
      <c r="H269">
        <f>INDEX(Agri_VA!$E:$ZZ, MATCH(A269, Agri_VA!$C:$C, 0), MATCH(B269, Agri_VA!$E$1:$ZZ$1, 0))</f>
        <v>3.4592880777041617</v>
      </c>
      <c r="I269" s="6">
        <f>INDEX('Agri_land '!$E:$ZZ, MATCH(A269, 'Agri_land '!$C:$C, 0), MATCH(B269, 'Agri_land '!$E$1:$ZZ$1, 0))</f>
        <v>19.549422033498466</v>
      </c>
      <c r="J269">
        <f>INDEX(Cereal_Yield!$E:$ZZ, MATCH(A269, Cereal_Yield!$C:$C, 0), MATCH(B269, Cereal_Yield!$E$1:$ZZ$1, 0))</f>
        <v>1921.7</v>
      </c>
    </row>
    <row r="270" spans="1:10" x14ac:dyDescent="0.3">
      <c r="A270" t="s">
        <v>16</v>
      </c>
      <c r="B270" s="4">
        <v>2004</v>
      </c>
      <c r="C270" t="s">
        <v>49</v>
      </c>
      <c r="D270" s="8">
        <f>INDEX(GDP_pc!$E:$ZZ, MATCH(A270, GDP_pc!$C:$C, 0), MATCH(B270, GDP_pc!$E$1:$ZZ$1, 0))</f>
        <v>12148595031.055901</v>
      </c>
      <c r="E270">
        <f>INDEX(CH4_Em!$E:$ZZ, MATCH(A270, CH4_Em!$C:$C, 0), MATCH(B270, CH4_Em!$E$1:$ZZ$1, 0))</f>
        <v>0.82399999999999995</v>
      </c>
      <c r="F270">
        <f>INDEX(N2O_Em!$E:$ZZ, MATCH(A270, N2O_Em!$C:$C, 0), MATCH(B270, N2O_Em!$E$1:$ZZ$1, 0))</f>
        <v>1.2869999999999999</v>
      </c>
      <c r="G270">
        <f>INDEX(CO2_Em!$E:$ZZ, MATCH(A270, CO2_Em!$C:$C, 0), MATCH(B270, CO2_Em!$E$1:$ZZ$1, 0))</f>
        <v>5.6399999999999999E-2</v>
      </c>
      <c r="H270">
        <f>INDEX(Agri_VA!$E:$ZZ, MATCH(A270, Agri_VA!$C:$C, 0), MATCH(B270, Agri_VA!$E$1:$ZZ$1, 0))</f>
        <v>3.6186992560753133</v>
      </c>
      <c r="I270" s="6">
        <f>INDEX('Agri_land '!$E:$ZZ, MATCH(A270, 'Agri_land '!$C:$C, 0), MATCH(B270, 'Agri_land '!$E$1:$ZZ$1, 0))</f>
        <v>18.174097664543524</v>
      </c>
      <c r="J270">
        <f>INDEX(Cereal_Yield!$E:$ZZ, MATCH(A270, Cereal_Yield!$C:$C, 0), MATCH(B270, Cereal_Yield!$E$1:$ZZ$1, 0))</f>
        <v>2330.3000000000002</v>
      </c>
    </row>
    <row r="271" spans="1:10" x14ac:dyDescent="0.3">
      <c r="A271" t="s">
        <v>16</v>
      </c>
      <c r="B271" s="4">
        <v>2005</v>
      </c>
      <c r="C271" t="s">
        <v>49</v>
      </c>
      <c r="D271" s="8">
        <f>INDEX(GDP_pc!$E:$ZZ, MATCH(A271, GDP_pc!$C:$C, 0), MATCH(B271, GDP_pc!$E$1:$ZZ$1, 0))</f>
        <v>14109491356.796417</v>
      </c>
      <c r="E271">
        <f>INDEX(CH4_Em!$E:$ZZ, MATCH(A271, CH4_Em!$C:$C, 0), MATCH(B271, CH4_Em!$E$1:$ZZ$1, 0))</f>
        <v>0.77829999999999999</v>
      </c>
      <c r="F271">
        <f>INDEX(N2O_Em!$E:$ZZ, MATCH(A271, N2O_Em!$C:$C, 0), MATCH(B271, N2O_Em!$E$1:$ZZ$1, 0))</f>
        <v>1.3012999999999999</v>
      </c>
      <c r="G271">
        <f>INDEX(CO2_Em!$E:$ZZ, MATCH(A271, CO2_Em!$C:$C, 0), MATCH(B271, CO2_Em!$E$1:$ZZ$1, 0))</f>
        <v>5.2600000000000001E-2</v>
      </c>
      <c r="H271">
        <f>INDEX(Agri_VA!$E:$ZZ, MATCH(A271, Agri_VA!$C:$C, 0), MATCH(B271, Agri_VA!$E$1:$ZZ$1, 0))</f>
        <v>3.2866855253413658</v>
      </c>
      <c r="I271" s="6">
        <f>INDEX('Agri_land '!$E:$ZZ, MATCH(A271, 'Agri_land '!$C:$C, 0), MATCH(B271, 'Agri_land '!$E$1:$ZZ$1, 0))</f>
        <v>20.804435008256664</v>
      </c>
      <c r="J271">
        <f>INDEX(Cereal_Yield!$E:$ZZ, MATCH(A271, Cereal_Yield!$C:$C, 0), MATCH(B271, Cereal_Yield!$E$1:$ZZ$1, 0))</f>
        <v>2694.4</v>
      </c>
    </row>
    <row r="272" spans="1:10" x14ac:dyDescent="0.3">
      <c r="A272" t="s">
        <v>16</v>
      </c>
      <c r="B272" s="4">
        <v>2006</v>
      </c>
      <c r="C272" t="s">
        <v>49</v>
      </c>
      <c r="D272" s="8">
        <f>INDEX(GDP_pc!$E:$ZZ, MATCH(A272, GDP_pc!$C:$C, 0), MATCH(B272, GDP_pc!$E$1:$ZZ$1, 0))</f>
        <v>17025671810.312382</v>
      </c>
      <c r="E272">
        <f>INDEX(CH4_Em!$E:$ZZ, MATCH(A272, CH4_Em!$C:$C, 0), MATCH(B272, CH4_Em!$E$1:$ZZ$1, 0))</f>
        <v>0.80489999999999995</v>
      </c>
      <c r="F272">
        <f>INDEX(N2O_Em!$E:$ZZ, MATCH(A272, N2O_Em!$C:$C, 0), MATCH(B272, N2O_Em!$E$1:$ZZ$1, 0))</f>
        <v>1.2107000000000001</v>
      </c>
      <c r="G272">
        <f>INDEX(CO2_Em!$E:$ZZ, MATCH(A272, CO2_Em!$C:$C, 0), MATCH(B272, CO2_Em!$E$1:$ZZ$1, 0))</f>
        <v>3.1800000000000002E-2</v>
      </c>
      <c r="H272">
        <f>INDEX(Agri_VA!$E:$ZZ, MATCH(A272, Agri_VA!$C:$C, 0), MATCH(B272, Agri_VA!$E$1:$ZZ$1, 0))</f>
        <v>3.1438204669710328</v>
      </c>
      <c r="I272" s="6">
        <f>INDEX('Agri_land '!$E:$ZZ, MATCH(A272, 'Agri_land '!$C:$C, 0), MATCH(B272, 'Agri_land '!$E$1:$ZZ$1, 0))</f>
        <v>21.196036801132344</v>
      </c>
      <c r="J272">
        <f>INDEX(Cereal_Yield!$E:$ZZ, MATCH(A272, Cereal_Yield!$C:$C, 0), MATCH(B272, Cereal_Yield!$E$1:$ZZ$1, 0))</f>
        <v>2209.9</v>
      </c>
    </row>
    <row r="273" spans="1:10" x14ac:dyDescent="0.3">
      <c r="A273" t="s">
        <v>16</v>
      </c>
      <c r="B273" s="4">
        <v>2007</v>
      </c>
      <c r="C273" t="s">
        <v>49</v>
      </c>
      <c r="D273" s="8">
        <f>INDEX(GDP_pc!$E:$ZZ, MATCH(A273, GDP_pc!$C:$C, 0), MATCH(B273, GDP_pc!$E$1:$ZZ$1, 0))</f>
        <v>22450264166.438541</v>
      </c>
      <c r="E273">
        <f>INDEX(CH4_Em!$E:$ZZ, MATCH(A273, CH4_Em!$C:$C, 0), MATCH(B273, CH4_Em!$E$1:$ZZ$1, 0))</f>
        <v>0.77880000000000005</v>
      </c>
      <c r="F273">
        <f>INDEX(N2O_Em!$E:$ZZ, MATCH(A273, N2O_Em!$C:$C, 0), MATCH(B273, N2O_Em!$E$1:$ZZ$1, 0))</f>
        <v>1.2709999999999999</v>
      </c>
      <c r="G273">
        <f>INDEX(CO2_Em!$E:$ZZ, MATCH(A273, CO2_Em!$C:$C, 0), MATCH(B273, CO2_Em!$E$1:$ZZ$1, 0))</f>
        <v>2.7799999999999998E-2</v>
      </c>
      <c r="H273">
        <f>INDEX(Agri_VA!$E:$ZZ, MATCH(A273, Agri_VA!$C:$C, 0), MATCH(B273, Agri_VA!$E$1:$ZZ$1, 0))</f>
        <v>3.9253420417782703</v>
      </c>
      <c r="I273" s="6">
        <f>INDEX('Agri_land '!$E:$ZZ, MATCH(A273, 'Agri_land '!$C:$C, 0), MATCH(B273, 'Agri_land '!$E$1:$ZZ$1, 0))</f>
        <v>21.57584335928285</v>
      </c>
      <c r="J273">
        <f>INDEX(Cereal_Yield!$E:$ZZ, MATCH(A273, Cereal_Yield!$C:$C, 0), MATCH(B273, Cereal_Yield!$E$1:$ZZ$1, 0))</f>
        <v>3009.1</v>
      </c>
    </row>
    <row r="274" spans="1:10" x14ac:dyDescent="0.3">
      <c r="A274" t="s">
        <v>16</v>
      </c>
      <c r="B274" s="4">
        <v>2008</v>
      </c>
      <c r="C274" t="s">
        <v>49</v>
      </c>
      <c r="D274" s="8">
        <f>INDEX(GDP_pc!$E:$ZZ, MATCH(A274, GDP_pc!$C:$C, 0), MATCH(B274, GDP_pc!$E$1:$ZZ$1, 0))</f>
        <v>24342935403.544746</v>
      </c>
      <c r="E274">
        <f>INDEX(CH4_Em!$E:$ZZ, MATCH(A274, CH4_Em!$C:$C, 0), MATCH(B274, CH4_Em!$E$1:$ZZ$1, 0))</f>
        <v>0.7923</v>
      </c>
      <c r="F274">
        <f>INDEX(N2O_Em!$E:$ZZ, MATCH(A274, N2O_Em!$C:$C, 0), MATCH(B274, N2O_Em!$E$1:$ZZ$1, 0))</f>
        <v>1.3248</v>
      </c>
      <c r="G274">
        <f>INDEX(CO2_Em!$E:$ZZ, MATCH(A274, CO2_Em!$C:$C, 0), MATCH(B274, CO2_Em!$E$1:$ZZ$1, 0))</f>
        <v>6.3899999999999998E-2</v>
      </c>
      <c r="H274">
        <f>INDEX(Agri_VA!$E:$ZZ, MATCH(A274, Agri_VA!$C:$C, 0), MATCH(B274, Agri_VA!$E$1:$ZZ$1, 0))</f>
        <v>3.4012615258679233</v>
      </c>
      <c r="I274" s="6">
        <f>INDEX('Agri_land '!$E:$ZZ, MATCH(A274, 'Agri_land '!$C:$C, 0), MATCH(B274, 'Agri_land '!$E$1:$ZZ$1, 0))</f>
        <v>21.391837697570182</v>
      </c>
      <c r="J274">
        <f>INDEX(Cereal_Yield!$E:$ZZ, MATCH(A274, Cereal_Yield!$C:$C, 0), MATCH(B274, Cereal_Yield!$E$1:$ZZ$1, 0))</f>
        <v>2792.8</v>
      </c>
    </row>
    <row r="275" spans="1:10" x14ac:dyDescent="0.3">
      <c r="A275" t="s">
        <v>16</v>
      </c>
      <c r="B275" s="4">
        <v>2009</v>
      </c>
      <c r="C275" t="s">
        <v>49</v>
      </c>
      <c r="D275" s="8">
        <f>INDEX(GDP_pc!$E:$ZZ, MATCH(A275, GDP_pc!$C:$C, 0), MATCH(B275, GDP_pc!$E$1:$ZZ$1, 0))</f>
        <v>19633984440.122257</v>
      </c>
      <c r="E275">
        <f>INDEX(CH4_Em!$E:$ZZ, MATCH(A275, CH4_Em!$C:$C, 0), MATCH(B275, CH4_Em!$E$1:$ZZ$1, 0))</f>
        <v>0.79559999999999997</v>
      </c>
      <c r="F275">
        <f>INDEX(N2O_Em!$E:$ZZ, MATCH(A275, N2O_Em!$C:$C, 0), MATCH(B275, N2O_Em!$E$1:$ZZ$1, 0))</f>
        <v>1.3383</v>
      </c>
      <c r="G275">
        <f>INDEX(CO2_Em!$E:$ZZ, MATCH(A275, CO2_Em!$C:$C, 0), MATCH(B275, CO2_Em!$E$1:$ZZ$1, 0))</f>
        <v>7.9399999999999998E-2</v>
      </c>
      <c r="H275">
        <f>INDEX(Agri_VA!$E:$ZZ, MATCH(A275, Agri_VA!$C:$C, 0), MATCH(B275, Agri_VA!$E$1:$ZZ$1, 0))</f>
        <v>2.4710487327757455</v>
      </c>
      <c r="I275" s="6">
        <f>INDEX('Agri_land '!$E:$ZZ, MATCH(A275, 'Agri_land '!$C:$C, 0), MATCH(B275, 'Agri_land '!$E$1:$ZZ$1, 0))</f>
        <v>21.981599433828734</v>
      </c>
      <c r="J275">
        <f>INDEX(Cereal_Yield!$E:$ZZ, MATCH(A275, Cereal_Yield!$C:$C, 0), MATCH(B275, Cereal_Yield!$E$1:$ZZ$1, 0))</f>
        <v>2760.5</v>
      </c>
    </row>
    <row r="276" spans="1:10" x14ac:dyDescent="0.3">
      <c r="A276" t="s">
        <v>16</v>
      </c>
      <c r="B276" s="4">
        <v>2010</v>
      </c>
      <c r="C276" t="s">
        <v>49</v>
      </c>
      <c r="D276" s="8">
        <f>INDEX(GDP_pc!$E:$ZZ, MATCH(A276, GDP_pc!$C:$C, 0), MATCH(B276, GDP_pc!$E$1:$ZZ$1, 0))</f>
        <v>19524355419.037971</v>
      </c>
      <c r="E276">
        <f>INDEX(CH4_Em!$E:$ZZ, MATCH(A276, CH4_Em!$C:$C, 0), MATCH(B276, CH4_Em!$E$1:$ZZ$1, 0))</f>
        <v>0.80010000000000003</v>
      </c>
      <c r="F276">
        <f>INDEX(N2O_Em!$E:$ZZ, MATCH(A276, N2O_Em!$C:$C, 0), MATCH(B276, N2O_Em!$E$1:$ZZ$1, 0))</f>
        <v>1.3507</v>
      </c>
      <c r="G276">
        <f>INDEX(CO2_Em!$E:$ZZ, MATCH(A276, CO2_Em!$C:$C, 0), MATCH(B276, CO2_Em!$E$1:$ZZ$1, 0))</f>
        <v>5.8599999999999999E-2</v>
      </c>
      <c r="H276">
        <f>INDEX(Agri_VA!$E:$ZZ, MATCH(A276, Agri_VA!$C:$C, 0), MATCH(B276, Agri_VA!$E$1:$ZZ$1, 0))</f>
        <v>3.1709294530926622</v>
      </c>
      <c r="I276" s="6">
        <f>INDEX('Agri_land '!$E:$ZZ, MATCH(A276, 'Agri_land '!$C:$C, 0), MATCH(B276, 'Agri_land '!$E$1:$ZZ$1, 0))</f>
        <v>22.382637414484549</v>
      </c>
      <c r="J276">
        <f>INDEX(Cereal_Yield!$E:$ZZ, MATCH(A276, Cereal_Yield!$C:$C, 0), MATCH(B276, Cereal_Yield!$E$1:$ZZ$1, 0))</f>
        <v>2464.1999999999998</v>
      </c>
    </row>
    <row r="277" spans="1:10" x14ac:dyDescent="0.3">
      <c r="A277" t="s">
        <v>16</v>
      </c>
      <c r="B277" s="4">
        <v>2011</v>
      </c>
      <c r="C277" t="s">
        <v>49</v>
      </c>
      <c r="D277" s="8">
        <f>INDEX(GDP_pc!$E:$ZZ, MATCH(A277, GDP_pc!$C:$C, 0), MATCH(B277, GDP_pc!$E$1:$ZZ$1, 0))</f>
        <v>23303915794.756855</v>
      </c>
      <c r="E277">
        <f>INDEX(CH4_Em!$E:$ZZ, MATCH(A277, CH4_Em!$C:$C, 0), MATCH(B277, CH4_Em!$E$1:$ZZ$1, 0))</f>
        <v>0.82389999999999997</v>
      </c>
      <c r="F277">
        <f>INDEX(N2O_Em!$E:$ZZ, MATCH(A277, N2O_Em!$C:$C, 0), MATCH(B277, N2O_Em!$E$1:$ZZ$1, 0))</f>
        <v>1.375</v>
      </c>
      <c r="G277">
        <f>INDEX(CO2_Em!$E:$ZZ, MATCH(A277, CO2_Em!$C:$C, 0), MATCH(B277, CO2_Em!$E$1:$ZZ$1, 0))</f>
        <v>6.0600000000000001E-2</v>
      </c>
      <c r="H277">
        <f>INDEX(Agri_VA!$E:$ZZ, MATCH(A277, Agri_VA!$C:$C, 0), MATCH(B277, Agri_VA!$E$1:$ZZ$1, 0))</f>
        <v>3.6656686292327074</v>
      </c>
      <c r="I277" s="6">
        <f>INDEX('Agri_land '!$E:$ZZ, MATCH(A277, 'Agri_land '!$C:$C, 0), MATCH(B277, 'Agri_land '!$E$1:$ZZ$1, 0))</f>
        <v>22.31658410002359</v>
      </c>
      <c r="J277">
        <f>INDEX(Cereal_Yield!$E:$ZZ, MATCH(A277, Cereal_Yield!$C:$C, 0), MATCH(B277, Cereal_Yield!$E$1:$ZZ$1, 0))</f>
        <v>2598.9</v>
      </c>
    </row>
    <row r="278" spans="1:10" x14ac:dyDescent="0.3">
      <c r="A278" t="s">
        <v>16</v>
      </c>
      <c r="B278" s="4">
        <v>2012</v>
      </c>
      <c r="C278" t="s">
        <v>49</v>
      </c>
      <c r="D278" s="8">
        <f>INDEX(GDP_pc!$E:$ZZ, MATCH(A278, GDP_pc!$C:$C, 0), MATCH(B278, GDP_pc!$E$1:$ZZ$1, 0))</f>
        <v>23237406116.398834</v>
      </c>
      <c r="E278">
        <f>INDEX(CH4_Em!$E:$ZZ, MATCH(A278, CH4_Em!$C:$C, 0), MATCH(B278, CH4_Em!$E$1:$ZZ$1, 0))</f>
        <v>0.84130000000000005</v>
      </c>
      <c r="F278">
        <f>INDEX(N2O_Em!$E:$ZZ, MATCH(A278, N2O_Em!$C:$C, 0), MATCH(B278, N2O_Em!$E$1:$ZZ$1, 0))</f>
        <v>1.4202999999999999</v>
      </c>
      <c r="G278">
        <f>INDEX(CO2_Em!$E:$ZZ, MATCH(A278, CO2_Em!$C:$C, 0), MATCH(B278, CO2_Em!$E$1:$ZZ$1, 0))</f>
        <v>5.9900000000000002E-2</v>
      </c>
      <c r="H278">
        <f>INDEX(Agri_VA!$E:$ZZ, MATCH(A278, Agri_VA!$C:$C, 0), MATCH(B278, Agri_VA!$E$1:$ZZ$1, 0))</f>
        <v>3.2843229052026977</v>
      </c>
      <c r="I278" s="6">
        <f>INDEX('Agri_land '!$E:$ZZ, MATCH(A278, 'Agri_land '!$C:$C, 0), MATCH(B278, 'Agri_land '!$E$1:$ZZ$1, 0))</f>
        <v>22.550129747581977</v>
      </c>
      <c r="J278">
        <f>INDEX(Cereal_Yield!$E:$ZZ, MATCH(A278, Cereal_Yield!$C:$C, 0), MATCH(B278, Cereal_Yield!$E$1:$ZZ$1, 0))</f>
        <v>3412</v>
      </c>
    </row>
    <row r="279" spans="1:10" x14ac:dyDescent="0.3">
      <c r="A279" t="s">
        <v>16</v>
      </c>
      <c r="B279" s="4">
        <v>2013</v>
      </c>
      <c r="C279" t="s">
        <v>49</v>
      </c>
      <c r="D279" s="8">
        <f>INDEX(GDP_pc!$E:$ZZ, MATCH(A279, GDP_pc!$C:$C, 0), MATCH(B279, GDP_pc!$E$1:$ZZ$1, 0))</f>
        <v>25451032780.757328</v>
      </c>
      <c r="E279">
        <f>INDEX(CH4_Em!$E:$ZZ, MATCH(A279, CH4_Em!$C:$C, 0), MATCH(B279, CH4_Em!$E$1:$ZZ$1, 0))</f>
        <v>0.87749999999999995</v>
      </c>
      <c r="F279">
        <f>INDEX(N2O_Em!$E:$ZZ, MATCH(A279, N2O_Em!$C:$C, 0), MATCH(B279, N2O_Em!$E$1:$ZZ$1, 0))</f>
        <v>1.4537</v>
      </c>
      <c r="G279">
        <f>INDEX(CO2_Em!$E:$ZZ, MATCH(A279, CO2_Em!$C:$C, 0), MATCH(B279, CO2_Em!$E$1:$ZZ$1, 0))</f>
        <v>6.9099999999999995E-2</v>
      </c>
      <c r="H279">
        <f>INDEX(Agri_VA!$E:$ZZ, MATCH(A279, Agri_VA!$C:$C, 0), MATCH(B279, Agri_VA!$E$1:$ZZ$1, 0))</f>
        <v>3.0474297366660141</v>
      </c>
      <c r="I279" s="6">
        <f>INDEX('Agri_land '!$E:$ZZ, MATCH(A279, 'Agri_land '!$C:$C, 0), MATCH(B279, 'Agri_land '!$E$1:$ZZ$1, 0))</f>
        <v>22.199217851391765</v>
      </c>
      <c r="J279">
        <f>INDEX(Cereal_Yield!$E:$ZZ, MATCH(A279, Cereal_Yield!$C:$C, 0), MATCH(B279, Cereal_Yield!$E$1:$ZZ$1, 0))</f>
        <v>3135.6</v>
      </c>
    </row>
    <row r="280" spans="1:10" x14ac:dyDescent="0.3">
      <c r="A280" t="s">
        <v>16</v>
      </c>
      <c r="B280" s="4">
        <v>2014</v>
      </c>
      <c r="C280" t="s">
        <v>49</v>
      </c>
      <c r="D280" s="8">
        <f>INDEX(GDP_pc!$E:$ZZ, MATCH(A280, GDP_pc!$C:$C, 0), MATCH(B280, GDP_pc!$E$1:$ZZ$1, 0))</f>
        <v>27055689003.003826</v>
      </c>
      <c r="E280">
        <f>INDEX(CH4_Em!$E:$ZZ, MATCH(A280, CH4_Em!$C:$C, 0), MATCH(B280, CH4_Em!$E$1:$ZZ$1, 0))</f>
        <v>0.92869999999999997</v>
      </c>
      <c r="F280">
        <f>INDEX(N2O_Em!$E:$ZZ, MATCH(A280, N2O_Em!$C:$C, 0), MATCH(B280, N2O_Em!$E$1:$ZZ$1, 0))</f>
        <v>1.4735</v>
      </c>
      <c r="G280">
        <f>INDEX(CO2_Em!$E:$ZZ, MATCH(A280, CO2_Em!$C:$C, 0), MATCH(B280, CO2_Em!$E$1:$ZZ$1, 0))</f>
        <v>7.5399999999999995E-2</v>
      </c>
      <c r="H280">
        <f>INDEX(Agri_VA!$E:$ZZ, MATCH(A280, Agri_VA!$C:$C, 0), MATCH(B280, Agri_VA!$E$1:$ZZ$1, 0))</f>
        <v>3.1149616166099863</v>
      </c>
      <c r="I280" s="6">
        <f>INDEX('Agri_land '!$E:$ZZ, MATCH(A280, 'Agri_land '!$C:$C, 0), MATCH(B280, 'Agri_land '!$E$1:$ZZ$1, 0))</f>
        <v>22.406257188865887</v>
      </c>
      <c r="J280">
        <f>INDEX(Cereal_Yield!$E:$ZZ, MATCH(A280, Cereal_Yield!$C:$C, 0), MATCH(B280, Cereal_Yield!$E$1:$ZZ$1, 0))</f>
        <v>3669.6</v>
      </c>
    </row>
    <row r="281" spans="1:10" x14ac:dyDescent="0.3">
      <c r="A281" t="s">
        <v>16</v>
      </c>
      <c r="B281" s="4">
        <v>2015</v>
      </c>
      <c r="C281" t="s">
        <v>49</v>
      </c>
      <c r="D281" s="8">
        <f>INDEX(GDP_pc!$E:$ZZ, MATCH(A281, GDP_pc!$C:$C, 0), MATCH(B281, GDP_pc!$E$1:$ZZ$1, 0))</f>
        <v>23311847750.939442</v>
      </c>
      <c r="E281">
        <f>INDEX(CH4_Em!$E:$ZZ, MATCH(A281, CH4_Em!$C:$C, 0), MATCH(B281, CH4_Em!$E$1:$ZZ$1, 0))</f>
        <v>0.94240000000000002</v>
      </c>
      <c r="F281">
        <f>INDEX(N2O_Em!$E:$ZZ, MATCH(A281, N2O_Em!$C:$C, 0), MATCH(B281, N2O_Em!$E$1:$ZZ$1, 0))</f>
        <v>1.5323</v>
      </c>
      <c r="G281">
        <f>INDEX(CO2_Em!$E:$ZZ, MATCH(A281, CO2_Em!$C:$C, 0), MATCH(B281, CO2_Em!$E$1:$ZZ$1, 0))</f>
        <v>9.4299999999999995E-2</v>
      </c>
      <c r="H281">
        <f>INDEX(Agri_VA!$E:$ZZ, MATCH(A281, Agri_VA!$C:$C, 0), MATCH(B281, Agri_VA!$E$1:$ZZ$1, 0))</f>
        <v>2.8064215286505068</v>
      </c>
      <c r="I281" s="6">
        <f>INDEX('Agri_land '!$E:$ZZ, MATCH(A281, 'Agri_land '!$C:$C, 0), MATCH(B281, 'Agri_land '!$E$1:$ZZ$1, 0))</f>
        <v>22.843340234644582</v>
      </c>
      <c r="J281">
        <f>INDEX(Cereal_Yield!$E:$ZZ, MATCH(A281, Cereal_Yield!$C:$C, 0), MATCH(B281, Cereal_Yield!$E$1:$ZZ$1, 0))</f>
        <v>4381.6000000000004</v>
      </c>
    </row>
    <row r="282" spans="1:10" x14ac:dyDescent="0.3">
      <c r="A282" t="s">
        <v>16</v>
      </c>
      <c r="B282" s="4">
        <v>2016</v>
      </c>
      <c r="C282" t="s">
        <v>49</v>
      </c>
      <c r="D282" s="8">
        <f>INDEX(GDP_pc!$E:$ZZ, MATCH(A282, GDP_pc!$C:$C, 0), MATCH(B282, GDP_pc!$E$1:$ZZ$1, 0))</f>
        <v>24561027787.789555</v>
      </c>
      <c r="E282">
        <f>INDEX(CH4_Em!$E:$ZZ, MATCH(A282, CH4_Em!$C:$C, 0), MATCH(B282, CH4_Em!$E$1:$ZZ$1, 0))</f>
        <v>0.86909999999999998</v>
      </c>
      <c r="F282">
        <f>INDEX(N2O_Em!$E:$ZZ, MATCH(A282, N2O_Em!$C:$C, 0), MATCH(B282, N2O_Em!$E$1:$ZZ$1, 0))</f>
        <v>1.4494</v>
      </c>
      <c r="G282">
        <f>INDEX(CO2_Em!$E:$ZZ, MATCH(A282, CO2_Em!$C:$C, 0), MATCH(B282, CO2_Em!$E$1:$ZZ$1, 0))</f>
        <v>8.1699999999999995E-2</v>
      </c>
      <c r="H282">
        <f>INDEX(Agri_VA!$E:$ZZ, MATCH(A282, Agri_VA!$C:$C, 0), MATCH(B282, Agri_VA!$E$1:$ZZ$1, 0))</f>
        <v>2.0715978609000993</v>
      </c>
      <c r="I282" s="6">
        <f>INDEX('Agri_land '!$E:$ZZ, MATCH(A282, 'Agri_land '!$C:$C, 0), MATCH(B282, 'Agri_land '!$E$1:$ZZ$1, 0))</f>
        <v>23.07338394294916</v>
      </c>
      <c r="J282">
        <f>INDEX(Cereal_Yield!$E:$ZZ, MATCH(A282, Cereal_Yield!$C:$C, 0), MATCH(B282, Cereal_Yield!$E$1:$ZZ$1, 0))</f>
        <v>2658.4</v>
      </c>
    </row>
    <row r="283" spans="1:10" x14ac:dyDescent="0.3">
      <c r="A283" t="s">
        <v>16</v>
      </c>
      <c r="B283" s="4">
        <v>2017</v>
      </c>
      <c r="C283" t="s">
        <v>49</v>
      </c>
      <c r="D283" s="8">
        <f>INDEX(GDP_pc!$E:$ZZ, MATCH(A283, GDP_pc!$C:$C, 0), MATCH(B283, GDP_pc!$E$1:$ZZ$1, 0))</f>
        <v>27469461919.11887</v>
      </c>
      <c r="E283">
        <f>INDEX(CH4_Em!$E:$ZZ, MATCH(A283, CH4_Em!$C:$C, 0), MATCH(B283, CH4_Em!$E$1:$ZZ$1, 0))</f>
        <v>0.87970000000000004</v>
      </c>
      <c r="F283">
        <f>INDEX(N2O_Em!$E:$ZZ, MATCH(A283, N2O_Em!$C:$C, 0), MATCH(B283, N2O_Em!$E$1:$ZZ$1, 0))</f>
        <v>1.4738</v>
      </c>
      <c r="G283">
        <f>INDEX(CO2_Em!$E:$ZZ, MATCH(A283, CO2_Em!$C:$C, 0), MATCH(B283, CO2_Em!$E$1:$ZZ$1, 0))</f>
        <v>8.1699999999999995E-2</v>
      </c>
      <c r="H283">
        <f>INDEX(Agri_VA!$E:$ZZ, MATCH(A283, Agri_VA!$C:$C, 0), MATCH(B283, Agri_VA!$E$1:$ZZ$1, 0))</f>
        <v>2.3388559662831065</v>
      </c>
      <c r="I283" s="6">
        <f>INDEX('Agri_land '!$E:$ZZ, MATCH(A283, 'Agri_land '!$C:$C, 0), MATCH(B283, 'Agri_land '!$E$1:$ZZ$1, 0))</f>
        <v>22.970760233918128</v>
      </c>
      <c r="J283">
        <f>INDEX(Cereal_Yield!$E:$ZZ, MATCH(A283, Cereal_Yield!$C:$C, 0), MATCH(B283, Cereal_Yield!$E$1:$ZZ$1, 0))</f>
        <v>3967.3</v>
      </c>
    </row>
    <row r="284" spans="1:10" x14ac:dyDescent="0.3">
      <c r="A284" t="s">
        <v>16</v>
      </c>
      <c r="B284" s="4">
        <v>2018</v>
      </c>
      <c r="C284" t="s">
        <v>49</v>
      </c>
      <c r="D284" s="8">
        <f>INDEX(GDP_pc!$E:$ZZ, MATCH(A284, GDP_pc!$C:$C, 0), MATCH(B284, GDP_pc!$E$1:$ZZ$1, 0))</f>
        <v>31222632740.724682</v>
      </c>
      <c r="E284">
        <f>INDEX(CH4_Em!$E:$ZZ, MATCH(A284, CH4_Em!$C:$C, 0), MATCH(B284, CH4_Em!$E$1:$ZZ$1, 0))</f>
        <v>0.87739999999999996</v>
      </c>
      <c r="F284">
        <f>INDEX(N2O_Em!$E:$ZZ, MATCH(A284, N2O_Em!$C:$C, 0), MATCH(B284, N2O_Em!$E$1:$ZZ$1, 0))</f>
        <v>1.4823999999999999</v>
      </c>
      <c r="G284">
        <f>INDEX(CO2_Em!$E:$ZZ, MATCH(A284, CO2_Em!$C:$C, 0), MATCH(B284, CO2_Em!$E$1:$ZZ$1, 0))</f>
        <v>8.5699999999999998E-2</v>
      </c>
      <c r="H284">
        <f>INDEX(Agri_VA!$E:$ZZ, MATCH(A284, Agri_VA!$C:$C, 0), MATCH(B284, Agri_VA!$E$1:$ZZ$1, 0))</f>
        <v>2.0493846996906631</v>
      </c>
      <c r="I284" s="6">
        <f>INDEX('Agri_land '!$E:$ZZ, MATCH(A284, 'Agri_land '!$C:$C, 0), MATCH(B284, 'Agri_land '!$E$1:$ZZ$1, 0))</f>
        <v>23.040935672514621</v>
      </c>
      <c r="J284">
        <f>INDEX(Cereal_Yield!$E:$ZZ, MATCH(A284, Cereal_Yield!$C:$C, 0), MATCH(B284, Cereal_Yield!$E$1:$ZZ$1, 0))</f>
        <v>2624.9</v>
      </c>
    </row>
    <row r="285" spans="1:10" x14ac:dyDescent="0.3">
      <c r="A285" t="s">
        <v>16</v>
      </c>
      <c r="B285" s="4">
        <v>2019</v>
      </c>
      <c r="C285" t="s">
        <v>49</v>
      </c>
      <c r="D285" s="8">
        <f>INDEX(GDP_pc!$E:$ZZ, MATCH(A285, GDP_pc!$C:$C, 0), MATCH(B285, GDP_pc!$E$1:$ZZ$1, 0))</f>
        <v>31873748770.031322</v>
      </c>
      <c r="E285">
        <f>INDEX(CH4_Em!$E:$ZZ, MATCH(A285, CH4_Em!$C:$C, 0), MATCH(B285, CH4_Em!$E$1:$ZZ$1, 0))</f>
        <v>0.88419999999999999</v>
      </c>
      <c r="F285">
        <f>INDEX(N2O_Em!$E:$ZZ, MATCH(A285, N2O_Em!$C:$C, 0), MATCH(B285, N2O_Em!$E$1:$ZZ$1, 0))</f>
        <v>1.5701000000000001</v>
      </c>
      <c r="G285">
        <f>INDEX(CO2_Em!$E:$ZZ, MATCH(A285, CO2_Em!$C:$C, 0), MATCH(B285, CO2_Em!$E$1:$ZZ$1, 0))</f>
        <v>8.5400000000000004E-2</v>
      </c>
      <c r="H285">
        <f>INDEX(Agri_VA!$E:$ZZ, MATCH(A285, Agri_VA!$C:$C, 0), MATCH(B285, Agri_VA!$E$1:$ZZ$1, 0))</f>
        <v>2.2656489626340037</v>
      </c>
      <c r="I285" s="6">
        <f>INDEX('Agri_land '!$E:$ZZ, MATCH(A285, 'Agri_land '!$C:$C, 0), MATCH(B285, 'Agri_land '!$E$1:$ZZ$1, 0))</f>
        <v>23.120467836257312</v>
      </c>
      <c r="J285">
        <f>INDEX(Cereal_Yield!$E:$ZZ, MATCH(A285, Cereal_Yield!$C:$C, 0), MATCH(B285, Cereal_Yield!$E$1:$ZZ$1, 0))</f>
        <v>4458.6000000000004</v>
      </c>
    </row>
    <row r="286" spans="1:10" x14ac:dyDescent="0.3">
      <c r="A286" t="s">
        <v>16</v>
      </c>
      <c r="B286" s="4">
        <v>2020</v>
      </c>
      <c r="C286" t="s">
        <v>49</v>
      </c>
      <c r="D286" s="8">
        <f>INDEX(GDP_pc!$E:$ZZ, MATCH(A286, GDP_pc!$C:$C, 0), MATCH(B286, GDP_pc!$E$1:$ZZ$1, 0))</f>
        <v>31820771493.897366</v>
      </c>
      <c r="E286">
        <f>INDEX(CH4_Em!$E:$ZZ, MATCH(A286, CH4_Em!$C:$C, 0), MATCH(B286, CH4_Em!$E$1:$ZZ$1, 0))</f>
        <v>0.88160000000000005</v>
      </c>
      <c r="F286">
        <f>INDEX(N2O_Em!$E:$ZZ, MATCH(A286, N2O_Em!$C:$C, 0), MATCH(B286, N2O_Em!$E$1:$ZZ$1, 0))</f>
        <v>1.6003000000000001</v>
      </c>
      <c r="G286">
        <f>INDEX(CO2_Em!$E:$ZZ, MATCH(A286, CO2_Em!$C:$C, 0), MATCH(B286, CO2_Em!$E$1:$ZZ$1, 0))</f>
        <v>8.6400000000000005E-2</v>
      </c>
      <c r="H286">
        <f>INDEX(Agri_VA!$E:$ZZ, MATCH(A286, Agri_VA!$C:$C, 0), MATCH(B286, Agri_VA!$E$1:$ZZ$1, 0))</f>
        <v>1.9318152735340803</v>
      </c>
      <c r="I286" s="6">
        <f>INDEX('Agri_land '!$E:$ZZ, MATCH(A286, 'Agri_land '!$C:$C, 0), MATCH(B286, 'Agri_land '!$E$1:$ZZ$1, 0))</f>
        <v>23.040935672514621</v>
      </c>
      <c r="J286">
        <f>INDEX(Cereal_Yield!$E:$ZZ, MATCH(A286, Cereal_Yield!$C:$C, 0), MATCH(B286, Cereal_Yield!$E$1:$ZZ$1, 0))</f>
        <v>4411.5</v>
      </c>
    </row>
    <row r="287" spans="1:10" x14ac:dyDescent="0.3">
      <c r="A287" t="s">
        <v>16</v>
      </c>
      <c r="B287" s="4">
        <v>2021</v>
      </c>
      <c r="C287" t="s">
        <v>49</v>
      </c>
      <c r="D287" s="8">
        <f>INDEX(GDP_pc!$E:$ZZ, MATCH(A287, GDP_pc!$C:$C, 0), MATCH(B287, GDP_pc!$E$1:$ZZ$1, 0))</f>
        <v>37201101170.584671</v>
      </c>
      <c r="E287">
        <f>INDEX(CH4_Em!$E:$ZZ, MATCH(A287, CH4_Em!$C:$C, 0), MATCH(B287, CH4_Em!$E$1:$ZZ$1, 0))</f>
        <v>0.87219999999999998</v>
      </c>
      <c r="F287">
        <f>INDEX(N2O_Em!$E:$ZZ, MATCH(A287, N2O_Em!$C:$C, 0), MATCH(B287, N2O_Em!$E$1:$ZZ$1, 0))</f>
        <v>1.5167999999999999</v>
      </c>
      <c r="G287">
        <f>INDEX(CO2_Em!$E:$ZZ, MATCH(A287, CO2_Em!$C:$C, 0), MATCH(B287, CO2_Em!$E$1:$ZZ$1, 0))</f>
        <v>7.0999999999999994E-2</v>
      </c>
      <c r="H287">
        <f>INDEX(Agri_VA!$E:$ZZ, MATCH(A287, Agri_VA!$C:$C, 0), MATCH(B287, Agri_VA!$E$1:$ZZ$1, 0))</f>
        <v>1.9435377125455751</v>
      </c>
      <c r="I287" s="6">
        <f>INDEX('Agri_land '!$E:$ZZ, MATCH(A287, 'Agri_land '!$C:$C, 0), MATCH(B287, 'Agri_land '!$E$1:$ZZ$1, 0))</f>
        <v>23.087719298245617</v>
      </c>
      <c r="J287">
        <f>INDEX(Cereal_Yield!$E:$ZZ, MATCH(A287, Cereal_Yield!$C:$C, 0), MATCH(B287, Cereal_Yield!$E$1:$ZZ$1, 0))</f>
        <v>3502.4</v>
      </c>
    </row>
    <row r="288" spans="1:10" x14ac:dyDescent="0.3">
      <c r="A288" t="s">
        <v>16</v>
      </c>
      <c r="B288" s="4">
        <v>2022</v>
      </c>
      <c r="C288" t="s">
        <v>49</v>
      </c>
      <c r="D288" s="8">
        <f>INDEX(GDP_pc!$E:$ZZ, MATCH(A288, GDP_pc!$C:$C, 0), MATCH(B288, GDP_pc!$E$1:$ZZ$1, 0))</f>
        <v>38226641740.290031</v>
      </c>
      <c r="E288">
        <f>INDEX(CH4_Em!$E:$ZZ, MATCH(A288, CH4_Em!$C:$C, 0), MATCH(B288, CH4_Em!$E$1:$ZZ$1, 0))</f>
        <v>0.86409999999999998</v>
      </c>
      <c r="F288">
        <f>INDEX(N2O_Em!$E:$ZZ, MATCH(A288, N2O_Em!$C:$C, 0), MATCH(B288, N2O_Em!$E$1:$ZZ$1, 0))</f>
        <v>1.4963</v>
      </c>
      <c r="G288">
        <f>INDEX(CO2_Em!$E:$ZZ, MATCH(A288, CO2_Em!$C:$C, 0), MATCH(B288, CO2_Em!$E$1:$ZZ$1, 0))</f>
        <v>6.4199999999999993E-2</v>
      </c>
      <c r="H288">
        <f>INDEX(Agri_VA!$E:$ZZ, MATCH(A288, Agri_VA!$C:$C, 0), MATCH(B288, Agri_VA!$E$1:$ZZ$1, 0))</f>
        <v>2.4464085999787279</v>
      </c>
      <c r="I288" s="6">
        <f>INDEX('Agri_land '!$E:$ZZ, MATCH(A288, 'Agri_land '!$C:$C, 0), MATCH(B288, 'Agri_land '!$E$1:$ZZ$1, 0))</f>
        <v>23.07512286449801</v>
      </c>
      <c r="J288">
        <f>INDEX(Cereal_Yield!$E:$ZZ, MATCH(A288, Cereal_Yield!$C:$C, 0), MATCH(B288, Cereal_Yield!$E$1:$ZZ$1, 0))</f>
        <v>4224.5</v>
      </c>
    </row>
    <row r="289" spans="1:10" x14ac:dyDescent="0.3">
      <c r="A289" t="s">
        <v>16</v>
      </c>
      <c r="B289" s="4">
        <v>2023</v>
      </c>
      <c r="C289" t="s">
        <v>49</v>
      </c>
      <c r="D289" s="8">
        <f>INDEX(GDP_pc!$E:$ZZ, MATCH(A289, GDP_pc!$C:$C, 0), MATCH(B289, GDP_pc!$E$1:$ZZ$1, 0))</f>
        <v>41470344395.108574</v>
      </c>
      <c r="E289">
        <f>INDEX(CH4_Em!$E:$ZZ, MATCH(A289, CH4_Em!$C:$C, 0), MATCH(B289, CH4_Em!$E$1:$ZZ$1, 0))</f>
        <v>0.84119999999999995</v>
      </c>
      <c r="F289">
        <f>INDEX(N2O_Em!$E:$ZZ, MATCH(A289, N2O_Em!$C:$C, 0), MATCH(B289, N2O_Em!$E$1:$ZZ$1, 0))</f>
        <v>1.4767999999999999</v>
      </c>
      <c r="G289">
        <f>INDEX(CO2_Em!$E:$ZZ, MATCH(A289, CO2_Em!$C:$C, 0), MATCH(B289, CO2_Em!$E$1:$ZZ$1, 0))</f>
        <v>6.4199999999999993E-2</v>
      </c>
      <c r="H289">
        <f>INDEX(Agri_VA!$E:$ZZ, MATCH(A289, Agri_VA!$C:$C, 0), MATCH(B289, Agri_VA!$E$1:$ZZ$1, 0))</f>
        <v>1.7155812591916522</v>
      </c>
      <c r="I289" s="6">
        <f>INDEX('Agri_land '!$E:$ZZ, MATCH(A289, 'Agri_land '!$C:$C, 0), MATCH(B289, 'Agri_land '!$E$1:$ZZ$1, 0))</f>
        <v>23.12192838754973</v>
      </c>
      <c r="J289">
        <f>INDEX(Cereal_Yield!$E:$ZZ, MATCH(A289, Cereal_Yield!$C:$C, 0), MATCH(B289, Cereal_Yield!$E$1:$ZZ$1, 0))</f>
        <v>3409.5</v>
      </c>
    </row>
    <row r="290" spans="1:10" x14ac:dyDescent="0.3">
      <c r="A290" t="s">
        <v>17</v>
      </c>
      <c r="B290" s="4">
        <v>2000</v>
      </c>
      <c r="C290" t="s">
        <v>48</v>
      </c>
      <c r="D290" s="8">
        <f>INDEX(GDP_pc!$E:$ZZ, MATCH(A290, GDP_pc!$C:$C, 0), MATCH(B290, GDP_pc!$E$1:$ZZ$1, 0))</f>
        <v>8242349617.8638029</v>
      </c>
      <c r="E290">
        <f>INDEX(CH4_Em!$E:$ZZ, MATCH(A290, CH4_Em!$C:$C, 0), MATCH(B290, CH4_Em!$E$1:$ZZ$1, 0))</f>
        <v>34.5473</v>
      </c>
      <c r="F290">
        <f>INDEX(N2O_Em!$E:$ZZ, MATCH(A290, N2O_Em!$C:$C, 0), MATCH(B290, N2O_Em!$E$1:$ZZ$1, 0))</f>
        <v>13.6709</v>
      </c>
      <c r="G290">
        <f>INDEX(CO2_Em!$E:$ZZ, MATCH(A290, CO2_Em!$C:$C, 0), MATCH(B290, CO2_Em!$E$1:$ZZ$1, 0))</f>
        <v>0.1368</v>
      </c>
      <c r="H290">
        <f>INDEX(Agri_VA!$E:$ZZ, MATCH(A290, Agri_VA!$C:$C, 0), MATCH(B290, Agri_VA!$E$1:$ZZ$1, 0))</f>
        <v>44.666017948575934</v>
      </c>
      <c r="I290" s="6">
        <f>INDEX('Agri_land '!$E:$ZZ, MATCH(A290, 'Agri_land '!$C:$C, 0), MATCH(B290, 'Agri_land '!$E$1:$ZZ$1, 0))</f>
        <v>30.533999999999999</v>
      </c>
      <c r="J290">
        <f>INDEX(Cereal_Yield!$E:$ZZ, MATCH(A290, Cereal_Yield!$C:$C, 0), MATCH(B290, Cereal_Yield!$E$1:$ZZ$1, 0))</f>
        <v>1116.3</v>
      </c>
    </row>
    <row r="291" spans="1:10" x14ac:dyDescent="0.3">
      <c r="A291" t="s">
        <v>17</v>
      </c>
      <c r="B291" s="4">
        <v>2001</v>
      </c>
      <c r="C291" t="s">
        <v>48</v>
      </c>
      <c r="D291" s="8">
        <f>INDEX(GDP_pc!$E:$ZZ, MATCH(A291, GDP_pc!$C:$C, 0), MATCH(B291, GDP_pc!$E$1:$ZZ$1, 0))</f>
        <v>8231326016.4749403</v>
      </c>
      <c r="E291">
        <f>INDEX(CH4_Em!$E:$ZZ, MATCH(A291, CH4_Em!$C:$C, 0), MATCH(B291, CH4_Em!$E$1:$ZZ$1, 0))</f>
        <v>37.080599999999997</v>
      </c>
      <c r="F291">
        <f>INDEX(N2O_Em!$E:$ZZ, MATCH(A291, N2O_Em!$C:$C, 0), MATCH(B291, N2O_Em!$E$1:$ZZ$1, 0))</f>
        <v>14.8636</v>
      </c>
      <c r="G291">
        <f>INDEX(CO2_Em!$E:$ZZ, MATCH(A291, CO2_Em!$C:$C, 0), MATCH(B291, CO2_Em!$E$1:$ZZ$1, 0))</f>
        <v>0.1943</v>
      </c>
      <c r="H291">
        <f>INDEX(Agri_VA!$E:$ZZ, MATCH(A291, Agri_VA!$C:$C, 0), MATCH(B291, Agri_VA!$E$1:$ZZ$1, 0))</f>
        <v>42.340571124031086</v>
      </c>
      <c r="I291" s="6">
        <f>INDEX('Agri_land '!$E:$ZZ, MATCH(A291, 'Agri_land '!$C:$C, 0), MATCH(B291, 'Agri_land '!$E$1:$ZZ$1, 0))</f>
        <v>30.558999999999997</v>
      </c>
      <c r="J291">
        <f>INDEX(Cereal_Yield!$E:$ZZ, MATCH(A291, Cereal_Yield!$C:$C, 0), MATCH(B291, Cereal_Yield!$E$1:$ZZ$1, 0))</f>
        <v>1198</v>
      </c>
    </row>
    <row r="292" spans="1:10" x14ac:dyDescent="0.3">
      <c r="A292" t="s">
        <v>17</v>
      </c>
      <c r="B292" s="4">
        <v>2002</v>
      </c>
      <c r="C292" t="s">
        <v>48</v>
      </c>
      <c r="D292" s="8">
        <f>INDEX(GDP_pc!$E:$ZZ, MATCH(A292, GDP_pc!$C:$C, 0), MATCH(B292, GDP_pc!$E$1:$ZZ$1, 0))</f>
        <v>7850809498.1680269</v>
      </c>
      <c r="E292">
        <f>INDEX(CH4_Em!$E:$ZZ, MATCH(A292, CH4_Em!$C:$C, 0), MATCH(B292, CH4_Em!$E$1:$ZZ$1, 0))</f>
        <v>42.3645</v>
      </c>
      <c r="F292">
        <f>INDEX(N2O_Em!$E:$ZZ, MATCH(A292, N2O_Em!$C:$C, 0), MATCH(B292, N2O_Em!$E$1:$ZZ$1, 0))</f>
        <v>16.502199999999998</v>
      </c>
      <c r="G292">
        <f>INDEX(CO2_Em!$E:$ZZ, MATCH(A292, CO2_Em!$C:$C, 0), MATCH(B292, CO2_Em!$E$1:$ZZ$1, 0))</f>
        <v>0.154</v>
      </c>
      <c r="H292">
        <f>INDEX(Agri_VA!$E:$ZZ, MATCH(A292, Agri_VA!$C:$C, 0), MATCH(B292, Agri_VA!$E$1:$ZZ$1, 0))</f>
        <v>38.692371691463798</v>
      </c>
      <c r="I292" s="6">
        <f>INDEX('Agri_land '!$E:$ZZ, MATCH(A292, 'Agri_land '!$C:$C, 0), MATCH(B292, 'Agri_land '!$E$1:$ZZ$1, 0))</f>
        <v>30.497999999999998</v>
      </c>
      <c r="J292">
        <f>INDEX(Cereal_Yield!$E:$ZZ, MATCH(A292, Cereal_Yield!$C:$C, 0), MATCH(B292, Cereal_Yield!$E$1:$ZZ$1, 0))</f>
        <v>1353.7</v>
      </c>
    </row>
    <row r="293" spans="1:10" x14ac:dyDescent="0.3">
      <c r="A293" t="s">
        <v>17</v>
      </c>
      <c r="B293" s="4">
        <v>2003</v>
      </c>
      <c r="C293" t="s">
        <v>48</v>
      </c>
      <c r="D293" s="8">
        <f>INDEX(GDP_pc!$E:$ZZ, MATCH(A293, GDP_pc!$C:$C, 0), MATCH(B293, GDP_pc!$E$1:$ZZ$1, 0))</f>
        <v>8623691300.0407887</v>
      </c>
      <c r="E293">
        <f>INDEX(CH4_Em!$E:$ZZ, MATCH(A293, CH4_Em!$C:$C, 0), MATCH(B293, CH4_Em!$E$1:$ZZ$1, 0))</f>
        <v>41.314</v>
      </c>
      <c r="F293">
        <f>INDEX(N2O_Em!$E:$ZZ, MATCH(A293, N2O_Em!$C:$C, 0), MATCH(B293, N2O_Em!$E$1:$ZZ$1, 0))</f>
        <v>15.8011</v>
      </c>
      <c r="G293">
        <f>INDEX(CO2_Em!$E:$ZZ, MATCH(A293, CO2_Em!$C:$C, 0), MATCH(B293, CO2_Em!$E$1:$ZZ$1, 0))</f>
        <v>3.2000000000000001E-2</v>
      </c>
      <c r="H293">
        <f>INDEX(Agri_VA!$E:$ZZ, MATCH(A293, Agri_VA!$C:$C, 0), MATCH(B293, Agri_VA!$E$1:$ZZ$1, 0))</f>
        <v>37.285055413956115</v>
      </c>
      <c r="I293" s="6">
        <f>INDEX('Agri_land '!$E:$ZZ, MATCH(A293, 'Agri_land '!$C:$C, 0), MATCH(B293, 'Agri_land '!$E$1:$ZZ$1, 0))</f>
        <v>31.607000000000003</v>
      </c>
      <c r="J293">
        <f>INDEX(Cereal_Yield!$E:$ZZ, MATCH(A293, Cereal_Yield!$C:$C, 0), MATCH(B293, Cereal_Yield!$E$1:$ZZ$1, 0))</f>
        <v>1123.3</v>
      </c>
    </row>
    <row r="294" spans="1:10" x14ac:dyDescent="0.3">
      <c r="A294" t="s">
        <v>17</v>
      </c>
      <c r="B294" s="4">
        <v>2004</v>
      </c>
      <c r="C294" t="s">
        <v>48</v>
      </c>
      <c r="D294" s="8">
        <f>INDEX(GDP_pc!$E:$ZZ, MATCH(A294, GDP_pc!$C:$C, 0), MATCH(B294, GDP_pc!$E$1:$ZZ$1, 0))</f>
        <v>10131187261.442078</v>
      </c>
      <c r="E294">
        <f>INDEX(CH4_Em!$E:$ZZ, MATCH(A294, CH4_Em!$C:$C, 0), MATCH(B294, CH4_Em!$E$1:$ZZ$1, 0))</f>
        <v>41.881</v>
      </c>
      <c r="F294">
        <f>INDEX(N2O_Em!$E:$ZZ, MATCH(A294, N2O_Em!$C:$C, 0), MATCH(B294, N2O_Em!$E$1:$ZZ$1, 0))</f>
        <v>16.430800000000001</v>
      </c>
      <c r="G294">
        <f>INDEX(CO2_Em!$E:$ZZ, MATCH(A294, CO2_Em!$C:$C, 0), MATCH(B294, CO2_Em!$E$1:$ZZ$1, 0))</f>
        <v>0.17549999999999999</v>
      </c>
      <c r="H294">
        <f>INDEX(Agri_VA!$E:$ZZ, MATCH(A294, Agri_VA!$C:$C, 0), MATCH(B294, Agri_VA!$E$1:$ZZ$1, 0))</f>
        <v>38.679754946926401</v>
      </c>
      <c r="I294" s="6">
        <f>INDEX('Agri_land '!$E:$ZZ, MATCH(A294, 'Agri_land '!$C:$C, 0), MATCH(B294, 'Agri_land '!$E$1:$ZZ$1, 0))</f>
        <v>29.329327653007851</v>
      </c>
      <c r="J294">
        <f>INDEX(Cereal_Yield!$E:$ZZ, MATCH(A294, Cereal_Yield!$C:$C, 0), MATCH(B294, Cereal_Yield!$E$1:$ZZ$1, 0))</f>
        <v>1162.5999999999999</v>
      </c>
    </row>
    <row r="295" spans="1:10" x14ac:dyDescent="0.3">
      <c r="A295" t="s">
        <v>17</v>
      </c>
      <c r="B295" s="4">
        <v>2005</v>
      </c>
      <c r="C295" t="s">
        <v>48</v>
      </c>
      <c r="D295" s="8">
        <f>INDEX(GDP_pc!$E:$ZZ, MATCH(A295, GDP_pc!$C:$C, 0), MATCH(B295, GDP_pc!$E$1:$ZZ$1, 0))</f>
        <v>12401139453.973831</v>
      </c>
      <c r="E295">
        <f>INDEX(CH4_Em!$E:$ZZ, MATCH(A295, CH4_Em!$C:$C, 0), MATCH(B295, CH4_Em!$E$1:$ZZ$1, 0))</f>
        <v>43.912300000000002</v>
      </c>
      <c r="F295">
        <f>INDEX(N2O_Em!$E:$ZZ, MATCH(A295, N2O_Em!$C:$C, 0), MATCH(B295, N2O_Em!$E$1:$ZZ$1, 0))</f>
        <v>17.162700000000001</v>
      </c>
      <c r="G295">
        <f>INDEX(CO2_Em!$E:$ZZ, MATCH(A295, CO2_Em!$C:$C, 0), MATCH(B295, CO2_Em!$E$1:$ZZ$1, 0))</f>
        <v>0.188</v>
      </c>
      <c r="H295">
        <f>INDEX(Agri_VA!$E:$ZZ, MATCH(A295, Agri_VA!$C:$C, 0), MATCH(B295, Agri_VA!$E$1:$ZZ$1, 0))</f>
        <v>41.174498560733667</v>
      </c>
      <c r="I295" s="6">
        <f>INDEX('Agri_land '!$E:$ZZ, MATCH(A295, 'Agri_land '!$C:$C, 0), MATCH(B295, 'Agri_land '!$E$1:$ZZ$1, 0))</f>
        <v>29.76342898519032</v>
      </c>
      <c r="J295">
        <f>INDEX(Cereal_Yield!$E:$ZZ, MATCH(A295, Cereal_Yield!$C:$C, 0), MATCH(B295, Cereal_Yield!$E$1:$ZZ$1, 0))</f>
        <v>1361.4</v>
      </c>
    </row>
    <row r="296" spans="1:10" x14ac:dyDescent="0.3">
      <c r="A296" t="s">
        <v>17</v>
      </c>
      <c r="B296" s="4">
        <v>2006</v>
      </c>
      <c r="C296" t="s">
        <v>48</v>
      </c>
      <c r="D296" s="8">
        <f>INDEX(GDP_pc!$E:$ZZ, MATCH(A296, GDP_pc!$C:$C, 0), MATCH(B296, GDP_pc!$E$1:$ZZ$1, 0))</f>
        <v>15280861834.602404</v>
      </c>
      <c r="E296">
        <f>INDEX(CH4_Em!$E:$ZZ, MATCH(A296, CH4_Em!$C:$C, 0), MATCH(B296, CH4_Em!$E$1:$ZZ$1, 0))</f>
        <v>47.376199999999997</v>
      </c>
      <c r="F296">
        <f>INDEX(N2O_Em!$E:$ZZ, MATCH(A296, N2O_Em!$C:$C, 0), MATCH(B296, N2O_Em!$E$1:$ZZ$1, 0))</f>
        <v>18.517900000000001</v>
      </c>
      <c r="G296">
        <f>INDEX(CO2_Em!$E:$ZZ, MATCH(A296, CO2_Em!$C:$C, 0), MATCH(B296, CO2_Em!$E$1:$ZZ$1, 0))</f>
        <v>0.17130000000000001</v>
      </c>
      <c r="H296">
        <f>INDEX(Agri_VA!$E:$ZZ, MATCH(A296, Agri_VA!$C:$C, 0), MATCH(B296, Agri_VA!$E$1:$ZZ$1, 0))</f>
        <v>42.524170122639312</v>
      </c>
      <c r="I296" s="6">
        <f>INDEX('Agri_land '!$E:$ZZ, MATCH(A296, 'Agri_land '!$C:$C, 0), MATCH(B296, 'Agri_land '!$E$1:$ZZ$1, 0))</f>
        <v>30.319510705705021</v>
      </c>
      <c r="J296">
        <f>INDEX(Cereal_Yield!$E:$ZZ, MATCH(A296, Cereal_Yield!$C:$C, 0), MATCH(B296, Cereal_Yield!$E$1:$ZZ$1, 0))</f>
        <v>1563.3</v>
      </c>
    </row>
    <row r="297" spans="1:10" x14ac:dyDescent="0.3">
      <c r="A297" t="s">
        <v>17</v>
      </c>
      <c r="B297" s="4">
        <v>2007</v>
      </c>
      <c r="C297" t="s">
        <v>48</v>
      </c>
      <c r="D297" s="8">
        <f>INDEX(GDP_pc!$E:$ZZ, MATCH(A297, GDP_pc!$C:$C, 0), MATCH(B297, GDP_pc!$E$1:$ZZ$1, 0))</f>
        <v>19707616772.799637</v>
      </c>
      <c r="E297">
        <f>INDEX(CH4_Em!$E:$ZZ, MATCH(A297, CH4_Em!$C:$C, 0), MATCH(B297, CH4_Em!$E$1:$ZZ$1, 0))</f>
        <v>53.339100000000002</v>
      </c>
      <c r="F297">
        <f>INDEX(N2O_Em!$E:$ZZ, MATCH(A297, N2O_Em!$C:$C, 0), MATCH(B297, N2O_Em!$E$1:$ZZ$1, 0))</f>
        <v>20.467500000000001</v>
      </c>
      <c r="G297">
        <f>INDEX(CO2_Em!$E:$ZZ, MATCH(A297, CO2_Em!$C:$C, 0), MATCH(B297, CO2_Em!$E$1:$ZZ$1, 0))</f>
        <v>0.1729</v>
      </c>
      <c r="H297">
        <f>INDEX(Agri_VA!$E:$ZZ, MATCH(A297, Agri_VA!$C:$C, 0), MATCH(B297, Agri_VA!$E$1:$ZZ$1, 0))</f>
        <v>42.265012192091348</v>
      </c>
      <c r="I297" s="6">
        <f>INDEX('Agri_land '!$E:$ZZ, MATCH(A297, 'Agri_land '!$C:$C, 0), MATCH(B297, 'Agri_land '!$E$1:$ZZ$1, 0))</f>
        <v>31.079240056450679</v>
      </c>
      <c r="J297">
        <f>INDEX(Cereal_Yield!$E:$ZZ, MATCH(A297, Cereal_Yield!$C:$C, 0), MATCH(B297, Cereal_Yield!$E$1:$ZZ$1, 0))</f>
        <v>1441</v>
      </c>
    </row>
    <row r="298" spans="1:10" x14ac:dyDescent="0.3">
      <c r="A298" t="s">
        <v>17</v>
      </c>
      <c r="B298" s="4">
        <v>2008</v>
      </c>
      <c r="C298" t="s">
        <v>48</v>
      </c>
      <c r="D298" s="8">
        <f>INDEX(GDP_pc!$E:$ZZ, MATCH(A298, GDP_pc!$C:$C, 0), MATCH(B298, GDP_pc!$E$1:$ZZ$1, 0))</f>
        <v>27066912635.222847</v>
      </c>
      <c r="E298">
        <f>INDEX(CH4_Em!$E:$ZZ, MATCH(A298, CH4_Em!$C:$C, 0), MATCH(B298, CH4_Em!$E$1:$ZZ$1, 0))</f>
        <v>56.186</v>
      </c>
      <c r="F298">
        <f>INDEX(N2O_Em!$E:$ZZ, MATCH(A298, N2O_Em!$C:$C, 0), MATCH(B298, N2O_Em!$E$1:$ZZ$1, 0))</f>
        <v>21.466799999999999</v>
      </c>
      <c r="G298">
        <f>INDEX(CO2_Em!$E:$ZZ, MATCH(A298, CO2_Em!$C:$C, 0), MATCH(B298, CO2_Em!$E$1:$ZZ$1, 0))</f>
        <v>0.1608</v>
      </c>
      <c r="H298">
        <f>INDEX(Agri_VA!$E:$ZZ, MATCH(A298, Agri_VA!$C:$C, 0), MATCH(B298, Agri_VA!$E$1:$ZZ$1, 0))</f>
        <v>45.184558372959302</v>
      </c>
      <c r="I298" s="6">
        <f>INDEX('Agri_land '!$E:$ZZ, MATCH(A298, 'Agri_land '!$C:$C, 0), MATCH(B298, 'Agri_land '!$E$1:$ZZ$1, 0))</f>
        <v>30.581224016304553</v>
      </c>
      <c r="J298">
        <f>INDEX(Cereal_Yield!$E:$ZZ, MATCH(A298, Cereal_Yield!$C:$C, 0), MATCH(B298, Cereal_Yield!$E$1:$ZZ$1, 0))</f>
        <v>1418.4</v>
      </c>
    </row>
    <row r="299" spans="1:10" x14ac:dyDescent="0.3">
      <c r="A299" t="s">
        <v>17</v>
      </c>
      <c r="B299" s="4">
        <v>2009</v>
      </c>
      <c r="C299" t="s">
        <v>48</v>
      </c>
      <c r="D299" s="8">
        <f>INDEX(GDP_pc!$E:$ZZ, MATCH(A299, GDP_pc!$C:$C, 0), MATCH(B299, GDP_pc!$E$1:$ZZ$1, 0))</f>
        <v>32437389116.038006</v>
      </c>
      <c r="E299">
        <f>INDEX(CH4_Em!$E:$ZZ, MATCH(A299, CH4_Em!$C:$C, 0), MATCH(B299, CH4_Em!$E$1:$ZZ$1, 0))</f>
        <v>58.617199999999997</v>
      </c>
      <c r="F299">
        <f>INDEX(N2O_Em!$E:$ZZ, MATCH(A299, N2O_Em!$C:$C, 0), MATCH(B299, N2O_Em!$E$1:$ZZ$1, 0))</f>
        <v>22.5778</v>
      </c>
      <c r="G299">
        <f>INDEX(CO2_Em!$E:$ZZ, MATCH(A299, CO2_Em!$C:$C, 0), MATCH(B299, CO2_Em!$E$1:$ZZ$1, 0))</f>
        <v>0.1807</v>
      </c>
      <c r="H299">
        <f>INDEX(Agri_VA!$E:$ZZ, MATCH(A299, Agri_VA!$C:$C, 0), MATCH(B299, Agri_VA!$E$1:$ZZ$1, 0))</f>
        <v>45.882694264910455</v>
      </c>
      <c r="I299" s="6">
        <f>INDEX('Agri_land '!$E:$ZZ, MATCH(A299, 'Agri_land '!$C:$C, 0), MATCH(B299, 'Agri_land '!$E$1:$ZZ$1, 0))</f>
        <v>30.998895434527689</v>
      </c>
      <c r="J299">
        <f>INDEX(Cereal_Yield!$E:$ZZ, MATCH(A299, Cereal_Yield!$C:$C, 0), MATCH(B299, Cereal_Yield!$E$1:$ZZ$1, 0))</f>
        <v>1647.1</v>
      </c>
    </row>
    <row r="300" spans="1:10" x14ac:dyDescent="0.3">
      <c r="A300" t="s">
        <v>17</v>
      </c>
      <c r="B300" s="4">
        <v>2010</v>
      </c>
      <c r="C300" t="s">
        <v>48</v>
      </c>
      <c r="D300" s="8">
        <f>INDEX(GDP_pc!$E:$ZZ, MATCH(A300, GDP_pc!$C:$C, 0), MATCH(B300, GDP_pc!$E$1:$ZZ$1, 0))</f>
        <v>29933790334.341789</v>
      </c>
      <c r="E300">
        <f>INDEX(CH4_Em!$E:$ZZ, MATCH(A300, CH4_Em!$C:$C, 0), MATCH(B300, CH4_Em!$E$1:$ZZ$1, 0))</f>
        <v>62.015700000000002</v>
      </c>
      <c r="F300">
        <f>INDEX(N2O_Em!$E:$ZZ, MATCH(A300, N2O_Em!$C:$C, 0), MATCH(B300, N2O_Em!$E$1:$ZZ$1, 0))</f>
        <v>23.732900000000001</v>
      </c>
      <c r="G300">
        <f>INDEX(CO2_Em!$E:$ZZ, MATCH(A300, CO2_Em!$C:$C, 0), MATCH(B300, CO2_Em!$E$1:$ZZ$1, 0))</f>
        <v>0.18859999999999999</v>
      </c>
      <c r="H300">
        <f>INDEX(Agri_VA!$E:$ZZ, MATCH(A300, Agri_VA!$C:$C, 0), MATCH(B300, Agri_VA!$E$1:$ZZ$1, 0))</f>
        <v>41.4468200699758</v>
      </c>
      <c r="I300" s="6">
        <f>INDEX('Agri_land '!$E:$ZZ, MATCH(A300, 'Agri_land '!$C:$C, 0), MATCH(B300, 'Agri_land '!$E$1:$ZZ$1, 0))</f>
        <v>31.617860108048141</v>
      </c>
      <c r="J300">
        <f>INDEX(Cereal_Yield!$E:$ZZ, MATCH(A300, Cereal_Yield!$C:$C, 0), MATCH(B300, Cereal_Yield!$E$1:$ZZ$1, 0))</f>
        <v>1767.3</v>
      </c>
    </row>
    <row r="301" spans="1:10" x14ac:dyDescent="0.3">
      <c r="A301" t="s">
        <v>17</v>
      </c>
      <c r="B301" s="4">
        <v>2011</v>
      </c>
      <c r="C301" t="s">
        <v>48</v>
      </c>
      <c r="D301" s="8">
        <f>INDEX(GDP_pc!$E:$ZZ, MATCH(A301, GDP_pc!$C:$C, 0), MATCH(B301, GDP_pc!$E$1:$ZZ$1, 0))</f>
        <v>31952763089.330025</v>
      </c>
      <c r="E301">
        <f>INDEX(CH4_Em!$E:$ZZ, MATCH(A301, CH4_Em!$C:$C, 0), MATCH(B301, CH4_Em!$E$1:$ZZ$1, 0))</f>
        <v>59.976100000000002</v>
      </c>
      <c r="F301">
        <f>INDEX(N2O_Em!$E:$ZZ, MATCH(A301, N2O_Em!$C:$C, 0), MATCH(B301, N2O_Em!$E$1:$ZZ$1, 0))</f>
        <v>23.378499999999999</v>
      </c>
      <c r="G301">
        <f>INDEX(CO2_Em!$E:$ZZ, MATCH(A301, CO2_Em!$C:$C, 0), MATCH(B301, CO2_Em!$E$1:$ZZ$1, 0))</f>
        <v>0.23050000000000001</v>
      </c>
      <c r="H301">
        <f>INDEX(Agri_VA!$E:$ZZ, MATCH(A301, Agri_VA!$C:$C, 0), MATCH(B301, Agri_VA!$E$1:$ZZ$1, 0))</f>
        <v>41.249963857453729</v>
      </c>
      <c r="I301" s="6">
        <f>INDEX('Agri_land '!$E:$ZZ, MATCH(A301, 'Agri_land '!$C:$C, 0), MATCH(B301, 'Agri_land '!$E$1:$ZZ$1, 0))</f>
        <v>32.186781367053015</v>
      </c>
      <c r="J301">
        <f>INDEX(Cereal_Yield!$E:$ZZ, MATCH(A301, Cereal_Yield!$C:$C, 0), MATCH(B301, Cereal_Yield!$E$1:$ZZ$1, 0))</f>
        <v>1876.6</v>
      </c>
    </row>
    <row r="302" spans="1:10" x14ac:dyDescent="0.3">
      <c r="A302" t="s">
        <v>17</v>
      </c>
      <c r="B302" s="4">
        <v>2012</v>
      </c>
      <c r="C302" t="s">
        <v>48</v>
      </c>
      <c r="D302" s="8">
        <f>INDEX(GDP_pc!$E:$ZZ, MATCH(A302, GDP_pc!$C:$C, 0), MATCH(B302, GDP_pc!$E$1:$ZZ$1, 0))</f>
        <v>43310721414.082878</v>
      </c>
      <c r="E302">
        <f>INDEX(CH4_Em!$E:$ZZ, MATCH(A302, CH4_Em!$C:$C, 0), MATCH(B302, CH4_Em!$E$1:$ZZ$1, 0))</f>
        <v>61.963299999999997</v>
      </c>
      <c r="F302">
        <f>INDEX(N2O_Em!$E:$ZZ, MATCH(A302, N2O_Em!$C:$C, 0), MATCH(B302, N2O_Em!$E$1:$ZZ$1, 0))</f>
        <v>24.430700000000002</v>
      </c>
      <c r="G302">
        <f>INDEX(CO2_Em!$E:$ZZ, MATCH(A302, CO2_Em!$C:$C, 0), MATCH(B302, CO2_Em!$E$1:$ZZ$1, 0))</f>
        <v>0.32479999999999998</v>
      </c>
      <c r="H302">
        <f>INDEX(Agri_VA!$E:$ZZ, MATCH(A302, Agri_VA!$C:$C, 0), MATCH(B302, Agri_VA!$E$1:$ZZ$1, 0))</f>
        <v>44.330942752146328</v>
      </c>
      <c r="I302" s="6">
        <f>INDEX('Agri_land '!$E:$ZZ, MATCH(A302, 'Agri_land '!$C:$C, 0), MATCH(B302, 'Agri_land '!$E$1:$ZZ$1, 0))</f>
        <v>32.330833529966498</v>
      </c>
      <c r="J302">
        <f>INDEX(Cereal_Yield!$E:$ZZ, MATCH(A302, Cereal_Yield!$C:$C, 0), MATCH(B302, Cereal_Yield!$E$1:$ZZ$1, 0))</f>
        <v>1963.3</v>
      </c>
    </row>
    <row r="303" spans="1:10" x14ac:dyDescent="0.3">
      <c r="A303" t="s">
        <v>17</v>
      </c>
      <c r="B303" s="4">
        <v>2013</v>
      </c>
      <c r="C303" t="s">
        <v>48</v>
      </c>
      <c r="D303" s="8">
        <f>INDEX(GDP_pc!$E:$ZZ, MATCH(A303, GDP_pc!$C:$C, 0), MATCH(B303, GDP_pc!$E$1:$ZZ$1, 0))</f>
        <v>47648276605.012314</v>
      </c>
      <c r="E303">
        <f>INDEX(CH4_Em!$E:$ZZ, MATCH(A303, CH4_Em!$C:$C, 0), MATCH(B303, CH4_Em!$E$1:$ZZ$1, 0))</f>
        <v>63.819499999999998</v>
      </c>
      <c r="F303">
        <f>INDEX(N2O_Em!$E:$ZZ, MATCH(A303, N2O_Em!$C:$C, 0), MATCH(B303, N2O_Em!$E$1:$ZZ$1, 0))</f>
        <v>25.173500000000001</v>
      </c>
      <c r="G303">
        <f>INDEX(CO2_Em!$E:$ZZ, MATCH(A303, CO2_Em!$C:$C, 0), MATCH(B303, CO2_Em!$E$1:$ZZ$1, 0))</f>
        <v>0.28070000000000001</v>
      </c>
      <c r="H303">
        <f>INDEX(Agri_VA!$E:$ZZ, MATCH(A303, Agri_VA!$C:$C, 0), MATCH(B303, Agri_VA!$E$1:$ZZ$1, 0))</f>
        <v>41.239505534092544</v>
      </c>
      <c r="I303" s="6">
        <f>INDEX('Agri_land '!$E:$ZZ, MATCH(A303, 'Agri_land '!$C:$C, 0), MATCH(B303, 'Agri_land '!$E$1:$ZZ$1, 0))</f>
        <v>32.591401116508194</v>
      </c>
      <c r="J303">
        <f>INDEX(Cereal_Yield!$E:$ZZ, MATCH(A303, Cereal_Yield!$C:$C, 0), MATCH(B303, Cereal_Yield!$E$1:$ZZ$1, 0))</f>
        <v>2102</v>
      </c>
    </row>
    <row r="304" spans="1:10" x14ac:dyDescent="0.3">
      <c r="A304" t="s">
        <v>17</v>
      </c>
      <c r="B304" s="4">
        <v>2014</v>
      </c>
      <c r="C304" t="s">
        <v>48</v>
      </c>
      <c r="D304" s="8">
        <f>INDEX(GDP_pc!$E:$ZZ, MATCH(A304, GDP_pc!$C:$C, 0), MATCH(B304, GDP_pc!$E$1:$ZZ$1, 0))</f>
        <v>55612228233.51786</v>
      </c>
      <c r="E304">
        <f>INDEX(CH4_Em!$E:$ZZ, MATCH(A304, CH4_Em!$C:$C, 0), MATCH(B304, CH4_Em!$E$1:$ZZ$1, 0))</f>
        <v>65.644000000000005</v>
      </c>
      <c r="F304">
        <f>INDEX(N2O_Em!$E:$ZZ, MATCH(A304, N2O_Em!$C:$C, 0), MATCH(B304, N2O_Em!$E$1:$ZZ$1, 0))</f>
        <v>26.297000000000001</v>
      </c>
      <c r="G304">
        <f>INDEX(CO2_Em!$E:$ZZ, MATCH(A304, CO2_Em!$C:$C, 0), MATCH(B304, CO2_Em!$E$1:$ZZ$1, 0))</f>
        <v>0.33979999999999999</v>
      </c>
      <c r="H304">
        <f>INDEX(Agri_VA!$E:$ZZ, MATCH(A304, Agri_VA!$C:$C, 0), MATCH(B304, Agri_VA!$E$1:$ZZ$1, 0))</f>
        <v>38.520449688928423</v>
      </c>
      <c r="I304" s="6">
        <f>INDEX('Agri_land '!$E:$ZZ, MATCH(A304, 'Agri_land '!$C:$C, 0), MATCH(B304, 'Agri_land '!$E$1:$ZZ$1, 0))</f>
        <v>32.746114154920576</v>
      </c>
      <c r="J304">
        <f>INDEX(Cereal_Yield!$E:$ZZ, MATCH(A304, Cereal_Yield!$C:$C, 0), MATCH(B304, Cereal_Yield!$E$1:$ZZ$1, 0))</f>
        <v>2235.1</v>
      </c>
    </row>
    <row r="305" spans="1:10" x14ac:dyDescent="0.3">
      <c r="A305" t="s">
        <v>17</v>
      </c>
      <c r="B305" s="4">
        <v>2015</v>
      </c>
      <c r="C305" t="s">
        <v>48</v>
      </c>
      <c r="D305" s="8">
        <f>INDEX(GDP_pc!$E:$ZZ, MATCH(A305, GDP_pc!$C:$C, 0), MATCH(B305, GDP_pc!$E$1:$ZZ$1, 0))</f>
        <v>62103418181.818184</v>
      </c>
      <c r="E305">
        <f>INDEX(CH4_Em!$E:$ZZ, MATCH(A305, CH4_Em!$C:$C, 0), MATCH(B305, CH4_Em!$E$1:$ZZ$1, 0))</f>
        <v>67.151600000000002</v>
      </c>
      <c r="F305">
        <f>INDEX(N2O_Em!$E:$ZZ, MATCH(A305, N2O_Em!$C:$C, 0), MATCH(B305, N2O_Em!$E$1:$ZZ$1, 0))</f>
        <v>27.045200000000001</v>
      </c>
      <c r="G305">
        <f>INDEX(CO2_Em!$E:$ZZ, MATCH(A305, CO2_Em!$C:$C, 0), MATCH(B305, CO2_Em!$E$1:$ZZ$1, 0))</f>
        <v>0.48499999999999999</v>
      </c>
      <c r="H305">
        <f>INDEX(Agri_VA!$E:$ZZ, MATCH(A305, Agri_VA!$C:$C, 0), MATCH(B305, Agri_VA!$E$1:$ZZ$1, 0))</f>
        <v>36.056975390578629</v>
      </c>
      <c r="I305" s="6">
        <f>INDEX('Agri_land '!$E:$ZZ, MATCH(A305, 'Agri_land '!$C:$C, 0), MATCH(B305, 'Agri_land '!$E$1:$ZZ$1, 0))</f>
        <v>32.96711040837387</v>
      </c>
      <c r="J305">
        <f>INDEX(Cereal_Yield!$E:$ZZ, MATCH(A305, Cereal_Yield!$C:$C, 0), MATCH(B305, Cereal_Yield!$E$1:$ZZ$1, 0))</f>
        <v>2344.9</v>
      </c>
    </row>
    <row r="306" spans="1:10" x14ac:dyDescent="0.3">
      <c r="A306" t="s">
        <v>17</v>
      </c>
      <c r="B306" s="4">
        <v>2016</v>
      </c>
      <c r="C306" t="s">
        <v>48</v>
      </c>
      <c r="D306" s="8">
        <f>INDEX(GDP_pc!$E:$ZZ, MATCH(A306, GDP_pc!$C:$C, 0), MATCH(B306, GDP_pc!$E$1:$ZZ$1, 0))</f>
        <v>68475871209.606995</v>
      </c>
      <c r="E306">
        <f>INDEX(CH4_Em!$E:$ZZ, MATCH(A306, CH4_Em!$C:$C, 0), MATCH(B306, CH4_Em!$E$1:$ZZ$1, 0))</f>
        <v>69.253</v>
      </c>
      <c r="F306">
        <f>INDEX(N2O_Em!$E:$ZZ, MATCH(A306, N2O_Em!$C:$C, 0), MATCH(B306, N2O_Em!$E$1:$ZZ$1, 0))</f>
        <v>27.770299999999999</v>
      </c>
      <c r="G306">
        <f>INDEX(CO2_Em!$E:$ZZ, MATCH(A306, CO2_Em!$C:$C, 0), MATCH(B306, CO2_Em!$E$1:$ZZ$1, 0))</f>
        <v>0.46479999999999999</v>
      </c>
      <c r="H306">
        <f>INDEX(Agri_VA!$E:$ZZ, MATCH(A306, Agri_VA!$C:$C, 0), MATCH(B306, Agri_VA!$E$1:$ZZ$1, 0))</f>
        <v>34.696956452363423</v>
      </c>
      <c r="I306" s="6">
        <f>INDEX('Agri_land '!$E:$ZZ, MATCH(A306, 'Agri_land '!$C:$C, 0), MATCH(B306, 'Agri_land '!$E$1:$ZZ$1, 0))</f>
        <v>33.108247379289594</v>
      </c>
      <c r="J306">
        <f>INDEX(Cereal_Yield!$E:$ZZ, MATCH(A306, Cereal_Yield!$C:$C, 0), MATCH(B306, Cereal_Yield!$E$1:$ZZ$1, 0))</f>
        <v>2352.1999999999998</v>
      </c>
    </row>
    <row r="307" spans="1:10" x14ac:dyDescent="0.3">
      <c r="A307" t="s">
        <v>17</v>
      </c>
      <c r="B307" s="4">
        <v>2017</v>
      </c>
      <c r="C307" t="s">
        <v>48</v>
      </c>
      <c r="D307" s="8">
        <f>INDEX(GDP_pc!$E:$ZZ, MATCH(A307, GDP_pc!$C:$C, 0), MATCH(B307, GDP_pc!$E$1:$ZZ$1, 0))</f>
        <v>76366081766.666672</v>
      </c>
      <c r="E307">
        <f>INDEX(CH4_Em!$E:$ZZ, MATCH(A307, CH4_Em!$C:$C, 0), MATCH(B307, CH4_Em!$E$1:$ZZ$1, 0))</f>
        <v>70.880700000000004</v>
      </c>
      <c r="F307">
        <f>INDEX(N2O_Em!$E:$ZZ, MATCH(A307, N2O_Em!$C:$C, 0), MATCH(B307, N2O_Em!$E$1:$ZZ$1, 0))</f>
        <v>28.761900000000001</v>
      </c>
      <c r="G307">
        <f>INDEX(CO2_Em!$E:$ZZ, MATCH(A307, CO2_Em!$C:$C, 0), MATCH(B307, CO2_Em!$E$1:$ZZ$1, 0))</f>
        <v>0.33560000000000001</v>
      </c>
      <c r="H307">
        <f>INDEX(Agri_VA!$E:$ZZ, MATCH(A307, Agri_VA!$C:$C, 0), MATCH(B307, Agri_VA!$E$1:$ZZ$1, 0))</f>
        <v>33.779281340047874</v>
      </c>
      <c r="I307" s="6">
        <f>INDEX('Agri_land '!$E:$ZZ, MATCH(A307, 'Agri_land '!$C:$C, 0), MATCH(B307, 'Agri_land '!$E$1:$ZZ$1, 0))</f>
        <v>33.263928812192042</v>
      </c>
      <c r="J307">
        <f>INDEX(Cereal_Yield!$E:$ZZ, MATCH(A307, Cereal_Yield!$C:$C, 0), MATCH(B307, Cereal_Yield!$E$1:$ZZ$1, 0))</f>
        <v>2539.4</v>
      </c>
    </row>
    <row r="308" spans="1:10" x14ac:dyDescent="0.3">
      <c r="A308" t="s">
        <v>17</v>
      </c>
      <c r="B308" s="4">
        <v>2018</v>
      </c>
      <c r="C308" t="s">
        <v>48</v>
      </c>
      <c r="D308" s="8">
        <f>INDEX(GDP_pc!$E:$ZZ, MATCH(A308, GDP_pc!$C:$C, 0), MATCH(B308, GDP_pc!$E$1:$ZZ$1, 0))</f>
        <v>83337901071.969696</v>
      </c>
      <c r="E308">
        <f>INDEX(CH4_Em!$E:$ZZ, MATCH(A308, CH4_Em!$C:$C, 0), MATCH(B308, CH4_Em!$E$1:$ZZ$1, 0))</f>
        <v>72.704700000000003</v>
      </c>
      <c r="F308">
        <f>INDEX(N2O_Em!$E:$ZZ, MATCH(A308, N2O_Em!$C:$C, 0), MATCH(B308, N2O_Em!$E$1:$ZZ$1, 0))</f>
        <v>29.038399999999999</v>
      </c>
      <c r="G308">
        <f>INDEX(CO2_Em!$E:$ZZ, MATCH(A308, CO2_Em!$C:$C, 0), MATCH(B308, CO2_Em!$E$1:$ZZ$1, 0))</f>
        <v>0.3518</v>
      </c>
      <c r="H308">
        <f>INDEX(Agri_VA!$E:$ZZ, MATCH(A308, Agri_VA!$C:$C, 0), MATCH(B308, Agri_VA!$E$1:$ZZ$1, 0))</f>
        <v>31.218806648717361</v>
      </c>
      <c r="I308" s="6">
        <f>INDEX('Agri_land '!$E:$ZZ, MATCH(A308, 'Agri_land '!$C:$C, 0), MATCH(B308, 'Agri_land '!$E$1:$ZZ$1, 0))</f>
        <v>33.585235149811076</v>
      </c>
      <c r="J308">
        <f>INDEX(Cereal_Yield!$E:$ZZ, MATCH(A308, Cereal_Yield!$C:$C, 0), MATCH(B308, Cereal_Yield!$E$1:$ZZ$1, 0))</f>
        <v>2729.8</v>
      </c>
    </row>
    <row r="309" spans="1:10" x14ac:dyDescent="0.3">
      <c r="A309" t="s">
        <v>17</v>
      </c>
      <c r="B309" s="4">
        <v>2019</v>
      </c>
      <c r="C309" t="s">
        <v>48</v>
      </c>
      <c r="D309" s="8">
        <f>INDEX(GDP_pc!$E:$ZZ, MATCH(A309, GDP_pc!$C:$C, 0), MATCH(B309, GDP_pc!$E$1:$ZZ$1, 0))</f>
        <v>91834517112.627991</v>
      </c>
      <c r="E309">
        <f>INDEX(CH4_Em!$E:$ZZ, MATCH(A309, CH4_Em!$C:$C, 0), MATCH(B309, CH4_Em!$E$1:$ZZ$1, 0))</f>
        <v>79.118700000000004</v>
      </c>
      <c r="F309">
        <f>INDEX(N2O_Em!$E:$ZZ, MATCH(A309, N2O_Em!$C:$C, 0), MATCH(B309, N2O_Em!$E$1:$ZZ$1, 0))</f>
        <v>31.545400000000001</v>
      </c>
      <c r="G309">
        <f>INDEX(CO2_Em!$E:$ZZ, MATCH(A309, CO2_Em!$C:$C, 0), MATCH(B309, CO2_Em!$E$1:$ZZ$1, 0))</f>
        <v>0.3372</v>
      </c>
      <c r="H309">
        <f>INDEX(Agri_VA!$E:$ZZ, MATCH(A309, Agri_VA!$C:$C, 0), MATCH(B309, Agri_VA!$E$1:$ZZ$1, 0))</f>
        <v>33.633324693087438</v>
      </c>
      <c r="I309" s="6">
        <f>INDEX('Agri_land '!$E:$ZZ, MATCH(A309, 'Agri_land '!$C:$C, 0), MATCH(B309, 'Agri_land '!$E$1:$ZZ$1, 0))</f>
        <v>33.839256355094747</v>
      </c>
      <c r="J309">
        <f>INDEX(Cereal_Yield!$E:$ZZ, MATCH(A309, Cereal_Yield!$C:$C, 0), MATCH(B309, Cereal_Yield!$E$1:$ZZ$1, 0))</f>
        <v>2831.8</v>
      </c>
    </row>
    <row r="310" spans="1:10" x14ac:dyDescent="0.3">
      <c r="A310" t="s">
        <v>17</v>
      </c>
      <c r="B310" s="4">
        <v>2020</v>
      </c>
      <c r="C310" t="s">
        <v>48</v>
      </c>
      <c r="D310" s="8">
        <f>INDEX(GDP_pc!$E:$ZZ, MATCH(A310, GDP_pc!$C:$C, 0), MATCH(B310, GDP_pc!$E$1:$ZZ$1, 0))</f>
        <v>98676811061.403503</v>
      </c>
      <c r="E310">
        <f>INDEX(CH4_Em!$E:$ZZ, MATCH(A310, CH4_Em!$C:$C, 0), MATCH(B310, CH4_Em!$E$1:$ZZ$1, 0))</f>
        <v>83.814599999999999</v>
      </c>
      <c r="F310">
        <f>INDEX(N2O_Em!$E:$ZZ, MATCH(A310, N2O_Em!$C:$C, 0), MATCH(B310, N2O_Em!$E$1:$ZZ$1, 0))</f>
        <v>33.504600000000003</v>
      </c>
      <c r="G310">
        <f>INDEX(CO2_Em!$E:$ZZ, MATCH(A310, CO2_Em!$C:$C, 0), MATCH(B310, CO2_Em!$E$1:$ZZ$1, 0))</f>
        <v>0.40610000000000002</v>
      </c>
      <c r="H310">
        <f>INDEX(Agri_VA!$E:$ZZ, MATCH(A310, Agri_VA!$C:$C, 0), MATCH(B310, Agri_VA!$E$1:$ZZ$1, 0))</f>
        <v>35.558270037411774</v>
      </c>
      <c r="I310" s="6">
        <f>INDEX('Agri_land '!$E:$ZZ, MATCH(A310, 'Agri_land '!$C:$C, 0), MATCH(B310, 'Agri_land '!$E$1:$ZZ$1, 0))</f>
        <v>34.092747698550575</v>
      </c>
      <c r="J310">
        <f>INDEX(Cereal_Yield!$E:$ZZ, MATCH(A310, Cereal_Yield!$C:$C, 0), MATCH(B310, Cereal_Yield!$E$1:$ZZ$1, 0))</f>
        <v>2841.2</v>
      </c>
    </row>
    <row r="311" spans="1:10" x14ac:dyDescent="0.3">
      <c r="A311" t="s">
        <v>17</v>
      </c>
      <c r="B311" s="4">
        <v>2021</v>
      </c>
      <c r="C311" t="s">
        <v>48</v>
      </c>
      <c r="D311" s="8">
        <f>INDEX(GDP_pc!$E:$ZZ, MATCH(A311, GDP_pc!$C:$C, 0), MATCH(B311, GDP_pc!$E$1:$ZZ$1, 0))</f>
        <v>109070960371.8593</v>
      </c>
      <c r="E311">
        <f>INDEX(CH4_Em!$E:$ZZ, MATCH(A311, CH4_Em!$C:$C, 0), MATCH(B311, CH4_Em!$E$1:$ZZ$1, 0))</f>
        <v>78.875699999999995</v>
      </c>
      <c r="F311">
        <f>INDEX(N2O_Em!$E:$ZZ, MATCH(A311, N2O_Em!$C:$C, 0), MATCH(B311, N2O_Em!$E$1:$ZZ$1, 0))</f>
        <v>31.184000000000001</v>
      </c>
      <c r="G311">
        <f>INDEX(CO2_Em!$E:$ZZ, MATCH(A311, CO2_Em!$C:$C, 0), MATCH(B311, CO2_Em!$E$1:$ZZ$1, 0))</f>
        <v>0.26300000000000001</v>
      </c>
      <c r="H311">
        <f>INDEX(Agri_VA!$E:$ZZ, MATCH(A311, Agri_VA!$C:$C, 0), MATCH(B311, Agri_VA!$E$1:$ZZ$1, 0))</f>
        <v>37.579113756886272</v>
      </c>
      <c r="I311" s="6">
        <f>INDEX('Agri_land '!$E:$ZZ, MATCH(A311, 'Agri_land '!$C:$C, 0), MATCH(B311, 'Agri_land '!$E$1:$ZZ$1, 0))</f>
        <v>34.355470633021227</v>
      </c>
      <c r="J311">
        <f>INDEX(Cereal_Yield!$E:$ZZ, MATCH(A311, Cereal_Yield!$C:$C, 0), MATCH(B311, Cereal_Yield!$E$1:$ZZ$1, 0))</f>
        <v>2902.7</v>
      </c>
    </row>
    <row r="312" spans="1:10" x14ac:dyDescent="0.3">
      <c r="A312" t="s">
        <v>17</v>
      </c>
      <c r="B312" s="4">
        <v>2022</v>
      </c>
      <c r="C312" t="s">
        <v>48</v>
      </c>
      <c r="D312" s="8">
        <f>INDEX(GDP_pc!$E:$ZZ, MATCH(A312, GDP_pc!$C:$C, 0), MATCH(B312, GDP_pc!$E$1:$ZZ$1, 0))</f>
        <v>123140304666</v>
      </c>
      <c r="E312">
        <f>INDEX(CH4_Em!$E:$ZZ, MATCH(A312, CH4_Em!$C:$C, 0), MATCH(B312, CH4_Em!$E$1:$ZZ$1, 0))</f>
        <v>80.1631</v>
      </c>
      <c r="F312">
        <f>INDEX(N2O_Em!$E:$ZZ, MATCH(A312, N2O_Em!$C:$C, 0), MATCH(B312, N2O_Em!$E$1:$ZZ$1, 0))</f>
        <v>32.725700000000003</v>
      </c>
      <c r="G312">
        <f>INDEX(CO2_Em!$E:$ZZ, MATCH(A312, CO2_Em!$C:$C, 0), MATCH(B312, CO2_Em!$E$1:$ZZ$1, 0))</f>
        <v>0.45319999999999999</v>
      </c>
      <c r="H312">
        <f>INDEX(Agri_VA!$E:$ZZ, MATCH(A312, Agri_VA!$C:$C, 0), MATCH(B312, Agri_VA!$E$1:$ZZ$1, 0))</f>
        <v>37.642226838503476</v>
      </c>
      <c r="I312" s="6">
        <f>INDEX('Agri_land '!$E:$ZZ, MATCH(A312, 'Agri_land '!$C:$C, 0), MATCH(B312, 'Agri_land '!$E$1:$ZZ$1, 0))</f>
        <v>34.077956485199628</v>
      </c>
      <c r="J312">
        <f>INDEX(Cereal_Yield!$E:$ZZ, MATCH(A312, Cereal_Yield!$C:$C, 0), MATCH(B312, Cereal_Yield!$E$1:$ZZ$1, 0))</f>
        <v>2822.5</v>
      </c>
    </row>
    <row r="313" spans="1:10" x14ac:dyDescent="0.3">
      <c r="A313" t="s">
        <v>17</v>
      </c>
      <c r="B313" s="4">
        <v>2023</v>
      </c>
      <c r="C313" t="s">
        <v>48</v>
      </c>
      <c r="D313" s="8">
        <f>INDEX(GDP_pc!$E:$ZZ, MATCH(A313, GDP_pc!$C:$C, 0), MATCH(B313, GDP_pc!$E$1:$ZZ$1, 0))</f>
        <v>135874093202.49222</v>
      </c>
      <c r="E313">
        <f>INDEX(CH4_Em!$E:$ZZ, MATCH(A313, CH4_Em!$C:$C, 0), MATCH(B313, CH4_Em!$E$1:$ZZ$1, 0))</f>
        <v>84.710099999999997</v>
      </c>
      <c r="F313">
        <f>INDEX(N2O_Em!$E:$ZZ, MATCH(A313, N2O_Em!$C:$C, 0), MATCH(B313, N2O_Em!$E$1:$ZZ$1, 0))</f>
        <v>34.465699999999998</v>
      </c>
      <c r="G313">
        <f>INDEX(CO2_Em!$E:$ZZ, MATCH(A313, CO2_Em!$C:$C, 0), MATCH(B313, CO2_Em!$E$1:$ZZ$1, 0))</f>
        <v>0.4773</v>
      </c>
      <c r="H313">
        <f>INDEX(Agri_VA!$E:$ZZ, MATCH(A313, Agri_VA!$C:$C, 0), MATCH(B313, Agri_VA!$E$1:$ZZ$1, 0))</f>
        <v>35.786480784815154</v>
      </c>
      <c r="I313" s="6">
        <f>INDEX('Agri_land '!$E:$ZZ, MATCH(A313, 'Agri_land '!$C:$C, 0), MATCH(B313, 'Agri_land '!$E$1:$ZZ$1, 0))</f>
        <v>34.077956485199628</v>
      </c>
      <c r="J313">
        <f>INDEX(Cereal_Yield!$E:$ZZ, MATCH(A313, Cereal_Yield!$C:$C, 0), MATCH(B313, Cereal_Yield!$E$1:$ZZ$1, 0))</f>
        <v>2863.8</v>
      </c>
    </row>
    <row r="314" spans="1:10" x14ac:dyDescent="0.3">
      <c r="A314" t="s">
        <v>18</v>
      </c>
      <c r="B314" s="4">
        <v>2000</v>
      </c>
      <c r="C314" t="s">
        <v>49</v>
      </c>
      <c r="D314" s="8">
        <f>INDEX(GDP_pc!$E:$ZZ, MATCH(A314, GDP_pc!$C:$C, 0), MATCH(B314, GDP_pc!$E$1:$ZZ$1, 0))</f>
        <v>125967821110.5885</v>
      </c>
      <c r="E314">
        <f>INDEX(CH4_Em!$E:$ZZ, MATCH(A314, CH4_Em!$C:$C, 0), MATCH(B314, CH4_Em!$E$1:$ZZ$1, 0))</f>
        <v>2.8372999999999999</v>
      </c>
      <c r="F314">
        <f>INDEX(N2O_Em!$E:$ZZ, MATCH(A314, N2O_Em!$C:$C, 0), MATCH(B314, N2O_Em!$E$1:$ZZ$1, 0))</f>
        <v>3.9199000000000002</v>
      </c>
      <c r="G314">
        <f>INDEX(CO2_Em!$E:$ZZ, MATCH(A314, CO2_Em!$C:$C, 0), MATCH(B314, CO2_Em!$E$1:$ZZ$1, 0))</f>
        <v>1.6000000000000001E-3</v>
      </c>
      <c r="H314">
        <f>INDEX(Agri_VA!$E:$ZZ, MATCH(A314, Agri_VA!$C:$C, 0), MATCH(B314, Agri_VA!$E$1:$ZZ$1, 0))</f>
        <v>2.9548487381402784</v>
      </c>
      <c r="I314" s="6">
        <f>INDEX('Agri_land '!$E:$ZZ, MATCH(A314, 'Agri_land '!$C:$C, 0), MATCH(B314, 'Agri_land '!$E$1:$ZZ$1, 0))</f>
        <v>7.2819199579762959</v>
      </c>
      <c r="J314">
        <f>INDEX(Cereal_Yield!$E:$ZZ, MATCH(A314, Cereal_Yield!$C:$C, 0), MATCH(B314, Cereal_Yield!$E$1:$ZZ$1, 0))</f>
        <v>3498.7</v>
      </c>
    </row>
    <row r="315" spans="1:10" x14ac:dyDescent="0.3">
      <c r="A315" t="s">
        <v>18</v>
      </c>
      <c r="B315" s="4">
        <v>2001</v>
      </c>
      <c r="C315" t="s">
        <v>49</v>
      </c>
      <c r="D315" s="8">
        <f>INDEX(GDP_pc!$E:$ZZ, MATCH(A315, GDP_pc!$C:$C, 0), MATCH(B315, GDP_pc!$E$1:$ZZ$1, 0))</f>
        <v>129519672868.8978</v>
      </c>
      <c r="E315">
        <f>INDEX(CH4_Em!$E:$ZZ, MATCH(A315, CH4_Em!$C:$C, 0), MATCH(B315, CH4_Em!$E$1:$ZZ$1, 0))</f>
        <v>2.8056000000000001</v>
      </c>
      <c r="F315">
        <f>INDEX(N2O_Em!$E:$ZZ, MATCH(A315, N2O_Em!$C:$C, 0), MATCH(B315, N2O_Em!$E$1:$ZZ$1, 0))</f>
        <v>3.8877000000000002</v>
      </c>
      <c r="G315">
        <f>INDEX(CO2_Em!$E:$ZZ, MATCH(A315, CO2_Em!$C:$C, 0), MATCH(B315, CO2_Em!$E$1:$ZZ$1, 0))</f>
        <v>1.6000000000000001E-3</v>
      </c>
      <c r="H315">
        <f>INDEX(Agri_VA!$E:$ZZ, MATCH(A315, Agri_VA!$C:$C, 0), MATCH(B315, Agri_VA!$E$1:$ZZ$1, 0))</f>
        <v>2.7646200549051607</v>
      </c>
      <c r="I315" s="6">
        <f>INDEX('Agri_land '!$E:$ZZ, MATCH(A315, 'Agri_land '!$C:$C, 0), MATCH(B315, 'Agri_land '!$E$1:$ZZ$1, 0))</f>
        <v>7.2950523654749011</v>
      </c>
      <c r="J315">
        <f>INDEX(Cereal_Yield!$E:$ZZ, MATCH(A315, Cereal_Yield!$C:$C, 0), MATCH(B315, Cereal_Yield!$E$1:$ZZ$1, 0))</f>
        <v>3164.4</v>
      </c>
    </row>
    <row r="316" spans="1:10" x14ac:dyDescent="0.3">
      <c r="A316" t="s">
        <v>18</v>
      </c>
      <c r="B316" s="4">
        <v>2002</v>
      </c>
      <c r="C316" t="s">
        <v>49</v>
      </c>
      <c r="D316" s="8">
        <f>INDEX(GDP_pc!$E:$ZZ, MATCH(A316, GDP_pc!$C:$C, 0), MATCH(B316, GDP_pc!$E$1:$ZZ$1, 0))</f>
        <v>140360963811.76495</v>
      </c>
      <c r="E316">
        <f>INDEX(CH4_Em!$E:$ZZ, MATCH(A316, CH4_Em!$C:$C, 0), MATCH(B316, CH4_Em!$E$1:$ZZ$1, 0))</f>
        <v>2.8195000000000001</v>
      </c>
      <c r="F316">
        <f>INDEX(N2O_Em!$E:$ZZ, MATCH(A316, N2O_Em!$C:$C, 0), MATCH(B316, N2O_Em!$E$1:$ZZ$1, 0))</f>
        <v>3.91</v>
      </c>
      <c r="G316">
        <f>INDEX(CO2_Em!$E:$ZZ, MATCH(A316, CO2_Em!$C:$C, 0), MATCH(B316, CO2_Em!$E$1:$ZZ$1, 0))</f>
        <v>1.6000000000000001E-3</v>
      </c>
      <c r="H316">
        <f>INDEX(Agri_VA!$E:$ZZ, MATCH(A316, Agri_VA!$C:$C, 0), MATCH(B316, Agri_VA!$E$1:$ZZ$1, 0))</f>
        <v>2.6731339261654541</v>
      </c>
      <c r="I316" s="6">
        <f>INDEX('Agri_land '!$E:$ZZ, MATCH(A316, 'Agri_land '!$C:$C, 0), MATCH(B316, 'Agri_land '!$E$1:$ZZ$1, 0))</f>
        <v>7.3410157917200163</v>
      </c>
      <c r="J316">
        <f>INDEX(Cereal_Yield!$E:$ZZ, MATCH(A316, Cereal_Yield!$C:$C, 0), MATCH(B316, Cereal_Yield!$E$1:$ZZ$1, 0))</f>
        <v>3295</v>
      </c>
    </row>
    <row r="317" spans="1:10" x14ac:dyDescent="0.3">
      <c r="A317" t="s">
        <v>18</v>
      </c>
      <c r="B317" s="4">
        <v>2003</v>
      </c>
      <c r="C317" t="s">
        <v>49</v>
      </c>
      <c r="D317" s="8">
        <f>INDEX(GDP_pc!$E:$ZZ, MATCH(A317, GDP_pc!$C:$C, 0), MATCH(B317, GDP_pc!$E$1:$ZZ$1, 0))</f>
        <v>171612867735.68591</v>
      </c>
      <c r="E317">
        <f>INDEX(CH4_Em!$E:$ZZ, MATCH(A317, CH4_Em!$C:$C, 0), MATCH(B317, CH4_Em!$E$1:$ZZ$1, 0))</f>
        <v>2.7968999999999999</v>
      </c>
      <c r="F317">
        <f>INDEX(N2O_Em!$E:$ZZ, MATCH(A317, N2O_Em!$C:$C, 0), MATCH(B317, N2O_Em!$E$1:$ZZ$1, 0))</f>
        <v>3.9226000000000001</v>
      </c>
      <c r="G317">
        <f>INDEX(CO2_Em!$E:$ZZ, MATCH(A317, CO2_Em!$C:$C, 0), MATCH(B317, CO2_Em!$E$1:$ZZ$1, 0))</f>
        <v>1.6000000000000001E-3</v>
      </c>
      <c r="H317">
        <f>INDEX(Agri_VA!$E:$ZZ, MATCH(A317, Agri_VA!$C:$C, 0), MATCH(B317, Agri_VA!$E$1:$ZZ$1, 0))</f>
        <v>2.5363512925636393</v>
      </c>
      <c r="I317" s="6">
        <f>INDEX('Agri_land '!$E:$ZZ, MATCH(A317, 'Agri_land '!$C:$C, 0), MATCH(B317, 'Agri_land '!$E$1:$ZZ$1, 0))</f>
        <v>7.3738468104665289</v>
      </c>
      <c r="J317">
        <f>INDEX(Cereal_Yield!$E:$ZZ, MATCH(A317, Cereal_Yield!$C:$C, 0), MATCH(B317, Cereal_Yield!$E$1:$ZZ$1, 0))</f>
        <v>3178</v>
      </c>
    </row>
    <row r="318" spans="1:10" x14ac:dyDescent="0.3">
      <c r="A318" t="s">
        <v>18</v>
      </c>
      <c r="B318" s="4">
        <v>2004</v>
      </c>
      <c r="C318" t="s">
        <v>49</v>
      </c>
      <c r="D318" s="8">
        <f>INDEX(GDP_pc!$E:$ZZ, MATCH(A318, GDP_pc!$C:$C, 0), MATCH(B318, GDP_pc!$E$1:$ZZ$1, 0))</f>
        <v>197458297639.76886</v>
      </c>
      <c r="E318">
        <f>INDEX(CH4_Em!$E:$ZZ, MATCH(A318, CH4_Em!$C:$C, 0), MATCH(B318, CH4_Em!$E$1:$ZZ$1, 0))</f>
        <v>2.7332999999999998</v>
      </c>
      <c r="F318">
        <f>INDEX(N2O_Em!$E:$ZZ, MATCH(A318, N2O_Em!$C:$C, 0), MATCH(B318, N2O_Em!$E$1:$ZZ$1, 0))</f>
        <v>3.9340999999999999</v>
      </c>
      <c r="G318">
        <f>INDEX(CO2_Em!$E:$ZZ, MATCH(A318, CO2_Em!$C:$C, 0), MATCH(B318, CO2_Em!$E$1:$ZZ$1, 0))</f>
        <v>1.6000000000000001E-3</v>
      </c>
      <c r="H318">
        <f>INDEX(Agri_VA!$E:$ZZ, MATCH(A318, Agri_VA!$C:$C, 0), MATCH(B318, Agri_VA!$E$1:$ZZ$1, 0))</f>
        <v>2.379977447540333</v>
      </c>
      <c r="I318" s="6">
        <f>INDEX('Agri_land '!$E:$ZZ, MATCH(A318, 'Agri_land '!$C:$C, 0), MATCH(B318, 'Agri_land '!$E$1:$ZZ$1, 0))</f>
        <v>7.3968285235890869</v>
      </c>
      <c r="J318">
        <f>INDEX(Cereal_Yield!$E:$ZZ, MATCH(A318, Cereal_Yield!$C:$C, 0), MATCH(B318, Cereal_Yield!$E$1:$ZZ$1, 0))</f>
        <v>3210.6</v>
      </c>
    </row>
    <row r="319" spans="1:10" x14ac:dyDescent="0.3">
      <c r="A319" t="s">
        <v>18</v>
      </c>
      <c r="B319" s="4">
        <v>2005</v>
      </c>
      <c r="C319" t="s">
        <v>49</v>
      </c>
      <c r="D319" s="8">
        <f>INDEX(GDP_pc!$E:$ZZ, MATCH(A319, GDP_pc!$C:$C, 0), MATCH(B319, GDP_pc!$E$1:$ZZ$1, 0))</f>
        <v>204859368790.66138</v>
      </c>
      <c r="E319">
        <f>INDEX(CH4_Em!$E:$ZZ, MATCH(A319, CH4_Em!$C:$C, 0), MATCH(B319, CH4_Em!$E$1:$ZZ$1, 0))</f>
        <v>2.649</v>
      </c>
      <c r="F319">
        <f>INDEX(N2O_Em!$E:$ZZ, MATCH(A319, N2O_Em!$C:$C, 0), MATCH(B319, N2O_Em!$E$1:$ZZ$1, 0))</f>
        <v>3.9592999999999998</v>
      </c>
      <c r="G319">
        <f>INDEX(CO2_Em!$E:$ZZ, MATCH(A319, CO2_Em!$C:$C, 0), MATCH(B319, CO2_Em!$E$1:$ZZ$1, 0))</f>
        <v>1.6000000000000001E-3</v>
      </c>
      <c r="H319">
        <f>INDEX(Agri_VA!$E:$ZZ, MATCH(A319, Agri_VA!$C:$C, 0), MATCH(B319, Agri_VA!$E$1:$ZZ$1, 0))</f>
        <v>2.2785517350272673</v>
      </c>
      <c r="I319" s="6">
        <f>INDEX('Agri_land '!$E:$ZZ, MATCH(A319, 'Agri_land '!$C:$C, 0), MATCH(B319, 'Agri_land '!$E$1:$ZZ$1, 0))</f>
        <v>7.4651170425818316</v>
      </c>
      <c r="J319">
        <f>INDEX(Cereal_Yield!$E:$ZZ, MATCH(A319, Cereal_Yield!$C:$C, 0), MATCH(B319, Cereal_Yield!$E$1:$ZZ$1, 0))</f>
        <v>3422.9</v>
      </c>
    </row>
    <row r="320" spans="1:10" x14ac:dyDescent="0.3">
      <c r="A320" t="s">
        <v>18</v>
      </c>
      <c r="B320" s="4">
        <v>2006</v>
      </c>
      <c r="C320" t="s">
        <v>49</v>
      </c>
      <c r="D320" s="8">
        <f>INDEX(GDP_pc!$E:$ZZ, MATCH(A320, GDP_pc!$C:$C, 0), MATCH(B320, GDP_pc!$E$1:$ZZ$1, 0))</f>
        <v>217044068234.11734</v>
      </c>
      <c r="E320">
        <f>INDEX(CH4_Em!$E:$ZZ, MATCH(A320, CH4_Em!$C:$C, 0), MATCH(B320, CH4_Em!$E$1:$ZZ$1, 0))</f>
        <v>2.6696</v>
      </c>
      <c r="F320">
        <f>INDEX(N2O_Em!$E:$ZZ, MATCH(A320, N2O_Em!$C:$C, 0), MATCH(B320, N2O_Em!$E$1:$ZZ$1, 0))</f>
        <v>3.952</v>
      </c>
      <c r="G320">
        <f>INDEX(CO2_Em!$E:$ZZ, MATCH(A320, CO2_Em!$C:$C, 0), MATCH(B320, CO2_Em!$E$1:$ZZ$1, 0))</f>
        <v>3.0999999999999999E-3</v>
      </c>
      <c r="H320">
        <f>INDEX(Agri_VA!$E:$ZZ, MATCH(A320, Agri_VA!$C:$C, 0), MATCH(B320, Agri_VA!$E$1:$ZZ$1, 0))</f>
        <v>2.0016082285767176</v>
      </c>
      <c r="I320" s="6">
        <f>INDEX('Agri_land '!$E:$ZZ, MATCH(A320, 'Agri_land '!$C:$C, 0), MATCH(B320, 'Agri_land '!$E$1:$ZZ$1, 0))</f>
        <v>7.5656834697971131</v>
      </c>
      <c r="J320">
        <f>INDEX(Cereal_Yield!$E:$ZZ, MATCH(A320, Cereal_Yield!$C:$C, 0), MATCH(B320, Cereal_Yield!$E$1:$ZZ$1, 0))</f>
        <v>3293.8</v>
      </c>
    </row>
    <row r="321" spans="1:10" x14ac:dyDescent="0.3">
      <c r="A321" t="s">
        <v>18</v>
      </c>
      <c r="B321" s="4">
        <v>2007</v>
      </c>
      <c r="C321" t="s">
        <v>49</v>
      </c>
      <c r="D321" s="8">
        <f>INDEX(GDP_pc!$E:$ZZ, MATCH(A321, GDP_pc!$C:$C, 0), MATCH(B321, GDP_pc!$E$1:$ZZ$1, 0))</f>
        <v>256360251537.64789</v>
      </c>
      <c r="E321">
        <f>INDEX(CH4_Em!$E:$ZZ, MATCH(A321, CH4_Em!$C:$C, 0), MATCH(B321, CH4_Em!$E$1:$ZZ$1, 0))</f>
        <v>2.6219999999999999</v>
      </c>
      <c r="F321">
        <f>INDEX(N2O_Em!$E:$ZZ, MATCH(A321, N2O_Em!$C:$C, 0), MATCH(B321, N2O_Em!$E$1:$ZZ$1, 0))</f>
        <v>3.9872000000000001</v>
      </c>
      <c r="G321">
        <f>INDEX(CO2_Em!$E:$ZZ, MATCH(A321, CO2_Em!$C:$C, 0), MATCH(B321, CO2_Em!$E$1:$ZZ$1, 0))</f>
        <v>3.0999999999999999E-3</v>
      </c>
      <c r="H321">
        <f>INDEX(Agri_VA!$E:$ZZ, MATCH(A321, Agri_VA!$C:$C, 0), MATCH(B321, Agri_VA!$E$1:$ZZ$1, 0))</f>
        <v>2.3805323454097369</v>
      </c>
      <c r="I321" s="6">
        <f>INDEX('Agri_land '!$E:$ZZ, MATCH(A321, 'Agri_land '!$C:$C, 0), MATCH(B321, 'Agri_land '!$E$1:$ZZ$1, 0))</f>
        <v>7.5467789141372617</v>
      </c>
      <c r="J321">
        <f>INDEX(Cereal_Yield!$E:$ZZ, MATCH(A321, Cereal_Yield!$C:$C, 0), MATCH(B321, Cereal_Yield!$E$1:$ZZ$1, 0))</f>
        <v>3654.7</v>
      </c>
    </row>
    <row r="322" spans="1:10" x14ac:dyDescent="0.3">
      <c r="A322" t="s">
        <v>18</v>
      </c>
      <c r="B322" s="4">
        <v>2008</v>
      </c>
      <c r="C322" t="s">
        <v>49</v>
      </c>
      <c r="D322" s="8">
        <f>INDEX(GDP_pc!$E:$ZZ, MATCH(A322, GDP_pc!$C:$C, 0), MATCH(B322, GDP_pc!$E$1:$ZZ$1, 0))</f>
        <v>285698662071.09369</v>
      </c>
      <c r="E322">
        <f>INDEX(CH4_Em!$E:$ZZ, MATCH(A322, CH4_Em!$C:$C, 0), MATCH(B322, CH4_Em!$E$1:$ZZ$1, 0))</f>
        <v>2.6153</v>
      </c>
      <c r="F322">
        <f>INDEX(N2O_Em!$E:$ZZ, MATCH(A322, N2O_Em!$C:$C, 0), MATCH(B322, N2O_Em!$E$1:$ZZ$1, 0))</f>
        <v>3.8622000000000001</v>
      </c>
      <c r="G322">
        <f>INDEX(CO2_Em!$E:$ZZ, MATCH(A322, CO2_Em!$C:$C, 0), MATCH(B322, CO2_Em!$E$1:$ZZ$1, 0))</f>
        <v>0</v>
      </c>
      <c r="H322">
        <f>INDEX(Agri_VA!$E:$ZZ, MATCH(A322, Agri_VA!$C:$C, 0), MATCH(B322, Agri_VA!$E$1:$ZZ$1, 0))</f>
        <v>2.205371345616284</v>
      </c>
      <c r="I322" s="6">
        <f>INDEX('Agri_land '!$E:$ZZ, MATCH(A322, 'Agri_land '!$C:$C, 0), MATCH(B322, 'Agri_land '!$E$1:$ZZ$1, 0))</f>
        <v>7.5564330371832842</v>
      </c>
      <c r="J322">
        <f>INDEX(Cereal_Yield!$E:$ZZ, MATCH(A322, Cereal_Yield!$C:$C, 0), MATCH(B322, Cereal_Yield!$E$1:$ZZ$1, 0))</f>
        <v>3542.3</v>
      </c>
    </row>
    <row r="323" spans="1:10" x14ac:dyDescent="0.3">
      <c r="A323" t="s">
        <v>18</v>
      </c>
      <c r="B323" s="4">
        <v>2009</v>
      </c>
      <c r="C323" t="s">
        <v>49</v>
      </c>
      <c r="D323" s="8">
        <f>INDEX(GDP_pc!$E:$ZZ, MATCH(A323, GDP_pc!$C:$C, 0), MATCH(B323, GDP_pc!$E$1:$ZZ$1, 0))</f>
        <v>253480783439.45294</v>
      </c>
      <c r="E323">
        <f>INDEX(CH4_Em!$E:$ZZ, MATCH(A323, CH4_Em!$C:$C, 0), MATCH(B323, CH4_Em!$E$1:$ZZ$1, 0))</f>
        <v>2.6198000000000001</v>
      </c>
      <c r="F323">
        <f>INDEX(N2O_Em!$E:$ZZ, MATCH(A323, N2O_Em!$C:$C, 0), MATCH(B323, N2O_Em!$E$1:$ZZ$1, 0))</f>
        <v>3.8887</v>
      </c>
      <c r="G323">
        <f>INDEX(CO2_Em!$E:$ZZ, MATCH(A323, CO2_Em!$C:$C, 0), MATCH(B323, CO2_Em!$E$1:$ZZ$1, 0))</f>
        <v>1.6000000000000001E-3</v>
      </c>
      <c r="H323">
        <f>INDEX(Agri_VA!$E:$ZZ, MATCH(A323, Agri_VA!$C:$C, 0), MATCH(B323, Agri_VA!$E$1:$ZZ$1, 0))</f>
        <v>2.2538311277409413</v>
      </c>
      <c r="I323" s="6">
        <f>INDEX('Agri_land '!$E:$ZZ, MATCH(A323, 'Agri_land '!$C:$C, 0), MATCH(B323, 'Agri_land '!$E$1:$ZZ$1, 0))</f>
        <v>7.5567620927936829</v>
      </c>
      <c r="J323">
        <f>INDEX(Cereal_Yield!$E:$ZZ, MATCH(A323, Cereal_Yield!$C:$C, 0), MATCH(B323, Cereal_Yield!$E$1:$ZZ$1, 0))</f>
        <v>3760.4</v>
      </c>
    </row>
    <row r="324" spans="1:10" x14ac:dyDescent="0.3">
      <c r="A324" t="s">
        <v>18</v>
      </c>
      <c r="B324" s="4">
        <v>2010</v>
      </c>
      <c r="C324" t="s">
        <v>49</v>
      </c>
      <c r="D324" s="8">
        <f>INDEX(GDP_pc!$E:$ZZ, MATCH(A324, GDP_pc!$C:$C, 0), MATCH(B324, GDP_pc!$E$1:$ZZ$1, 0))</f>
        <v>249429613683.3338</v>
      </c>
      <c r="E324">
        <f>INDEX(CH4_Em!$E:$ZZ, MATCH(A324, CH4_Em!$C:$C, 0), MATCH(B324, CH4_Em!$E$1:$ZZ$1, 0))</f>
        <v>2.6556000000000002</v>
      </c>
      <c r="F324">
        <f>INDEX(N2O_Em!$E:$ZZ, MATCH(A324, N2O_Em!$C:$C, 0), MATCH(B324, N2O_Em!$E$1:$ZZ$1, 0))</f>
        <v>3.9432</v>
      </c>
      <c r="G324">
        <f>INDEX(CO2_Em!$E:$ZZ, MATCH(A324, CO2_Em!$C:$C, 0), MATCH(B324, CO2_Em!$E$1:$ZZ$1, 0))</f>
        <v>3.0999999999999999E-3</v>
      </c>
      <c r="H324">
        <f>INDEX(Agri_VA!$E:$ZZ, MATCH(A324, Agri_VA!$C:$C, 0), MATCH(B324, Agri_VA!$E$1:$ZZ$1, 0))</f>
        <v>2.366766411369833</v>
      </c>
      <c r="I324" s="6">
        <f>INDEX('Agri_land '!$E:$ZZ, MATCH(A324, 'Agri_land '!$C:$C, 0), MATCH(B324, 'Agri_land '!$E$1:$ZZ$1, 0))</f>
        <v>7.5416255347153669</v>
      </c>
      <c r="J324">
        <f>INDEX(Cereal_Yield!$E:$ZZ, MATCH(A324, Cereal_Yield!$C:$C, 0), MATCH(B324, Cereal_Yield!$E$1:$ZZ$1, 0))</f>
        <v>3135.3</v>
      </c>
    </row>
    <row r="325" spans="1:10" x14ac:dyDescent="0.3">
      <c r="A325" t="s">
        <v>18</v>
      </c>
      <c r="B325" s="4">
        <v>2011</v>
      </c>
      <c r="C325" t="s">
        <v>49</v>
      </c>
      <c r="D325" s="8">
        <f>INDEX(GDP_pc!$E:$ZZ, MATCH(A325, GDP_pc!$C:$C, 0), MATCH(B325, GDP_pc!$E$1:$ZZ$1, 0))</f>
        <v>275126915515.56476</v>
      </c>
      <c r="E325">
        <f>INDEX(CH4_Em!$E:$ZZ, MATCH(A325, CH4_Em!$C:$C, 0), MATCH(B325, CH4_Em!$E$1:$ZZ$1, 0))</f>
        <v>2.6379999999999999</v>
      </c>
      <c r="F325">
        <f>INDEX(N2O_Em!$E:$ZZ, MATCH(A325, N2O_Em!$C:$C, 0), MATCH(B325, N2O_Em!$E$1:$ZZ$1, 0))</f>
        <v>3.9058999999999999</v>
      </c>
      <c r="G325">
        <f>INDEX(CO2_Em!$E:$ZZ, MATCH(A325, CO2_Em!$C:$C, 0), MATCH(B325, CO2_Em!$E$1:$ZZ$1, 0))</f>
        <v>0</v>
      </c>
      <c r="H325">
        <f>INDEX(Agri_VA!$E:$ZZ, MATCH(A325, Agri_VA!$C:$C, 0), MATCH(B325, Agri_VA!$E$1:$ZZ$1, 0))</f>
        <v>2.2589866180971896</v>
      </c>
      <c r="I325" s="6">
        <f>INDEX('Agri_land '!$E:$ZZ, MATCH(A325, 'Agri_land '!$C:$C, 0), MATCH(B325, 'Agri_land '!$E$1:$ZZ$1, 0))</f>
        <v>7.52443318305966</v>
      </c>
      <c r="J325">
        <f>INDEX(Cereal_Yield!$E:$ZZ, MATCH(A325, Cereal_Yield!$C:$C, 0), MATCH(B325, Cereal_Yield!$E$1:$ZZ$1, 0))</f>
        <v>3521.7</v>
      </c>
    </row>
    <row r="326" spans="1:10" x14ac:dyDescent="0.3">
      <c r="A326" t="s">
        <v>18</v>
      </c>
      <c r="B326" s="4">
        <v>2012</v>
      </c>
      <c r="C326" t="s">
        <v>49</v>
      </c>
      <c r="D326" s="8">
        <f>INDEX(GDP_pc!$E:$ZZ, MATCH(A326, GDP_pc!$C:$C, 0), MATCH(B326, GDP_pc!$E$1:$ZZ$1, 0))</f>
        <v>257443384492.96881</v>
      </c>
      <c r="E326">
        <f>INDEX(CH4_Em!$E:$ZZ, MATCH(A326, CH4_Em!$C:$C, 0), MATCH(B326, CH4_Em!$E$1:$ZZ$1, 0))</f>
        <v>2.6347</v>
      </c>
      <c r="F326">
        <f>INDEX(N2O_Em!$E:$ZZ, MATCH(A326, N2O_Em!$C:$C, 0), MATCH(B326, N2O_Em!$E$1:$ZZ$1, 0))</f>
        <v>3.9022999999999999</v>
      </c>
      <c r="G326">
        <f>INDEX(CO2_Em!$E:$ZZ, MATCH(A326, CO2_Em!$C:$C, 0), MATCH(B326, CO2_Em!$E$1:$ZZ$1, 0))</f>
        <v>0</v>
      </c>
      <c r="H326">
        <f>INDEX(Agri_VA!$E:$ZZ, MATCH(A326, Agri_VA!$C:$C, 0), MATCH(B326, Agri_VA!$E$1:$ZZ$1, 0))</f>
        <v>2.1883639920550162</v>
      </c>
      <c r="I326" s="6">
        <f>INDEX('Agri_land '!$E:$ZZ, MATCH(A326, 'Agri_land '!$C:$C, 0), MATCH(B326, 'Agri_land '!$E$1:$ZZ$1, 0))</f>
        <v>7.5194971864819511</v>
      </c>
      <c r="J326">
        <f>INDEX(Cereal_Yield!$E:$ZZ, MATCH(A326, Cereal_Yield!$C:$C, 0), MATCH(B326, Cereal_Yield!$E$1:$ZZ$1, 0))</f>
        <v>3533.6</v>
      </c>
    </row>
    <row r="327" spans="1:10" x14ac:dyDescent="0.3">
      <c r="A327" t="s">
        <v>18</v>
      </c>
      <c r="B327" s="4">
        <v>2013</v>
      </c>
      <c r="C327" t="s">
        <v>49</v>
      </c>
      <c r="D327" s="8">
        <f>INDEX(GDP_pc!$E:$ZZ, MATCH(A327, GDP_pc!$C:$C, 0), MATCH(B327, GDP_pc!$E$1:$ZZ$1, 0))</f>
        <v>270268036626.27527</v>
      </c>
      <c r="E327">
        <f>INDEX(CH4_Em!$E:$ZZ, MATCH(A327, CH4_Em!$C:$C, 0), MATCH(B327, CH4_Em!$E$1:$ZZ$1, 0))</f>
        <v>2.6469999999999998</v>
      </c>
      <c r="F327">
        <f>INDEX(N2O_Em!$E:$ZZ, MATCH(A327, N2O_Em!$C:$C, 0), MATCH(B327, N2O_Em!$E$1:$ZZ$1, 0))</f>
        <v>3.9527999999999999</v>
      </c>
      <c r="G327">
        <f>INDEX(CO2_Em!$E:$ZZ, MATCH(A327, CO2_Em!$C:$C, 0), MATCH(B327, CO2_Em!$E$1:$ZZ$1, 0))</f>
        <v>0</v>
      </c>
      <c r="H327">
        <f>INDEX(Agri_VA!$E:$ZZ, MATCH(A327, Agri_VA!$C:$C, 0), MATCH(B327, Agri_VA!$E$1:$ZZ$1, 0))</f>
        <v>2.2118262185683326</v>
      </c>
      <c r="I327" s="6">
        <f>INDEX('Agri_land '!$E:$ZZ, MATCH(A327, 'Agri_land '!$C:$C, 0), MATCH(B327, 'Agri_land '!$E$1:$ZZ$1, 0))</f>
        <v>7.4319655138372438</v>
      </c>
      <c r="J327">
        <f>INDEX(Cereal_Yield!$E:$ZZ, MATCH(A327, Cereal_Yield!$C:$C, 0), MATCH(B327, Cereal_Yield!$E$1:$ZZ$1, 0))</f>
        <v>3689.5</v>
      </c>
    </row>
    <row r="328" spans="1:10" x14ac:dyDescent="0.3">
      <c r="A328" t="s">
        <v>18</v>
      </c>
      <c r="B328" s="4">
        <v>2014</v>
      </c>
      <c r="C328" t="s">
        <v>49</v>
      </c>
      <c r="D328" s="8">
        <f>INDEX(GDP_pc!$E:$ZZ, MATCH(A328, GDP_pc!$C:$C, 0), MATCH(B328, GDP_pc!$E$1:$ZZ$1, 0))</f>
        <v>273478528954.901</v>
      </c>
      <c r="E328">
        <f>INDEX(CH4_Em!$E:$ZZ, MATCH(A328, CH4_Em!$C:$C, 0), MATCH(B328, CH4_Em!$E$1:$ZZ$1, 0))</f>
        <v>2.649</v>
      </c>
      <c r="F328">
        <f>INDEX(N2O_Em!$E:$ZZ, MATCH(A328, N2O_Em!$C:$C, 0), MATCH(B328, N2O_Em!$E$1:$ZZ$1, 0))</f>
        <v>3.9746000000000001</v>
      </c>
      <c r="G328">
        <f>INDEX(CO2_Em!$E:$ZZ, MATCH(A328, CO2_Em!$C:$C, 0), MATCH(B328, CO2_Em!$E$1:$ZZ$1, 0))</f>
        <v>0</v>
      </c>
      <c r="H328">
        <f>INDEX(Agri_VA!$E:$ZZ, MATCH(A328, Agri_VA!$C:$C, 0), MATCH(B328, Agri_VA!$E$1:$ZZ$1, 0))</f>
        <v>2.2175803356731678</v>
      </c>
      <c r="I328" s="6">
        <f>INDEX('Agri_land '!$E:$ZZ, MATCH(A328, 'Agri_land '!$C:$C, 0), MATCH(B328, 'Agri_land '!$E$1:$ZZ$1, 0))</f>
        <v>7.4602652275494421</v>
      </c>
      <c r="J328">
        <f>INDEX(Cereal_Yield!$E:$ZZ, MATCH(A328, Cereal_Yield!$C:$C, 0), MATCH(B328, Cereal_Yield!$E$1:$ZZ$1, 0))</f>
        <v>3691.4</v>
      </c>
    </row>
    <row r="329" spans="1:10" x14ac:dyDescent="0.3">
      <c r="A329" t="s">
        <v>18</v>
      </c>
      <c r="B329" s="4">
        <v>2015</v>
      </c>
      <c r="C329" t="s">
        <v>49</v>
      </c>
      <c r="D329" s="8">
        <f>INDEX(GDP_pc!$E:$ZZ, MATCH(A329, GDP_pc!$C:$C, 0), MATCH(B329, GDP_pc!$E$1:$ZZ$1, 0))</f>
        <v>233210733506.24988</v>
      </c>
      <c r="E329">
        <f>INDEX(CH4_Em!$E:$ZZ, MATCH(A329, CH4_Em!$C:$C, 0), MATCH(B329, CH4_Em!$E$1:$ZZ$1, 0))</f>
        <v>2.6577000000000002</v>
      </c>
      <c r="F329">
        <f>INDEX(N2O_Em!$E:$ZZ, MATCH(A329, N2O_Em!$C:$C, 0), MATCH(B329, N2O_Em!$E$1:$ZZ$1, 0))</f>
        <v>3.9597000000000002</v>
      </c>
      <c r="G329">
        <f>INDEX(CO2_Em!$E:$ZZ, MATCH(A329, CO2_Em!$C:$C, 0), MATCH(B329, CO2_Em!$E$1:$ZZ$1, 0))</f>
        <v>0</v>
      </c>
      <c r="H329">
        <f>INDEX(Agri_VA!$E:$ZZ, MATCH(A329, Agri_VA!$C:$C, 0), MATCH(B329, Agri_VA!$E$1:$ZZ$1, 0))</f>
        <v>2.0604970693461215</v>
      </c>
      <c r="I329" s="6">
        <f>INDEX('Agri_land '!$E:$ZZ, MATCH(A329, 'Agri_land '!$C:$C, 0), MATCH(B329, 'Agri_land '!$E$1:$ZZ$1, 0))</f>
        <v>7.4805040966075484</v>
      </c>
      <c r="J329">
        <f>INDEX(Cereal_Yield!$E:$ZZ, MATCH(A329, Cereal_Yield!$C:$C, 0), MATCH(B329, Cereal_Yield!$E$1:$ZZ$1, 0))</f>
        <v>3613.9</v>
      </c>
    </row>
    <row r="330" spans="1:10" x14ac:dyDescent="0.3">
      <c r="A330" t="s">
        <v>18</v>
      </c>
      <c r="B330" s="4">
        <v>2016</v>
      </c>
      <c r="C330" t="s">
        <v>49</v>
      </c>
      <c r="D330" s="8">
        <f>INDEX(GDP_pc!$E:$ZZ, MATCH(A330, GDP_pc!$C:$C, 0), MATCH(B330, GDP_pc!$E$1:$ZZ$1, 0))</f>
        <v>238777818792.60757</v>
      </c>
      <c r="E330">
        <f>INDEX(CH4_Em!$E:$ZZ, MATCH(A330, CH4_Em!$C:$C, 0), MATCH(B330, CH4_Em!$E$1:$ZZ$1, 0))</f>
        <v>2.6442999999999999</v>
      </c>
      <c r="F330">
        <f>INDEX(N2O_Em!$E:$ZZ, MATCH(A330, N2O_Em!$C:$C, 0), MATCH(B330, N2O_Em!$E$1:$ZZ$1, 0))</f>
        <v>3.9853000000000001</v>
      </c>
      <c r="G330">
        <f>INDEX(CO2_Em!$E:$ZZ, MATCH(A330, CO2_Em!$C:$C, 0), MATCH(B330, CO2_Em!$E$1:$ZZ$1, 0))</f>
        <v>0</v>
      </c>
      <c r="H330">
        <f>INDEX(Agri_VA!$E:$ZZ, MATCH(A330, Agri_VA!$C:$C, 0), MATCH(B330, Agri_VA!$E$1:$ZZ$1, 0))</f>
        <v>2.089775029320823</v>
      </c>
      <c r="I330" s="6">
        <f>INDEX('Agri_land '!$E:$ZZ, MATCH(A330, 'Agri_land '!$C:$C, 0), MATCH(B330, 'Agri_land '!$E$1:$ZZ$1, 0))</f>
        <v>7.4857688131354685</v>
      </c>
      <c r="J330">
        <f>INDEX(Cereal_Yield!$E:$ZZ, MATCH(A330, Cereal_Yield!$C:$C, 0), MATCH(B330, Cereal_Yield!$E$1:$ZZ$1, 0))</f>
        <v>3573.3</v>
      </c>
    </row>
    <row r="331" spans="1:10" x14ac:dyDescent="0.3">
      <c r="A331" t="s">
        <v>18</v>
      </c>
      <c r="B331" s="4">
        <v>2017</v>
      </c>
      <c r="C331" t="s">
        <v>49</v>
      </c>
      <c r="D331" s="8">
        <f>INDEX(GDP_pc!$E:$ZZ, MATCH(A331, GDP_pc!$C:$C, 0), MATCH(B331, GDP_pc!$E$1:$ZZ$1, 0))</f>
        <v>253846138440.00043</v>
      </c>
      <c r="E331">
        <f>INDEX(CH4_Em!$E:$ZZ, MATCH(A331, CH4_Em!$C:$C, 0), MATCH(B331, CH4_Em!$E$1:$ZZ$1, 0))</f>
        <v>2.5779000000000001</v>
      </c>
      <c r="F331">
        <f>INDEX(N2O_Em!$E:$ZZ, MATCH(A331, N2O_Em!$C:$C, 0), MATCH(B331, N2O_Em!$E$1:$ZZ$1, 0))</f>
        <v>3.9384999999999999</v>
      </c>
      <c r="G331">
        <f>INDEX(CO2_Em!$E:$ZZ, MATCH(A331, CO2_Em!$C:$C, 0), MATCH(B331, CO2_Em!$E$1:$ZZ$1, 0))</f>
        <v>0</v>
      </c>
      <c r="H331">
        <f>INDEX(Agri_VA!$E:$ZZ, MATCH(A331, Agri_VA!$C:$C, 0), MATCH(B331, Agri_VA!$E$1:$ZZ$1, 0))</f>
        <v>2.0680355664735255</v>
      </c>
      <c r="I331" s="6">
        <f>INDEX('Agri_land '!$E:$ZZ, MATCH(A331, 'Agri_land '!$C:$C, 0), MATCH(B331, 'Agri_land '!$E$1:$ZZ$1, 0))</f>
        <v>7.4690708081073964</v>
      </c>
      <c r="J331">
        <f>INDEX(Cereal_Yield!$E:$ZZ, MATCH(A331, Cereal_Yield!$C:$C, 0), MATCH(B331, Cereal_Yield!$E$1:$ZZ$1, 0))</f>
        <v>3957.9</v>
      </c>
    </row>
    <row r="332" spans="1:10" x14ac:dyDescent="0.3">
      <c r="A332" t="s">
        <v>18</v>
      </c>
      <c r="B332" s="4">
        <v>2018</v>
      </c>
      <c r="C332" t="s">
        <v>49</v>
      </c>
      <c r="D332" s="8">
        <f>INDEX(GDP_pc!$E:$ZZ, MATCH(A332, GDP_pc!$C:$C, 0), MATCH(B332, GDP_pc!$E$1:$ZZ$1, 0))</f>
        <v>273869255596.07825</v>
      </c>
      <c r="E332">
        <f>INDEX(CH4_Em!$E:$ZZ, MATCH(A332, CH4_Em!$C:$C, 0), MATCH(B332, CH4_Em!$E$1:$ZZ$1, 0))</f>
        <v>2.4820000000000002</v>
      </c>
      <c r="F332">
        <f>INDEX(N2O_Em!$E:$ZZ, MATCH(A332, N2O_Em!$C:$C, 0), MATCH(B332, N2O_Em!$E$1:$ZZ$1, 0))</f>
        <v>4.0125000000000002</v>
      </c>
      <c r="G332">
        <f>INDEX(CO2_Em!$E:$ZZ, MATCH(A332, CO2_Em!$C:$C, 0), MATCH(B332, CO2_Em!$E$1:$ZZ$1, 0))</f>
        <v>0</v>
      </c>
      <c r="H332">
        <f>INDEX(Agri_VA!$E:$ZZ, MATCH(A332, Agri_VA!$C:$C, 0), MATCH(B332, Agri_VA!$E$1:$ZZ$1, 0))</f>
        <v>2.1142278088010178</v>
      </c>
      <c r="I332" s="6">
        <f>INDEX('Agri_land '!$E:$ZZ, MATCH(A332, 'Agri_land '!$C:$C, 0), MATCH(B332, 'Agri_land '!$E$1:$ZZ$1, 0))</f>
        <v>7.4756514872334829</v>
      </c>
      <c r="J332">
        <f>INDEX(Cereal_Yield!$E:$ZZ, MATCH(A332, Cereal_Yield!$C:$C, 0), MATCH(B332, Cereal_Yield!$E$1:$ZZ$1, 0))</f>
        <v>3052.7</v>
      </c>
    </row>
    <row r="333" spans="1:10" x14ac:dyDescent="0.3">
      <c r="A333" t="s">
        <v>18</v>
      </c>
      <c r="B333" s="4">
        <v>2019</v>
      </c>
      <c r="C333" t="s">
        <v>49</v>
      </c>
      <c r="D333" s="8">
        <f>INDEX(GDP_pc!$E:$ZZ, MATCH(A333, GDP_pc!$C:$C, 0), MATCH(B333, GDP_pc!$E$1:$ZZ$1, 0))</f>
        <v>267014821129.41135</v>
      </c>
      <c r="E333">
        <f>INDEX(CH4_Em!$E:$ZZ, MATCH(A333, CH4_Em!$C:$C, 0), MATCH(B333, CH4_Em!$E$1:$ZZ$1, 0))</f>
        <v>2.4443999999999999</v>
      </c>
      <c r="F333">
        <f>INDEX(N2O_Em!$E:$ZZ, MATCH(A333, N2O_Em!$C:$C, 0), MATCH(B333, N2O_Em!$E$1:$ZZ$1, 0))</f>
        <v>4.1100000000000003</v>
      </c>
      <c r="G333">
        <f>INDEX(CO2_Em!$E:$ZZ, MATCH(A333, CO2_Em!$C:$C, 0), MATCH(B333, CO2_Em!$E$1:$ZZ$1, 0))</f>
        <v>0</v>
      </c>
      <c r="H333">
        <f>INDEX(Agri_VA!$E:$ZZ, MATCH(A333, Agri_VA!$C:$C, 0), MATCH(B333, Agri_VA!$E$1:$ZZ$1, 0))</f>
        <v>2.1897718411189091</v>
      </c>
      <c r="I333" s="6">
        <f>INDEX('Agri_land '!$E:$ZZ, MATCH(A333, 'Agri_land '!$C:$C, 0), MATCH(B333, 'Agri_land '!$E$1:$ZZ$1, 0))</f>
        <v>7.4819859836146492</v>
      </c>
      <c r="J333">
        <f>INDEX(Cereal_Yield!$E:$ZZ, MATCH(A333, Cereal_Yield!$C:$C, 0), MATCH(B333, Cereal_Yield!$E$1:$ZZ$1, 0))</f>
        <v>4257.5</v>
      </c>
    </row>
    <row r="334" spans="1:10" x14ac:dyDescent="0.3">
      <c r="A334" t="s">
        <v>18</v>
      </c>
      <c r="B334" s="4">
        <v>2020</v>
      </c>
      <c r="C334" t="s">
        <v>49</v>
      </c>
      <c r="D334" s="8">
        <f>INDEX(GDP_pc!$E:$ZZ, MATCH(A334, GDP_pc!$C:$C, 0), MATCH(B334, GDP_pc!$E$1:$ZZ$1, 0))</f>
        <v>270000311606.22644</v>
      </c>
      <c r="E334">
        <f>INDEX(CH4_Em!$E:$ZZ, MATCH(A334, CH4_Em!$C:$C, 0), MATCH(B334, CH4_Em!$E$1:$ZZ$1, 0))</f>
        <v>2.4296000000000002</v>
      </c>
      <c r="F334">
        <f>INDEX(N2O_Em!$E:$ZZ, MATCH(A334, N2O_Em!$C:$C, 0), MATCH(B334, N2O_Em!$E$1:$ZZ$1, 0))</f>
        <v>4.1185999999999998</v>
      </c>
      <c r="G334">
        <f>INDEX(CO2_Em!$E:$ZZ, MATCH(A334, CO2_Em!$C:$C, 0), MATCH(B334, CO2_Em!$E$1:$ZZ$1, 0))</f>
        <v>0</v>
      </c>
      <c r="H334">
        <f>INDEX(Agri_VA!$E:$ZZ, MATCH(A334, Agri_VA!$C:$C, 0), MATCH(B334, Agri_VA!$E$1:$ZZ$1, 0))</f>
        <v>2.2403939302922748</v>
      </c>
      <c r="I334" s="6">
        <f>INDEX('Agri_land '!$E:$ZZ, MATCH(A334, 'Agri_land '!$C:$C, 0), MATCH(B334, 'Agri_land '!$E$1:$ZZ$1, 0))</f>
        <v>7.4685793248667505</v>
      </c>
      <c r="J334">
        <f>INDEX(Cereal_Yield!$E:$ZZ, MATCH(A334, Cereal_Yield!$C:$C, 0), MATCH(B334, Cereal_Yield!$E$1:$ZZ$1, 0))</f>
        <v>3589.3</v>
      </c>
    </row>
    <row r="335" spans="1:10" x14ac:dyDescent="0.3">
      <c r="A335" t="s">
        <v>18</v>
      </c>
      <c r="B335" s="4">
        <v>2021</v>
      </c>
      <c r="C335" t="s">
        <v>49</v>
      </c>
      <c r="D335" s="8">
        <f>INDEX(GDP_pc!$E:$ZZ, MATCH(A335, GDP_pc!$C:$C, 0), MATCH(B335, GDP_pc!$E$1:$ZZ$1, 0))</f>
        <v>294223210496.11932</v>
      </c>
      <c r="E335">
        <f>INDEX(CH4_Em!$E:$ZZ, MATCH(A335, CH4_Em!$C:$C, 0), MATCH(B335, CH4_Em!$E$1:$ZZ$1, 0))</f>
        <v>2.4001999999999999</v>
      </c>
      <c r="F335">
        <f>INDEX(N2O_Em!$E:$ZZ, MATCH(A335, N2O_Em!$C:$C, 0), MATCH(B335, N2O_Em!$E$1:$ZZ$1, 0))</f>
        <v>3.9432999999999998</v>
      </c>
      <c r="G335">
        <f>INDEX(CO2_Em!$E:$ZZ, MATCH(A335, CO2_Em!$C:$C, 0), MATCH(B335, CO2_Em!$E$1:$ZZ$1, 0))</f>
        <v>0</v>
      </c>
      <c r="H335">
        <f>INDEX(Agri_VA!$E:$ZZ, MATCH(A335, Agri_VA!$C:$C, 0), MATCH(B335, Agri_VA!$E$1:$ZZ$1, 0))</f>
        <v>2.1590744641507613</v>
      </c>
      <c r="I335" s="6">
        <f>INDEX('Agri_land '!$E:$ZZ, MATCH(A335, 'Agri_land '!$C:$C, 0), MATCH(B335, 'Agri_land '!$E$1:$ZZ$1, 0))</f>
        <v>7.4618100416617734</v>
      </c>
      <c r="J335">
        <f>INDEX(Cereal_Yield!$E:$ZZ, MATCH(A335, Cereal_Yield!$C:$C, 0), MATCH(B335, Cereal_Yield!$E$1:$ZZ$1, 0))</f>
        <v>2777.3</v>
      </c>
    </row>
    <row r="336" spans="1:10" x14ac:dyDescent="0.3">
      <c r="A336" t="s">
        <v>18</v>
      </c>
      <c r="B336" s="4">
        <v>2022</v>
      </c>
      <c r="C336" t="s">
        <v>49</v>
      </c>
      <c r="D336" s="8">
        <f>INDEX(GDP_pc!$E:$ZZ, MATCH(A336, GDP_pc!$C:$C, 0), MATCH(B336, GDP_pc!$E$1:$ZZ$1, 0))</f>
        <v>280253099309.3396</v>
      </c>
      <c r="E336">
        <f>INDEX(CH4_Em!$E:$ZZ, MATCH(A336, CH4_Em!$C:$C, 0), MATCH(B336, CH4_Em!$E$1:$ZZ$1, 0))</f>
        <v>2.3601999999999999</v>
      </c>
      <c r="F336">
        <f>INDEX(N2O_Em!$E:$ZZ, MATCH(A336, N2O_Em!$C:$C, 0), MATCH(B336, N2O_Em!$E$1:$ZZ$1, 0))</f>
        <v>3.819</v>
      </c>
      <c r="G336">
        <f>INDEX(CO2_Em!$E:$ZZ, MATCH(A336, CO2_Em!$C:$C, 0), MATCH(B336, CO2_Em!$E$1:$ZZ$1, 0))</f>
        <v>0</v>
      </c>
      <c r="H336">
        <f>INDEX(Agri_VA!$E:$ZZ, MATCH(A336, Agri_VA!$C:$C, 0), MATCH(B336, Agri_VA!$E$1:$ZZ$1, 0))</f>
        <v>2.2413436789599261</v>
      </c>
      <c r="I336" s="6">
        <f>INDEX('Agri_land '!$E:$ZZ, MATCH(A336, 'Agri_land '!$C:$C, 0), MATCH(B336, 'Agri_land '!$E$1:$ZZ$1, 0))</f>
        <v>7.4552299622599545</v>
      </c>
      <c r="J336">
        <f>INDEX(Cereal_Yield!$E:$ZZ, MATCH(A336, Cereal_Yield!$C:$C, 0), MATCH(B336, Cereal_Yield!$E$1:$ZZ$1, 0))</f>
        <v>3770.1</v>
      </c>
    </row>
    <row r="337" spans="1:10" x14ac:dyDescent="0.3">
      <c r="A337" t="s">
        <v>18</v>
      </c>
      <c r="B337" s="4">
        <v>2023</v>
      </c>
      <c r="C337" t="s">
        <v>49</v>
      </c>
      <c r="D337" s="8">
        <f>INDEX(GDP_pc!$E:$ZZ, MATCH(A337, GDP_pc!$C:$C, 0), MATCH(B337, GDP_pc!$E$1:$ZZ$1, 0))</f>
        <v>295021982462.75031</v>
      </c>
      <c r="E337">
        <f>INDEX(CH4_Em!$E:$ZZ, MATCH(A337, CH4_Em!$C:$C, 0), MATCH(B337, CH4_Em!$E$1:$ZZ$1, 0))</f>
        <v>2.3466999999999998</v>
      </c>
      <c r="F337">
        <f>INDEX(N2O_Em!$E:$ZZ, MATCH(A337, N2O_Em!$C:$C, 0), MATCH(B337, N2O_Em!$E$1:$ZZ$1, 0))</f>
        <v>3.7454000000000001</v>
      </c>
      <c r="G337">
        <f>INDEX(CO2_Em!$E:$ZZ, MATCH(A337, CO2_Em!$C:$C, 0), MATCH(B337, CO2_Em!$E$1:$ZZ$1, 0))</f>
        <v>0</v>
      </c>
      <c r="H337">
        <f>INDEX(Agri_VA!$E:$ZZ, MATCH(A337, Agri_VA!$C:$C, 0), MATCH(B337, Agri_VA!$E$1:$ZZ$1, 0))</f>
        <v>2.3379317422154462</v>
      </c>
      <c r="I337" s="6">
        <f>INDEX('Agri_land '!$E:$ZZ, MATCH(A337, 'Agri_land '!$C:$C, 0), MATCH(B337, 'Agri_land '!$E$1:$ZZ$1, 0))</f>
        <v>7.4417686537702323</v>
      </c>
      <c r="J337">
        <f>INDEX(Cereal_Yield!$E:$ZZ, MATCH(A337, Cereal_Yield!$C:$C, 0), MATCH(B337, Cereal_Yield!$E$1:$ZZ$1, 0))</f>
        <v>3310.5</v>
      </c>
    </row>
    <row r="338" spans="1:10" x14ac:dyDescent="0.3">
      <c r="A338" t="s">
        <v>19</v>
      </c>
      <c r="B338" s="4">
        <v>2000</v>
      </c>
      <c r="C338" t="s">
        <v>49</v>
      </c>
      <c r="D338" s="8">
        <f>INDEX(GDP_pc!$E:$ZZ, MATCH(A338, GDP_pc!$C:$C, 0), MATCH(B338, GDP_pc!$E$1:$ZZ$1, 0))</f>
        <v>1360959069477.4932</v>
      </c>
      <c r="E338">
        <f>INDEX(CH4_Em!$E:$ZZ, MATCH(A338, CH4_Em!$C:$C, 0), MATCH(B338, CH4_Em!$E$1:$ZZ$1, 0))</f>
        <v>52.623699999999999</v>
      </c>
      <c r="F338">
        <f>INDEX(N2O_Em!$E:$ZZ, MATCH(A338, N2O_Em!$C:$C, 0), MATCH(B338, N2O_Em!$E$1:$ZZ$1, 0))</f>
        <v>30.490600000000001</v>
      </c>
      <c r="G338">
        <f>INDEX(CO2_Em!$E:$ZZ, MATCH(A338, CO2_Em!$C:$C, 0), MATCH(B338, CO2_Em!$E$1:$ZZ$1, 0))</f>
        <v>3.6665000000000001</v>
      </c>
      <c r="H338">
        <f>INDEX(Agri_VA!$E:$ZZ, MATCH(A338, Agri_VA!$C:$C, 0), MATCH(B338, Agri_VA!$E$1:$ZZ$1, 0))</f>
        <v>1.9844965512111734</v>
      </c>
      <c r="I338" s="6">
        <f>INDEX('Agri_land '!$E:$ZZ, MATCH(A338, 'Agri_land '!$C:$C, 0), MATCH(B338, 'Agri_land '!$E$1:$ZZ$1, 0))</f>
        <v>55.30642916782633</v>
      </c>
      <c r="J338">
        <f>INDEX(Cereal_Yield!$E:$ZZ, MATCH(A338, Cereal_Yield!$C:$C, 0), MATCH(B338, Cereal_Yield!$E$1:$ZZ$1, 0))</f>
        <v>7231.5</v>
      </c>
    </row>
    <row r="339" spans="1:10" x14ac:dyDescent="0.3">
      <c r="A339" t="s">
        <v>19</v>
      </c>
      <c r="B339" s="4">
        <v>2001</v>
      </c>
      <c r="C339" t="s">
        <v>49</v>
      </c>
      <c r="D339" s="8">
        <f>INDEX(GDP_pc!$E:$ZZ, MATCH(A339, GDP_pc!$C:$C, 0), MATCH(B339, GDP_pc!$E$1:$ZZ$1, 0))</f>
        <v>1370376677298.8599</v>
      </c>
      <c r="E339">
        <f>INDEX(CH4_Em!$E:$ZZ, MATCH(A339, CH4_Em!$C:$C, 0), MATCH(B339, CH4_Em!$E$1:$ZZ$1, 0))</f>
        <v>52.531100000000002</v>
      </c>
      <c r="F339">
        <f>INDEX(N2O_Em!$E:$ZZ, MATCH(A339, N2O_Em!$C:$C, 0), MATCH(B339, N2O_Em!$E$1:$ZZ$1, 0))</f>
        <v>30.607299999999999</v>
      </c>
      <c r="G339">
        <f>INDEX(CO2_Em!$E:$ZZ, MATCH(A339, CO2_Em!$C:$C, 0), MATCH(B339, CO2_Em!$E$1:$ZZ$1, 0))</f>
        <v>3.8549000000000002</v>
      </c>
      <c r="H339">
        <f>INDEX(Agri_VA!$E:$ZZ, MATCH(A339, Agri_VA!$C:$C, 0), MATCH(B339, Agri_VA!$E$1:$ZZ$1, 0))</f>
        <v>2.0022601567025422</v>
      </c>
      <c r="I339" s="6">
        <f>INDEX('Agri_land '!$E:$ZZ, MATCH(A339, 'Agri_land '!$C:$C, 0), MATCH(B339, 'Agri_land '!$E$1:$ZZ$1, 0))</f>
        <v>55.131830410984314</v>
      </c>
      <c r="J339">
        <f>INDEX(Cereal_Yield!$E:$ZZ, MATCH(A339, Cereal_Yield!$C:$C, 0), MATCH(B339, Cereal_Yield!$E$1:$ZZ$1, 0))</f>
        <v>6729.2</v>
      </c>
    </row>
    <row r="340" spans="1:10" x14ac:dyDescent="0.3">
      <c r="A340" t="s">
        <v>19</v>
      </c>
      <c r="B340" s="4">
        <v>2002</v>
      </c>
      <c r="C340" t="s">
        <v>49</v>
      </c>
      <c r="D340" s="8">
        <f>INDEX(GDP_pc!$E:$ZZ, MATCH(A340, GDP_pc!$C:$C, 0), MATCH(B340, GDP_pc!$E$1:$ZZ$1, 0))</f>
        <v>1492427756382.4341</v>
      </c>
      <c r="E340">
        <f>INDEX(CH4_Em!$E:$ZZ, MATCH(A340, CH4_Em!$C:$C, 0), MATCH(B340, CH4_Em!$E$1:$ZZ$1, 0))</f>
        <v>51.3339</v>
      </c>
      <c r="F340">
        <f>INDEX(N2O_Em!$E:$ZZ, MATCH(A340, N2O_Em!$C:$C, 0), MATCH(B340, N2O_Em!$E$1:$ZZ$1, 0))</f>
        <v>30.186499999999999</v>
      </c>
      <c r="G340">
        <f>INDEX(CO2_Em!$E:$ZZ, MATCH(A340, CO2_Em!$C:$C, 0), MATCH(B340, CO2_Em!$E$1:$ZZ$1, 0))</f>
        <v>3.7583000000000002</v>
      </c>
      <c r="H340">
        <f>INDEX(Agri_VA!$E:$ZZ, MATCH(A340, Agri_VA!$C:$C, 0), MATCH(B340, Agri_VA!$E$1:$ZZ$1, 0))</f>
        <v>1.9037838972118895</v>
      </c>
      <c r="I340" s="6">
        <f>INDEX('Agri_land '!$E:$ZZ, MATCH(A340, 'Agri_land '!$C:$C, 0), MATCH(B340, 'Agri_land '!$E$1:$ZZ$1, 0))</f>
        <v>54.941460246776138</v>
      </c>
      <c r="J340">
        <f>INDEX(Cereal_Yield!$E:$ZZ, MATCH(A340, Cereal_Yield!$C:$C, 0), MATCH(B340, Cereal_Yield!$E$1:$ZZ$1, 0))</f>
        <v>7453</v>
      </c>
    </row>
    <row r="341" spans="1:10" x14ac:dyDescent="0.3">
      <c r="A341" t="s">
        <v>19</v>
      </c>
      <c r="B341" s="4">
        <v>2003</v>
      </c>
      <c r="C341" t="s">
        <v>49</v>
      </c>
      <c r="D341" s="8">
        <f>INDEX(GDP_pc!$E:$ZZ, MATCH(A341, GDP_pc!$C:$C, 0), MATCH(B341, GDP_pc!$E$1:$ZZ$1, 0))</f>
        <v>1835095983049.0942</v>
      </c>
      <c r="E341">
        <f>INDEX(CH4_Em!$E:$ZZ, MATCH(A341, CH4_Em!$C:$C, 0), MATCH(B341, CH4_Em!$E$1:$ZZ$1, 0))</f>
        <v>49.804299999999998</v>
      </c>
      <c r="F341">
        <f>INDEX(N2O_Em!$E:$ZZ, MATCH(A341, N2O_Em!$C:$C, 0), MATCH(B341, N2O_Em!$E$1:$ZZ$1, 0))</f>
        <v>29.334299999999999</v>
      </c>
      <c r="G341">
        <f>INDEX(CO2_Em!$E:$ZZ, MATCH(A341, CO2_Em!$C:$C, 0), MATCH(B341, CO2_Em!$E$1:$ZZ$1, 0))</f>
        <v>3.7924000000000002</v>
      </c>
      <c r="H341">
        <f>INDEX(Agri_VA!$E:$ZZ, MATCH(A341, Agri_VA!$C:$C, 0), MATCH(B341, Agri_VA!$E$1:$ZZ$1, 0))</f>
        <v>1.7456066425660948</v>
      </c>
      <c r="I341" s="6">
        <f>INDEX('Agri_land '!$E:$ZZ, MATCH(A341, 'Agri_land '!$C:$C, 0), MATCH(B341, 'Agri_land '!$E$1:$ZZ$1, 0))</f>
        <v>54.800259764356618</v>
      </c>
      <c r="J341">
        <f>INDEX(Cereal_Yield!$E:$ZZ, MATCH(A341, Cereal_Yield!$C:$C, 0), MATCH(B341, Cereal_Yield!$E$1:$ZZ$1, 0))</f>
        <v>6125.3</v>
      </c>
    </row>
    <row r="342" spans="1:10" x14ac:dyDescent="0.3">
      <c r="A342" t="s">
        <v>19</v>
      </c>
      <c r="B342" s="4">
        <v>2004</v>
      </c>
      <c r="C342" t="s">
        <v>49</v>
      </c>
      <c r="D342" s="8">
        <f>INDEX(GDP_pc!$E:$ZZ, MATCH(A342, GDP_pc!$C:$C, 0), MATCH(B342, GDP_pc!$E$1:$ZZ$1, 0))</f>
        <v>2109792297237.0325</v>
      </c>
      <c r="E342">
        <f>INDEX(CH4_Em!$E:$ZZ, MATCH(A342, CH4_Em!$C:$C, 0), MATCH(B342, CH4_Em!$E$1:$ZZ$1, 0))</f>
        <v>49.187199999999997</v>
      </c>
      <c r="F342">
        <f>INDEX(N2O_Em!$E:$ZZ, MATCH(A342, N2O_Em!$C:$C, 0), MATCH(B342, N2O_Em!$E$1:$ZZ$1, 0))</f>
        <v>29.762699999999999</v>
      </c>
      <c r="G342">
        <f>INDEX(CO2_Em!$E:$ZZ, MATCH(A342, CO2_Em!$C:$C, 0), MATCH(B342, CO2_Em!$E$1:$ZZ$1, 0))</f>
        <v>3.8014000000000001</v>
      </c>
      <c r="H342">
        <f>INDEX(Agri_VA!$E:$ZZ, MATCH(A342, Agri_VA!$C:$C, 0), MATCH(B342, Agri_VA!$E$1:$ZZ$1, 0))</f>
        <v>1.7201855754796702</v>
      </c>
      <c r="I342" s="6">
        <f>INDEX('Agri_land '!$E:$ZZ, MATCH(A342, 'Agri_land '!$C:$C, 0), MATCH(B342, 'Agri_land '!$E$1:$ZZ$1, 0))</f>
        <v>54.658873735968086</v>
      </c>
      <c r="J342">
        <f>INDEX(Cereal_Yield!$E:$ZZ, MATCH(A342, Cereal_Yield!$C:$C, 0), MATCH(B342, Cereal_Yield!$E$1:$ZZ$1, 0))</f>
        <v>7518.7</v>
      </c>
    </row>
    <row r="343" spans="1:10" x14ac:dyDescent="0.3">
      <c r="A343" t="s">
        <v>19</v>
      </c>
      <c r="B343" s="4">
        <v>2005</v>
      </c>
      <c r="C343" t="s">
        <v>49</v>
      </c>
      <c r="D343" s="8">
        <f>INDEX(GDP_pc!$E:$ZZ, MATCH(A343, GDP_pc!$C:$C, 0), MATCH(B343, GDP_pc!$E$1:$ZZ$1, 0))</f>
        <v>2192146403028.1702</v>
      </c>
      <c r="E343">
        <f>INDEX(CH4_Em!$E:$ZZ, MATCH(A343, CH4_Em!$C:$C, 0), MATCH(B343, CH4_Em!$E$1:$ZZ$1, 0))</f>
        <v>48.656300000000002</v>
      </c>
      <c r="F343">
        <f>INDEX(N2O_Em!$E:$ZZ, MATCH(A343, N2O_Em!$C:$C, 0), MATCH(B343, N2O_Em!$E$1:$ZZ$1, 0))</f>
        <v>28.762699999999999</v>
      </c>
      <c r="G343">
        <f>INDEX(CO2_Em!$E:$ZZ, MATCH(A343, CO2_Em!$C:$C, 0), MATCH(B343, CO2_Em!$E$1:$ZZ$1, 0))</f>
        <v>2.9853000000000001</v>
      </c>
      <c r="H343">
        <f>INDEX(Agri_VA!$E:$ZZ, MATCH(A343, Agri_VA!$C:$C, 0), MATCH(B343, Agri_VA!$E$1:$ZZ$1, 0))</f>
        <v>1.5827040323596233</v>
      </c>
      <c r="I343" s="6">
        <f>INDEX('Agri_land '!$E:$ZZ, MATCH(A343, 'Agri_land '!$C:$C, 0), MATCH(B343, 'Agri_land '!$E$1:$ZZ$1, 0))</f>
        <v>54.532702477038683</v>
      </c>
      <c r="J343">
        <f>INDEX(Cereal_Yield!$E:$ZZ, MATCH(A343, Cereal_Yield!$C:$C, 0), MATCH(B343, Cereal_Yield!$E$1:$ZZ$1, 0))</f>
        <v>6965.4</v>
      </c>
    </row>
    <row r="344" spans="1:10" x14ac:dyDescent="0.3">
      <c r="A344" t="s">
        <v>19</v>
      </c>
      <c r="B344" s="4">
        <v>2006</v>
      </c>
      <c r="C344" t="s">
        <v>49</v>
      </c>
      <c r="D344" s="8">
        <f>INDEX(GDP_pc!$E:$ZZ, MATCH(A344, GDP_pc!$C:$C, 0), MATCH(B344, GDP_pc!$E$1:$ZZ$1, 0))</f>
        <v>2317861544690.8203</v>
      </c>
      <c r="E344">
        <f>INDEX(CH4_Em!$E:$ZZ, MATCH(A344, CH4_Em!$C:$C, 0), MATCH(B344, CH4_Em!$E$1:$ZZ$1, 0))</f>
        <v>48.554400000000001</v>
      </c>
      <c r="F344">
        <f>INDEX(N2O_Em!$E:$ZZ, MATCH(A344, N2O_Em!$C:$C, 0), MATCH(B344, N2O_Em!$E$1:$ZZ$1, 0))</f>
        <v>28.5</v>
      </c>
      <c r="G344">
        <f>INDEX(CO2_Em!$E:$ZZ, MATCH(A344, CO2_Em!$C:$C, 0), MATCH(B344, CO2_Em!$E$1:$ZZ$1, 0))</f>
        <v>2.8081</v>
      </c>
      <c r="H344">
        <f>INDEX(Agri_VA!$E:$ZZ, MATCH(A344, Agri_VA!$C:$C, 0), MATCH(B344, Agri_VA!$E$1:$ZZ$1, 0))</f>
        <v>1.4270640937523564</v>
      </c>
      <c r="I344" s="6">
        <f>INDEX('Agri_land '!$E:$ZZ, MATCH(A344, 'Agri_land '!$C:$C, 0), MATCH(B344, 'Agri_land '!$E$1:$ZZ$1, 0))</f>
        <v>54.388533259114944</v>
      </c>
      <c r="J344">
        <f>INDEX(Cereal_Yield!$E:$ZZ, MATCH(A344, Cereal_Yield!$C:$C, 0), MATCH(B344, Cereal_Yield!$E$1:$ZZ$1, 0))</f>
        <v>6800.5</v>
      </c>
    </row>
    <row r="345" spans="1:10" x14ac:dyDescent="0.3">
      <c r="A345" t="s">
        <v>19</v>
      </c>
      <c r="B345" s="4">
        <v>2007</v>
      </c>
      <c r="C345" t="s">
        <v>49</v>
      </c>
      <c r="D345" s="8">
        <f>INDEX(GDP_pc!$E:$ZZ, MATCH(A345, GDP_pc!$C:$C, 0), MATCH(B345, GDP_pc!$E$1:$ZZ$1, 0))</f>
        <v>2655816911866.5576</v>
      </c>
      <c r="E345">
        <f>INDEX(CH4_Em!$E:$ZZ, MATCH(A345, CH4_Em!$C:$C, 0), MATCH(B345, CH4_Em!$E$1:$ZZ$1, 0))</f>
        <v>49.337699999999998</v>
      </c>
      <c r="F345">
        <f>INDEX(N2O_Em!$E:$ZZ, MATCH(A345, N2O_Em!$C:$C, 0), MATCH(B345, N2O_Em!$E$1:$ZZ$1, 0))</f>
        <v>29.526599999999998</v>
      </c>
      <c r="G345">
        <f>INDEX(CO2_Em!$E:$ZZ, MATCH(A345, CO2_Em!$C:$C, 0), MATCH(B345, CO2_Em!$E$1:$ZZ$1, 0))</f>
        <v>3.0596000000000001</v>
      </c>
      <c r="H345">
        <f>INDEX(Agri_VA!$E:$ZZ, MATCH(A345, Agri_VA!$C:$C, 0), MATCH(B345, Agri_VA!$E$1:$ZZ$1, 0))</f>
        <v>1.5167273576749971</v>
      </c>
      <c r="I345" s="6">
        <f>INDEX('Agri_land '!$E:$ZZ, MATCH(A345, 'Agri_land '!$C:$C, 0), MATCH(B345, 'Agri_land '!$E$1:$ZZ$1, 0))</f>
        <v>54.190741256146211</v>
      </c>
      <c r="J345">
        <f>INDEX(Cereal_Yield!$E:$ZZ, MATCH(A345, Cereal_Yield!$C:$C, 0), MATCH(B345, Cereal_Yield!$E$1:$ZZ$1, 0))</f>
        <v>6520.6</v>
      </c>
    </row>
    <row r="346" spans="1:10" x14ac:dyDescent="0.3">
      <c r="A346" t="s">
        <v>19</v>
      </c>
      <c r="B346" s="4">
        <v>2008</v>
      </c>
      <c r="C346" t="s">
        <v>49</v>
      </c>
      <c r="D346" s="8">
        <f>INDEX(GDP_pc!$E:$ZZ, MATCH(A346, GDP_pc!$C:$C, 0), MATCH(B346, GDP_pc!$E$1:$ZZ$1, 0))</f>
        <v>2926802941585.8589</v>
      </c>
      <c r="E346">
        <f>INDEX(CH4_Em!$E:$ZZ, MATCH(A346, CH4_Em!$C:$C, 0), MATCH(B346, CH4_Em!$E$1:$ZZ$1, 0))</f>
        <v>49.5702</v>
      </c>
      <c r="F346">
        <f>INDEX(N2O_Em!$E:$ZZ, MATCH(A346, N2O_Em!$C:$C, 0), MATCH(B346, N2O_Em!$E$1:$ZZ$1, 0))</f>
        <v>28.513999999999999</v>
      </c>
      <c r="G346">
        <f>INDEX(CO2_Em!$E:$ZZ, MATCH(A346, CO2_Em!$C:$C, 0), MATCH(B346, CO2_Em!$E$1:$ZZ$1, 0))</f>
        <v>2.6953</v>
      </c>
      <c r="H346">
        <f>INDEX(Agri_VA!$E:$ZZ, MATCH(A346, Agri_VA!$C:$C, 0), MATCH(B346, Agri_VA!$E$1:$ZZ$1, 0))</f>
        <v>1.4203067467799115</v>
      </c>
      <c r="I346" s="6">
        <f>INDEX('Agri_land '!$E:$ZZ, MATCH(A346, 'Agri_land '!$C:$C, 0), MATCH(B346, 'Agri_land '!$E$1:$ZZ$1, 0))</f>
        <v>54.012617125892938</v>
      </c>
      <c r="J346">
        <f>INDEX(Cereal_Yield!$E:$ZZ, MATCH(A346, Cereal_Yield!$C:$C, 0), MATCH(B346, Cereal_Yield!$E$1:$ZZ$1, 0))</f>
        <v>7252.8</v>
      </c>
    </row>
    <row r="347" spans="1:10" x14ac:dyDescent="0.3">
      <c r="A347" t="s">
        <v>19</v>
      </c>
      <c r="B347" s="4">
        <v>2009</v>
      </c>
      <c r="C347" t="s">
        <v>49</v>
      </c>
      <c r="D347" s="8">
        <f>INDEX(GDP_pc!$E:$ZZ, MATCH(A347, GDP_pc!$C:$C, 0), MATCH(B347, GDP_pc!$E$1:$ZZ$1, 0))</f>
        <v>2700075882518.9824</v>
      </c>
      <c r="E347">
        <f>INDEX(CH4_Em!$E:$ZZ, MATCH(A347, CH4_Em!$C:$C, 0), MATCH(B347, CH4_Em!$E$1:$ZZ$1, 0))</f>
        <v>49.157800000000002</v>
      </c>
      <c r="F347">
        <f>INDEX(N2O_Em!$E:$ZZ, MATCH(A347, N2O_Em!$C:$C, 0), MATCH(B347, N2O_Em!$E$1:$ZZ$1, 0))</f>
        <v>28.1709</v>
      </c>
      <c r="G347">
        <f>INDEX(CO2_Em!$E:$ZZ, MATCH(A347, CO2_Em!$C:$C, 0), MATCH(B347, CO2_Em!$E$1:$ZZ$1, 0))</f>
        <v>2.7469999999999999</v>
      </c>
      <c r="H347">
        <f>INDEX(Agri_VA!$E:$ZZ, MATCH(A347, Agri_VA!$C:$C, 0), MATCH(B347, Agri_VA!$E$1:$ZZ$1, 0))</f>
        <v>1.2324157748144708</v>
      </c>
      <c r="I347" s="6">
        <f>INDEX('Agri_land '!$E:$ZZ, MATCH(A347, 'Agri_land '!$C:$C, 0), MATCH(B347, 'Agri_land '!$E$1:$ZZ$1, 0))</f>
        <v>53.845254661842468</v>
      </c>
      <c r="J347">
        <f>INDEX(Cereal_Yield!$E:$ZZ, MATCH(A347, Cereal_Yield!$C:$C, 0), MATCH(B347, Cereal_Yield!$E$1:$ZZ$1, 0))</f>
        <v>7412.4</v>
      </c>
    </row>
    <row r="348" spans="1:10" x14ac:dyDescent="0.3">
      <c r="A348" t="s">
        <v>19</v>
      </c>
      <c r="B348" s="4">
        <v>2010</v>
      </c>
      <c r="C348" t="s">
        <v>49</v>
      </c>
      <c r="D348" s="8">
        <f>INDEX(GDP_pc!$E:$ZZ, MATCH(A348, GDP_pc!$C:$C, 0), MATCH(B348, GDP_pc!$E$1:$ZZ$1, 0))</f>
        <v>2646230027988.3384</v>
      </c>
      <c r="E348">
        <f>INDEX(CH4_Em!$E:$ZZ, MATCH(A348, CH4_Em!$C:$C, 0), MATCH(B348, CH4_Em!$E$1:$ZZ$1, 0))</f>
        <v>49.125799999999998</v>
      </c>
      <c r="F348">
        <f>INDEX(N2O_Em!$E:$ZZ, MATCH(A348, N2O_Em!$C:$C, 0), MATCH(B348, N2O_Em!$E$1:$ZZ$1, 0))</f>
        <v>29.404</v>
      </c>
      <c r="G348">
        <f>INDEX(CO2_Em!$E:$ZZ, MATCH(A348, CO2_Em!$C:$C, 0), MATCH(B348, CO2_Em!$E$1:$ZZ$1, 0))</f>
        <v>2.7610000000000001</v>
      </c>
      <c r="H348">
        <f>INDEX(Agri_VA!$E:$ZZ, MATCH(A348, Agri_VA!$C:$C, 0), MATCH(B348, Agri_VA!$E$1:$ZZ$1, 0))</f>
        <v>1.5008804027463696</v>
      </c>
      <c r="I348" s="6">
        <f>INDEX('Agri_land '!$E:$ZZ, MATCH(A348, 'Agri_land '!$C:$C, 0), MATCH(B348, 'Agri_land '!$E$1:$ZZ$1, 0))</f>
        <v>53.671583634845533</v>
      </c>
      <c r="J348">
        <f>INDEX(Cereal_Yield!$E:$ZZ, MATCH(A348, Cereal_Yield!$C:$C, 0), MATCH(B348, Cereal_Yield!$E$1:$ZZ$1, 0))</f>
        <v>7068.6</v>
      </c>
    </row>
    <row r="349" spans="1:10" x14ac:dyDescent="0.3">
      <c r="A349" t="s">
        <v>19</v>
      </c>
      <c r="B349" s="4">
        <v>2011</v>
      </c>
      <c r="C349" t="s">
        <v>49</v>
      </c>
      <c r="D349" s="8">
        <f>INDEX(GDP_pc!$E:$ZZ, MATCH(A349, GDP_pc!$C:$C, 0), MATCH(B349, GDP_pc!$E$1:$ZZ$1, 0))</f>
        <v>2870408553990.2778</v>
      </c>
      <c r="E349">
        <f>INDEX(CH4_Em!$E:$ZZ, MATCH(A349, CH4_Em!$C:$C, 0), MATCH(B349, CH4_Em!$E$1:$ZZ$1, 0))</f>
        <v>48.088000000000001</v>
      </c>
      <c r="F349">
        <f>INDEX(N2O_Em!$E:$ZZ, MATCH(A349, N2O_Em!$C:$C, 0), MATCH(B349, N2O_Em!$E$1:$ZZ$1, 0))</f>
        <v>27.366199999999999</v>
      </c>
      <c r="G349">
        <f>INDEX(CO2_Em!$E:$ZZ, MATCH(A349, CO2_Em!$C:$C, 0), MATCH(B349, CO2_Em!$E$1:$ZZ$1, 0))</f>
        <v>2.4005999999999998</v>
      </c>
      <c r="H349">
        <f>INDEX(Agri_VA!$E:$ZZ, MATCH(A349, Agri_VA!$C:$C, 0), MATCH(B349, Agri_VA!$E$1:$ZZ$1, 0))</f>
        <v>1.5513727623139713</v>
      </c>
      <c r="I349" s="6">
        <f>INDEX('Agri_land '!$E:$ZZ, MATCH(A349, 'Agri_land '!$C:$C, 0), MATCH(B349, 'Agri_land '!$E$1:$ZZ$1, 0))</f>
        <v>53.583078207625945</v>
      </c>
      <c r="J349">
        <f>INDEX(Cereal_Yield!$E:$ZZ, MATCH(A349, Cereal_Yield!$C:$C, 0), MATCH(B349, Cereal_Yield!$E$1:$ZZ$1, 0))</f>
        <v>6919.3</v>
      </c>
    </row>
    <row r="350" spans="1:10" x14ac:dyDescent="0.3">
      <c r="A350" t="s">
        <v>19</v>
      </c>
      <c r="B350" s="4">
        <v>2012</v>
      </c>
      <c r="C350" t="s">
        <v>49</v>
      </c>
      <c r="D350" s="8">
        <f>INDEX(GDP_pc!$E:$ZZ, MATCH(A350, GDP_pc!$C:$C, 0), MATCH(B350, GDP_pc!$E$1:$ZZ$1, 0))</f>
        <v>2683007095787.2271</v>
      </c>
      <c r="E350">
        <f>INDEX(CH4_Em!$E:$ZZ, MATCH(A350, CH4_Em!$C:$C, 0), MATCH(B350, CH4_Em!$E$1:$ZZ$1, 0))</f>
        <v>48.013599999999997</v>
      </c>
      <c r="F350">
        <f>INDEX(N2O_Em!$E:$ZZ, MATCH(A350, N2O_Em!$C:$C, 0), MATCH(B350, N2O_Em!$E$1:$ZZ$1, 0))</f>
        <v>28.106300000000001</v>
      </c>
      <c r="G350">
        <f>INDEX(CO2_Em!$E:$ZZ, MATCH(A350, CO2_Em!$C:$C, 0), MATCH(B350, CO2_Em!$E$1:$ZZ$1, 0))</f>
        <v>2.7471000000000001</v>
      </c>
      <c r="H350">
        <f>INDEX(Agri_VA!$E:$ZZ, MATCH(A350, Agri_VA!$C:$C, 0), MATCH(B350, Agri_VA!$E$1:$ZZ$1, 0))</f>
        <v>1.5259446894911508</v>
      </c>
      <c r="I350" s="6">
        <f>INDEX('Agri_land '!$E:$ZZ, MATCH(A350, 'Agri_land '!$C:$C, 0), MATCH(B350, 'Agri_land '!$E$1:$ZZ$1, 0))</f>
        <v>53.520363670099272</v>
      </c>
      <c r="J350">
        <f>INDEX(Cereal_Yield!$E:$ZZ, MATCH(A350, Cereal_Yield!$C:$C, 0), MATCH(B350, Cereal_Yield!$E$1:$ZZ$1, 0))</f>
        <v>7254.5</v>
      </c>
    </row>
    <row r="351" spans="1:10" x14ac:dyDescent="0.3">
      <c r="A351" t="s">
        <v>19</v>
      </c>
      <c r="B351" s="4">
        <v>2013</v>
      </c>
      <c r="C351" t="s">
        <v>49</v>
      </c>
      <c r="D351" s="8">
        <f>INDEX(GDP_pc!$E:$ZZ, MATCH(A351, GDP_pc!$C:$C, 0), MATCH(B351, GDP_pc!$E$1:$ZZ$1, 0))</f>
        <v>2816077607875.2627</v>
      </c>
      <c r="E351">
        <f>INDEX(CH4_Em!$E:$ZZ, MATCH(A351, CH4_Em!$C:$C, 0), MATCH(B351, CH4_Em!$E$1:$ZZ$1, 0))</f>
        <v>48.060400000000001</v>
      </c>
      <c r="F351">
        <f>INDEX(N2O_Em!$E:$ZZ, MATCH(A351, N2O_Em!$C:$C, 0), MATCH(B351, N2O_Em!$E$1:$ZZ$1, 0))</f>
        <v>28.3218</v>
      </c>
      <c r="G351">
        <f>INDEX(CO2_Em!$E:$ZZ, MATCH(A351, CO2_Em!$C:$C, 0), MATCH(B351, CO2_Em!$E$1:$ZZ$1, 0))</f>
        <v>2.6398999999999999</v>
      </c>
      <c r="H351">
        <f>INDEX(Agri_VA!$E:$ZZ, MATCH(A351, Agri_VA!$C:$C, 0), MATCH(B351, Agri_VA!$E$1:$ZZ$1, 0))</f>
        <v>1.3614013787051102</v>
      </c>
      <c r="I351" s="6">
        <f>INDEX('Agri_land '!$E:$ZZ, MATCH(A351, 'Agri_land '!$C:$C, 0), MATCH(B351, 'Agri_land '!$E$1:$ZZ$1, 0))</f>
        <v>53.388440486130442</v>
      </c>
      <c r="J351">
        <f>INDEX(Cereal_Yield!$E:$ZZ, MATCH(A351, Cereal_Yield!$C:$C, 0), MATCH(B351, Cereal_Yield!$E$1:$ZZ$1, 0))</f>
        <v>7084.8</v>
      </c>
    </row>
    <row r="352" spans="1:10" x14ac:dyDescent="0.3">
      <c r="A352" t="s">
        <v>19</v>
      </c>
      <c r="B352" s="4">
        <v>2014</v>
      </c>
      <c r="C352" t="s">
        <v>49</v>
      </c>
      <c r="D352" s="8">
        <f>INDEX(GDP_pc!$E:$ZZ, MATCH(A352, GDP_pc!$C:$C, 0), MATCH(B352, GDP_pc!$E$1:$ZZ$1, 0))</f>
        <v>2861236112552.4214</v>
      </c>
      <c r="E352">
        <f>INDEX(CH4_Em!$E:$ZZ, MATCH(A352, CH4_Em!$C:$C, 0), MATCH(B352, CH4_Em!$E$1:$ZZ$1, 0))</f>
        <v>48.201500000000003</v>
      </c>
      <c r="F352">
        <f>INDEX(N2O_Em!$E:$ZZ, MATCH(A352, N2O_Em!$C:$C, 0), MATCH(B352, N2O_Em!$E$1:$ZZ$1, 0))</f>
        <v>28.679300000000001</v>
      </c>
      <c r="G352">
        <f>INDEX(CO2_Em!$E:$ZZ, MATCH(A352, CO2_Em!$C:$C, 0), MATCH(B352, CO2_Em!$E$1:$ZZ$1, 0))</f>
        <v>2.5766</v>
      </c>
      <c r="H352">
        <f>INDEX(Agri_VA!$E:$ZZ, MATCH(A352, Agri_VA!$C:$C, 0), MATCH(B352, Agri_VA!$E$1:$ZZ$1, 0))</f>
        <v>1.4615460012199284</v>
      </c>
      <c r="I352" s="6">
        <f>INDEX('Agri_land '!$E:$ZZ, MATCH(A352, 'Agri_land '!$C:$C, 0), MATCH(B352, 'Agri_land '!$E$1:$ZZ$1, 0))</f>
        <v>53.375081176361441</v>
      </c>
      <c r="J352">
        <f>INDEX(Cereal_Yield!$E:$ZZ, MATCH(A352, Cereal_Yield!$C:$C, 0), MATCH(B352, Cereal_Yield!$E$1:$ZZ$1, 0))</f>
        <v>7579.1</v>
      </c>
    </row>
    <row r="353" spans="1:10" x14ac:dyDescent="0.3">
      <c r="A353" t="s">
        <v>19</v>
      </c>
      <c r="B353" s="4">
        <v>2015</v>
      </c>
      <c r="C353" t="s">
        <v>49</v>
      </c>
      <c r="D353" s="8">
        <f>INDEX(GDP_pc!$E:$ZZ, MATCH(A353, GDP_pc!$C:$C, 0), MATCH(B353, GDP_pc!$E$1:$ZZ$1, 0))</f>
        <v>2442483452642.4985</v>
      </c>
      <c r="E353">
        <f>INDEX(CH4_Em!$E:$ZZ, MATCH(A353, CH4_Em!$C:$C, 0), MATCH(B353, CH4_Em!$E$1:$ZZ$1, 0))</f>
        <v>48.627400000000002</v>
      </c>
      <c r="F353">
        <f>INDEX(N2O_Em!$E:$ZZ, MATCH(A353, N2O_Em!$C:$C, 0), MATCH(B353, N2O_Em!$E$1:$ZZ$1, 0))</f>
        <v>28.9694</v>
      </c>
      <c r="G353">
        <f>INDEX(CO2_Em!$E:$ZZ, MATCH(A353, CO2_Em!$C:$C, 0), MATCH(B353, CO2_Em!$E$1:$ZZ$1, 0))</f>
        <v>2.7206999999999999</v>
      </c>
      <c r="H353">
        <f>INDEX(Agri_VA!$E:$ZZ, MATCH(A353, Agri_VA!$C:$C, 0), MATCH(B353, Agri_VA!$E$1:$ZZ$1, 0))</f>
        <v>1.5036011602789789</v>
      </c>
      <c r="I353" s="6">
        <f>INDEX('Agri_land '!$E:$ZZ, MATCH(A353, 'Agri_land '!$C:$C, 0), MATCH(B353, 'Agri_land '!$E$1:$ZZ$1, 0))</f>
        <v>53.301604972631964</v>
      </c>
      <c r="J353">
        <f>INDEX(Cereal_Yield!$E:$ZZ, MATCH(A353, Cereal_Yield!$C:$C, 0), MATCH(B353, Cereal_Yield!$E$1:$ZZ$1, 0))</f>
        <v>7590.5</v>
      </c>
    </row>
    <row r="354" spans="1:10" x14ac:dyDescent="0.3">
      <c r="A354" t="s">
        <v>19</v>
      </c>
      <c r="B354" s="4">
        <v>2016</v>
      </c>
      <c r="C354" t="s">
        <v>49</v>
      </c>
      <c r="D354" s="8">
        <f>INDEX(GDP_pc!$E:$ZZ, MATCH(A354, GDP_pc!$C:$C, 0), MATCH(B354, GDP_pc!$E$1:$ZZ$1, 0))</f>
        <v>2470407619777.1265</v>
      </c>
      <c r="E354">
        <f>INDEX(CH4_Em!$E:$ZZ, MATCH(A354, CH4_Em!$C:$C, 0), MATCH(B354, CH4_Em!$E$1:$ZZ$1, 0))</f>
        <v>48.374699999999997</v>
      </c>
      <c r="F354">
        <f>INDEX(N2O_Em!$E:$ZZ, MATCH(A354, N2O_Em!$C:$C, 0), MATCH(B354, N2O_Em!$E$1:$ZZ$1, 0))</f>
        <v>28.151199999999999</v>
      </c>
      <c r="G354">
        <f>INDEX(CO2_Em!$E:$ZZ, MATCH(A354, CO2_Em!$C:$C, 0), MATCH(B354, CO2_Em!$E$1:$ZZ$1, 0))</f>
        <v>2.7342</v>
      </c>
      <c r="H354">
        <f>INDEX(Agri_VA!$E:$ZZ, MATCH(A354, Agri_VA!$C:$C, 0), MATCH(B354, Agri_VA!$E$1:$ZZ$1, 0))</f>
        <v>1.3379847256444428</v>
      </c>
      <c r="I354" s="6">
        <f>INDEX('Agri_land '!$E:$ZZ, MATCH(A354, 'Agri_land '!$C:$C, 0), MATCH(B354, 'Agri_land '!$E$1:$ZZ$1, 0))</f>
        <v>53.285130346043232</v>
      </c>
      <c r="J354">
        <f>INDEX(Cereal_Yield!$E:$ZZ, MATCH(A354, Cereal_Yield!$C:$C, 0), MATCH(B354, Cereal_Yield!$E$1:$ZZ$1, 0))</f>
        <v>5690.9</v>
      </c>
    </row>
    <row r="355" spans="1:10" x14ac:dyDescent="0.3">
      <c r="A355" t="s">
        <v>19</v>
      </c>
      <c r="B355" s="4">
        <v>2017</v>
      </c>
      <c r="C355" t="s">
        <v>49</v>
      </c>
      <c r="D355" s="8">
        <f>INDEX(GDP_pc!$E:$ZZ, MATCH(A355, GDP_pc!$C:$C, 0), MATCH(B355, GDP_pc!$E$1:$ZZ$1, 0))</f>
        <v>2588868323334.7104</v>
      </c>
      <c r="E355">
        <f>INDEX(CH4_Em!$E:$ZZ, MATCH(A355, CH4_Em!$C:$C, 0), MATCH(B355, CH4_Em!$E$1:$ZZ$1, 0))</f>
        <v>47.6113</v>
      </c>
      <c r="F355">
        <f>INDEX(N2O_Em!$E:$ZZ, MATCH(A355, N2O_Em!$C:$C, 0), MATCH(B355, N2O_Em!$E$1:$ZZ$1, 0))</f>
        <v>28.6509</v>
      </c>
      <c r="G355">
        <f>INDEX(CO2_Em!$E:$ZZ, MATCH(A355, CO2_Em!$C:$C, 0), MATCH(B355, CO2_Em!$E$1:$ZZ$1, 0))</f>
        <v>2.6147</v>
      </c>
      <c r="H355">
        <f>INDEX(Agri_VA!$E:$ZZ, MATCH(A355, Agri_VA!$C:$C, 0), MATCH(B355, Agri_VA!$E$1:$ZZ$1, 0))</f>
        <v>1.434960065331969</v>
      </c>
      <c r="I355" s="6">
        <f>INDEX('Agri_land '!$E:$ZZ, MATCH(A355, 'Agri_land '!$C:$C, 0), MATCH(B355, 'Agri_land '!$E$1:$ZZ$1, 0))</f>
        <v>53.247052602282217</v>
      </c>
      <c r="J355">
        <f>INDEX(Cereal_Yield!$E:$ZZ, MATCH(A355, Cereal_Yield!$C:$C, 0), MATCH(B355, Cereal_Yield!$E$1:$ZZ$1, 0))</f>
        <v>7306.7</v>
      </c>
    </row>
    <row r="356" spans="1:10" x14ac:dyDescent="0.3">
      <c r="A356" t="s">
        <v>19</v>
      </c>
      <c r="B356" s="4">
        <v>2018</v>
      </c>
      <c r="C356" t="s">
        <v>49</v>
      </c>
      <c r="D356" s="8">
        <f>INDEX(GDP_pc!$E:$ZZ, MATCH(A356, GDP_pc!$C:$C, 0), MATCH(B356, GDP_pc!$E$1:$ZZ$1, 0))</f>
        <v>2781576320884.3901</v>
      </c>
      <c r="E356">
        <f>INDEX(CH4_Em!$E:$ZZ, MATCH(A356, CH4_Em!$C:$C, 0), MATCH(B356, CH4_Em!$E$1:$ZZ$1, 0))</f>
        <v>47.076300000000003</v>
      </c>
      <c r="F356">
        <f>INDEX(N2O_Em!$E:$ZZ, MATCH(A356, N2O_Em!$C:$C, 0), MATCH(B356, N2O_Em!$E$1:$ZZ$1, 0))</f>
        <v>27.794799999999999</v>
      </c>
      <c r="G356">
        <f>INDEX(CO2_Em!$E:$ZZ, MATCH(A356, CO2_Em!$C:$C, 0), MATCH(B356, CO2_Em!$E$1:$ZZ$1, 0))</f>
        <v>2.4916999999999998</v>
      </c>
      <c r="H356">
        <f>INDEX(Agri_VA!$E:$ZZ, MATCH(A356, Agri_VA!$C:$C, 0), MATCH(B356, Agri_VA!$E$1:$ZZ$1, 0))</f>
        <v>1.5311017054357825</v>
      </c>
      <c r="I356" s="6">
        <f>INDEX('Agri_land '!$E:$ZZ, MATCH(A356, 'Agri_land '!$C:$C, 0), MATCH(B356, 'Agri_land '!$E$1:$ZZ$1, 0))</f>
        <v>53.177660265330736</v>
      </c>
      <c r="J356">
        <f>INDEX(Cereal_Yield!$E:$ZZ, MATCH(A356, Cereal_Yield!$C:$C, 0), MATCH(B356, Cereal_Yield!$E$1:$ZZ$1, 0))</f>
        <v>6829.1</v>
      </c>
    </row>
    <row r="357" spans="1:10" x14ac:dyDescent="0.3">
      <c r="A357" t="s">
        <v>19</v>
      </c>
      <c r="B357" s="4">
        <v>2019</v>
      </c>
      <c r="C357" t="s">
        <v>49</v>
      </c>
      <c r="D357" s="8">
        <f>INDEX(GDP_pc!$E:$ZZ, MATCH(A357, GDP_pc!$C:$C, 0), MATCH(B357, GDP_pc!$E$1:$ZZ$1, 0))</f>
        <v>2722793515171.7603</v>
      </c>
      <c r="E357">
        <f>INDEX(CH4_Em!$E:$ZZ, MATCH(A357, CH4_Em!$C:$C, 0), MATCH(B357, CH4_Em!$E$1:$ZZ$1, 0))</f>
        <v>46.111699999999999</v>
      </c>
      <c r="F357">
        <f>INDEX(N2O_Em!$E:$ZZ, MATCH(A357, N2O_Em!$C:$C, 0), MATCH(B357, N2O_Em!$E$1:$ZZ$1, 0))</f>
        <v>27.783999999999999</v>
      </c>
      <c r="G357">
        <f>INDEX(CO2_Em!$E:$ZZ, MATCH(A357, CO2_Em!$C:$C, 0), MATCH(B357, CO2_Em!$E$1:$ZZ$1, 0))</f>
        <v>2.5127999999999999</v>
      </c>
      <c r="H357">
        <f>INDEX(Agri_VA!$E:$ZZ, MATCH(A357, Agri_VA!$C:$C, 0), MATCH(B357, Agri_VA!$E$1:$ZZ$1, 0))</f>
        <v>1.4082848547253466</v>
      </c>
      <c r="I357" s="6">
        <f>INDEX('Agri_land '!$E:$ZZ, MATCH(A357, 'Agri_land '!$C:$C, 0), MATCH(B357, 'Agri_land '!$E$1:$ZZ$1, 0))</f>
        <v>52.915574914184994</v>
      </c>
      <c r="J357">
        <f>INDEX(Cereal_Yield!$E:$ZZ, MATCH(A357, Cereal_Yield!$C:$C, 0), MATCH(B357, Cereal_Yield!$E$1:$ZZ$1, 0))</f>
        <v>7491.9</v>
      </c>
    </row>
    <row r="358" spans="1:10" x14ac:dyDescent="0.3">
      <c r="A358" t="s">
        <v>19</v>
      </c>
      <c r="B358" s="4">
        <v>2020</v>
      </c>
      <c r="C358" t="s">
        <v>49</v>
      </c>
      <c r="D358" s="8">
        <f>INDEX(GDP_pc!$E:$ZZ, MATCH(A358, GDP_pc!$C:$C, 0), MATCH(B358, GDP_pc!$E$1:$ZZ$1, 0))</f>
        <v>2647926055110.0464</v>
      </c>
      <c r="E358">
        <f>INDEX(CH4_Em!$E:$ZZ, MATCH(A358, CH4_Em!$C:$C, 0), MATCH(B358, CH4_Em!$E$1:$ZZ$1, 0))</f>
        <v>45.275399999999998</v>
      </c>
      <c r="F358">
        <f>INDEX(N2O_Em!$E:$ZZ, MATCH(A358, N2O_Em!$C:$C, 0), MATCH(B358, N2O_Em!$E$1:$ZZ$1, 0))</f>
        <v>24.284500000000001</v>
      </c>
      <c r="G358">
        <f>INDEX(CO2_Em!$E:$ZZ, MATCH(A358, CO2_Em!$C:$C, 0), MATCH(B358, CO2_Em!$E$1:$ZZ$1, 0))</f>
        <v>1.9241999999999999</v>
      </c>
      <c r="H358">
        <f>INDEX(Agri_VA!$E:$ZZ, MATCH(A358, Agri_VA!$C:$C, 0), MATCH(B358, Agri_VA!$E$1:$ZZ$1, 0))</f>
        <v>1.460434265770403</v>
      </c>
      <c r="I358" s="6">
        <f>INDEX('Agri_land '!$E:$ZZ, MATCH(A358, 'Agri_land '!$C:$C, 0), MATCH(B358, 'Agri_land '!$E$1:$ZZ$1, 0))</f>
        <v>52.729670655905004</v>
      </c>
      <c r="J358">
        <f>INDEX(Cereal_Yield!$E:$ZZ, MATCH(A358, Cereal_Yield!$C:$C, 0), MATCH(B358, Cereal_Yield!$E$1:$ZZ$1, 0))</f>
        <v>6394.9</v>
      </c>
    </row>
    <row r="359" spans="1:10" x14ac:dyDescent="0.3">
      <c r="A359" t="s">
        <v>19</v>
      </c>
      <c r="B359" s="4">
        <v>2021</v>
      </c>
      <c r="C359" t="s">
        <v>49</v>
      </c>
      <c r="D359" s="8">
        <f>INDEX(GDP_pc!$E:$ZZ, MATCH(A359, GDP_pc!$C:$C, 0), MATCH(B359, GDP_pc!$E$1:$ZZ$1, 0))</f>
        <v>2966433692008.0918</v>
      </c>
      <c r="E359">
        <f>INDEX(CH4_Em!$E:$ZZ, MATCH(A359, CH4_Em!$C:$C, 0), MATCH(B359, CH4_Em!$E$1:$ZZ$1, 0))</f>
        <v>44.122700000000002</v>
      </c>
      <c r="F359">
        <f>INDEX(N2O_Em!$E:$ZZ, MATCH(A359, N2O_Em!$C:$C, 0), MATCH(B359, N2O_Em!$E$1:$ZZ$1, 0))</f>
        <v>25.999700000000001</v>
      </c>
      <c r="G359">
        <f>INDEX(CO2_Em!$E:$ZZ, MATCH(A359, CO2_Em!$C:$C, 0), MATCH(B359, CO2_Em!$E$1:$ZZ$1, 0))</f>
        <v>2.0379999999999998</v>
      </c>
      <c r="H359">
        <f>INDEX(Agri_VA!$E:$ZZ, MATCH(A359, Agri_VA!$C:$C, 0), MATCH(B359, Agri_VA!$E$1:$ZZ$1, 0))</f>
        <v>1.4633454145789826</v>
      </c>
      <c r="I359" s="6">
        <f>INDEX('Agri_land '!$E:$ZZ, MATCH(A359, 'Agri_land '!$C:$C, 0), MATCH(B359, 'Agri_land '!$E$1:$ZZ$1, 0))</f>
        <v>52.741727247425551</v>
      </c>
      <c r="J359">
        <f>INDEX(Cereal_Yield!$E:$ZZ, MATCH(A359, Cereal_Yield!$C:$C, 0), MATCH(B359, Cereal_Yield!$E$1:$ZZ$1, 0))</f>
        <v>7171.3</v>
      </c>
    </row>
    <row r="360" spans="1:10" x14ac:dyDescent="0.3">
      <c r="A360" t="s">
        <v>19</v>
      </c>
      <c r="B360" s="4">
        <v>2022</v>
      </c>
      <c r="C360" t="s">
        <v>49</v>
      </c>
      <c r="D360" s="8">
        <f>INDEX(GDP_pc!$E:$ZZ, MATCH(A360, GDP_pc!$C:$C, 0), MATCH(B360, GDP_pc!$E$1:$ZZ$1, 0))</f>
        <v>2794788137066.937</v>
      </c>
      <c r="E360">
        <f>INDEX(CH4_Em!$E:$ZZ, MATCH(A360, CH4_Em!$C:$C, 0), MATCH(B360, CH4_Em!$E$1:$ZZ$1, 0))</f>
        <v>42.976199999999999</v>
      </c>
      <c r="F360">
        <f>INDEX(N2O_Em!$E:$ZZ, MATCH(A360, N2O_Em!$C:$C, 0), MATCH(B360, N2O_Em!$E$1:$ZZ$1, 0))</f>
        <v>24.495999999999999</v>
      </c>
      <c r="G360">
        <f>INDEX(CO2_Em!$E:$ZZ, MATCH(A360, CO2_Em!$C:$C, 0), MATCH(B360, CO2_Em!$E$1:$ZZ$1, 0))</f>
        <v>1.9056</v>
      </c>
      <c r="H360">
        <f>INDEX(Agri_VA!$E:$ZZ, MATCH(A360, Agri_VA!$C:$C, 0), MATCH(B360, Agri_VA!$E$1:$ZZ$1, 0))</f>
        <v>1.7201713701883332</v>
      </c>
      <c r="I360" s="6">
        <f>INDEX('Agri_land '!$E:$ZZ, MATCH(A360, 'Agri_land '!$C:$C, 0), MATCH(B360, 'Agri_land '!$E$1:$ZZ$1, 0))</f>
        <v>52.673889229056506</v>
      </c>
      <c r="J360">
        <f>INDEX(Cereal_Yield!$E:$ZZ, MATCH(A360, Cereal_Yield!$C:$C, 0), MATCH(B360, Cereal_Yield!$E$1:$ZZ$1, 0))</f>
        <v>6654.9</v>
      </c>
    </row>
    <row r="361" spans="1:10" x14ac:dyDescent="0.3">
      <c r="A361" t="s">
        <v>19</v>
      </c>
      <c r="B361" s="4">
        <v>2023</v>
      </c>
      <c r="C361" t="s">
        <v>49</v>
      </c>
      <c r="D361" s="8">
        <f>INDEX(GDP_pc!$E:$ZZ, MATCH(A361, GDP_pc!$C:$C, 0), MATCH(B361, GDP_pc!$E$1:$ZZ$1, 0))</f>
        <v>3056250648138.2891</v>
      </c>
      <c r="E361">
        <f>INDEX(CH4_Em!$E:$ZZ, MATCH(A361, CH4_Em!$C:$C, 0), MATCH(B361, CH4_Em!$E$1:$ZZ$1, 0))</f>
        <v>42.326700000000002</v>
      </c>
      <c r="F361">
        <f>INDEX(N2O_Em!$E:$ZZ, MATCH(A361, N2O_Em!$C:$C, 0), MATCH(B361, N2O_Em!$E$1:$ZZ$1, 0))</f>
        <v>24.037800000000001</v>
      </c>
      <c r="G361">
        <f>INDEX(CO2_Em!$E:$ZZ, MATCH(A361, CO2_Em!$C:$C, 0), MATCH(B361, CO2_Em!$E$1:$ZZ$1, 0))</f>
        <v>1.9311</v>
      </c>
      <c r="H361">
        <f>INDEX(Agri_VA!$E:$ZZ, MATCH(A361, Agri_VA!$C:$C, 0), MATCH(B361, Agri_VA!$E$1:$ZZ$1, 0))</f>
        <v>1.4847579630442362</v>
      </c>
      <c r="I361" s="6">
        <f>INDEX('Agri_land '!$E:$ZZ, MATCH(A361, 'Agri_land '!$C:$C, 0), MATCH(B361, 'Agri_land '!$E$1:$ZZ$1, 0))</f>
        <v>52.50439743946562</v>
      </c>
      <c r="J361">
        <f>INDEX(Cereal_Yield!$E:$ZZ, MATCH(A361, Cereal_Yield!$C:$C, 0), MATCH(B361, Cereal_Yield!$E$1:$ZZ$1, 0))</f>
        <v>7274</v>
      </c>
    </row>
    <row r="362" spans="1:10" x14ac:dyDescent="0.3">
      <c r="A362" t="s">
        <v>20</v>
      </c>
      <c r="B362" s="4">
        <v>2000</v>
      </c>
      <c r="C362" t="s">
        <v>49</v>
      </c>
      <c r="D362" s="8">
        <f>INDEX(GDP_pc!$E:$ZZ, MATCH(A362, GDP_pc!$C:$C, 0), MATCH(B362, GDP_pc!$E$1:$ZZ$1, 0))</f>
        <v>1966980701145.1023</v>
      </c>
      <c r="E362">
        <f>INDEX(CH4_Em!$E:$ZZ, MATCH(A362, CH4_Em!$C:$C, 0), MATCH(B362, CH4_Em!$E$1:$ZZ$1, 0))</f>
        <v>42.204300000000003</v>
      </c>
      <c r="F362">
        <f>INDEX(N2O_Em!$E:$ZZ, MATCH(A362, N2O_Em!$C:$C, 0), MATCH(B362, N2O_Em!$E$1:$ZZ$1, 0))</f>
        <v>26.336300000000001</v>
      </c>
      <c r="G362">
        <f>INDEX(CO2_Em!$E:$ZZ, MATCH(A362, CO2_Em!$C:$C, 0), MATCH(B362, CO2_Em!$E$1:$ZZ$1, 0))</f>
        <v>0.45889999999999997</v>
      </c>
      <c r="H362">
        <f>INDEX(Agri_VA!$E:$ZZ, MATCH(A362, Agri_VA!$C:$C, 0), MATCH(B362, Agri_VA!$E$1:$ZZ$1, 0))</f>
        <v>0.99616840246799965</v>
      </c>
      <c r="I362" s="6">
        <f>INDEX('Agri_land '!$E:$ZZ, MATCH(A362, 'Agri_land '!$C:$C, 0), MATCH(B362, 'Agri_land '!$E$1:$ZZ$1, 0))</f>
        <v>48.912451640636192</v>
      </c>
      <c r="J362">
        <f>INDEX(Cereal_Yield!$E:$ZZ, MATCH(A362, Cereal_Yield!$C:$C, 0), MATCH(B362, Cereal_Yield!$E$1:$ZZ$1, 0))</f>
        <v>6452.9</v>
      </c>
    </row>
    <row r="363" spans="1:10" x14ac:dyDescent="0.3">
      <c r="A363" t="s">
        <v>20</v>
      </c>
      <c r="B363" s="4">
        <v>2001</v>
      </c>
      <c r="C363" t="s">
        <v>49</v>
      </c>
      <c r="D363" s="8">
        <f>INDEX(GDP_pc!$E:$ZZ, MATCH(A363, GDP_pc!$C:$C, 0), MATCH(B363, GDP_pc!$E$1:$ZZ$1, 0))</f>
        <v>1966381496641.7346</v>
      </c>
      <c r="E363">
        <f>INDEX(CH4_Em!$E:$ZZ, MATCH(A363, CH4_Em!$C:$C, 0), MATCH(B363, CH4_Em!$E$1:$ZZ$1, 0))</f>
        <v>41.982100000000003</v>
      </c>
      <c r="F363">
        <f>INDEX(N2O_Em!$E:$ZZ, MATCH(A363, N2O_Em!$C:$C, 0), MATCH(B363, N2O_Em!$E$1:$ZZ$1, 0))</f>
        <v>26.1569</v>
      </c>
      <c r="G363">
        <f>INDEX(CO2_Em!$E:$ZZ, MATCH(A363, CO2_Em!$C:$C, 0), MATCH(B363, CO2_Em!$E$1:$ZZ$1, 0))</f>
        <v>0.44469999999999998</v>
      </c>
      <c r="H363">
        <f>INDEX(Agri_VA!$E:$ZZ, MATCH(A363, Agri_VA!$C:$C, 0), MATCH(B363, Agri_VA!$E$1:$ZZ$1, 0))</f>
        <v>1.0833375084831454</v>
      </c>
      <c r="I363" s="6">
        <f>INDEX('Agri_land '!$E:$ZZ, MATCH(A363, 'Agri_land '!$C:$C, 0), MATCH(B363, 'Agri_land '!$E$1:$ZZ$1, 0))</f>
        <v>48.82201203783319</v>
      </c>
      <c r="J363">
        <f>INDEX(Cereal_Yield!$E:$ZZ, MATCH(A363, Cereal_Yield!$C:$C, 0), MATCH(B363, Cereal_Yield!$E$1:$ZZ$1, 0))</f>
        <v>7055.2</v>
      </c>
    </row>
    <row r="364" spans="1:10" x14ac:dyDescent="0.3">
      <c r="A364" t="s">
        <v>20</v>
      </c>
      <c r="B364" s="4">
        <v>2002</v>
      </c>
      <c r="C364" t="s">
        <v>49</v>
      </c>
      <c r="D364" s="8">
        <f>INDEX(GDP_pc!$E:$ZZ, MATCH(A364, GDP_pc!$C:$C, 0), MATCH(B364, GDP_pc!$E$1:$ZZ$1, 0))</f>
        <v>2102350798305.886</v>
      </c>
      <c r="E364">
        <f>INDEX(CH4_Em!$E:$ZZ, MATCH(A364, CH4_Em!$C:$C, 0), MATCH(B364, CH4_Em!$E$1:$ZZ$1, 0))</f>
        <v>41.317900000000002</v>
      </c>
      <c r="F364">
        <f>INDEX(N2O_Em!$E:$ZZ, MATCH(A364, N2O_Em!$C:$C, 0), MATCH(B364, N2O_Em!$E$1:$ZZ$1, 0))</f>
        <v>25.794</v>
      </c>
      <c r="G364">
        <f>INDEX(CO2_Em!$E:$ZZ, MATCH(A364, CO2_Em!$C:$C, 0), MATCH(B364, CO2_Em!$E$1:$ZZ$1, 0))</f>
        <v>0.44790000000000002</v>
      </c>
      <c r="H364">
        <f>INDEX(Agri_VA!$E:$ZZ, MATCH(A364, Agri_VA!$C:$C, 0), MATCH(B364, Agri_VA!$E$1:$ZZ$1, 0))</f>
        <v>0.90133851468048365</v>
      </c>
      <c r="I364" s="6">
        <f>INDEX('Agri_land '!$E:$ZZ, MATCH(A364, 'Agri_land '!$C:$C, 0), MATCH(B364, 'Agri_land '!$E$1:$ZZ$1, 0))</f>
        <v>48.635555810353722</v>
      </c>
      <c r="J364">
        <f>INDEX(Cereal_Yield!$E:$ZZ, MATCH(A364, Cereal_Yield!$C:$C, 0), MATCH(B364, Cereal_Yield!$E$1:$ZZ$1, 0))</f>
        <v>6251.5</v>
      </c>
    </row>
    <row r="365" spans="1:10" x14ac:dyDescent="0.3">
      <c r="A365" t="s">
        <v>20</v>
      </c>
      <c r="B365" s="4">
        <v>2003</v>
      </c>
      <c r="C365" t="s">
        <v>49</v>
      </c>
      <c r="D365" s="8">
        <f>INDEX(GDP_pc!$E:$ZZ, MATCH(A365, GDP_pc!$C:$C, 0), MATCH(B365, GDP_pc!$E$1:$ZZ$1, 0))</f>
        <v>2534715518349.0142</v>
      </c>
      <c r="E365">
        <f>INDEX(CH4_Em!$E:$ZZ, MATCH(A365, CH4_Em!$C:$C, 0), MATCH(B365, CH4_Em!$E$1:$ZZ$1, 0))</f>
        <v>40.5032</v>
      </c>
      <c r="F365">
        <f>INDEX(N2O_Em!$E:$ZZ, MATCH(A365, N2O_Em!$C:$C, 0), MATCH(B365, N2O_Em!$E$1:$ZZ$1, 0))</f>
        <v>25.6569</v>
      </c>
      <c r="G365">
        <f>INDEX(CO2_Em!$E:$ZZ, MATCH(A365, CO2_Em!$C:$C, 0), MATCH(B365, CO2_Em!$E$1:$ZZ$1, 0))</f>
        <v>0.48399999999999999</v>
      </c>
      <c r="H365">
        <f>INDEX(Agri_VA!$E:$ZZ, MATCH(A365, Agri_VA!$C:$C, 0), MATCH(B365, Agri_VA!$E$1:$ZZ$1, 0))</f>
        <v>0.82934296080435199</v>
      </c>
      <c r="I365" s="6">
        <f>INDEX('Agri_land '!$E:$ZZ, MATCH(A365, 'Agri_land '!$C:$C, 0), MATCH(B365, 'Agri_land '!$E$1:$ZZ$1, 0))</f>
        <v>48.740001720134167</v>
      </c>
      <c r="J365">
        <f>INDEX(Cereal_Yield!$E:$ZZ, MATCH(A365, Cereal_Yield!$C:$C, 0), MATCH(B365, Cereal_Yield!$E$1:$ZZ$1, 0))</f>
        <v>5764.5</v>
      </c>
    </row>
    <row r="366" spans="1:10" x14ac:dyDescent="0.3">
      <c r="A366" t="s">
        <v>20</v>
      </c>
      <c r="B366" s="4">
        <v>2004</v>
      </c>
      <c r="C366" t="s">
        <v>49</v>
      </c>
      <c r="D366" s="8">
        <f>INDEX(GDP_pc!$E:$ZZ, MATCH(A366, GDP_pc!$C:$C, 0), MATCH(B366, GDP_pc!$E$1:$ZZ$1, 0))</f>
        <v>2852317768061.7837</v>
      </c>
      <c r="E366">
        <f>INDEX(CH4_Em!$E:$ZZ, MATCH(A366, CH4_Em!$C:$C, 0), MATCH(B366, CH4_Em!$E$1:$ZZ$1, 0))</f>
        <v>39.4482</v>
      </c>
      <c r="F366">
        <f>INDEX(N2O_Em!$E:$ZZ, MATCH(A366, N2O_Em!$C:$C, 0), MATCH(B366, N2O_Em!$E$1:$ZZ$1, 0))</f>
        <v>25.6313</v>
      </c>
      <c r="G366">
        <f>INDEX(CO2_Em!$E:$ZZ, MATCH(A366, CO2_Em!$C:$C, 0), MATCH(B366, CO2_Em!$E$1:$ZZ$1, 0))</f>
        <v>1.2426999999999999</v>
      </c>
      <c r="H366">
        <f>INDEX(Agri_VA!$E:$ZZ, MATCH(A366, Agri_VA!$C:$C, 0), MATCH(B366, Agri_VA!$E$1:$ZZ$1, 0))</f>
        <v>0.94887136726790633</v>
      </c>
      <c r="I366" s="6">
        <f>INDEX('Agri_land '!$E:$ZZ, MATCH(A366, 'Agri_land '!$C:$C, 0), MATCH(B366, 'Agri_land '!$E$1:$ZZ$1, 0))</f>
        <v>48.779998279668554</v>
      </c>
      <c r="J366">
        <f>INDEX(Cereal_Yield!$E:$ZZ, MATCH(A366, Cereal_Yield!$C:$C, 0), MATCH(B366, Cereal_Yield!$E$1:$ZZ$1, 0))</f>
        <v>7355.3</v>
      </c>
    </row>
    <row r="367" spans="1:10" x14ac:dyDescent="0.3">
      <c r="A367" t="s">
        <v>20</v>
      </c>
      <c r="B367" s="4">
        <v>2005</v>
      </c>
      <c r="C367" t="s">
        <v>49</v>
      </c>
      <c r="D367" s="8">
        <f>INDEX(GDP_pc!$E:$ZZ, MATCH(A367, GDP_pc!$C:$C, 0), MATCH(B367, GDP_pc!$E$1:$ZZ$1, 0))</f>
        <v>2893393187361.8662</v>
      </c>
      <c r="E367">
        <f>INDEX(CH4_Em!$E:$ZZ, MATCH(A367, CH4_Em!$C:$C, 0), MATCH(B367, CH4_Em!$E$1:$ZZ$1, 0))</f>
        <v>38.639000000000003</v>
      </c>
      <c r="F367">
        <f>INDEX(N2O_Em!$E:$ZZ, MATCH(A367, N2O_Em!$C:$C, 0), MATCH(B367, N2O_Em!$E$1:$ZZ$1, 0))</f>
        <v>25.5077</v>
      </c>
      <c r="G367">
        <f>INDEX(CO2_Em!$E:$ZZ, MATCH(A367, CO2_Em!$C:$C, 0), MATCH(B367, CO2_Em!$E$1:$ZZ$1, 0))</f>
        <v>1.2850999999999999</v>
      </c>
      <c r="H367">
        <f>INDEX(Agri_VA!$E:$ZZ, MATCH(A367, Agri_VA!$C:$C, 0), MATCH(B367, Agri_VA!$E$1:$ZZ$1, 0))</f>
        <v>0.72605784900095027</v>
      </c>
      <c r="I367" s="6">
        <f>INDEX('Agri_land '!$E:$ZZ, MATCH(A367, 'Agri_land '!$C:$C, 0), MATCH(B367, 'Agri_land '!$E$1:$ZZ$1, 0))</f>
        <v>48.833008372519785</v>
      </c>
      <c r="J367">
        <f>INDEX(Cereal_Yield!$E:$ZZ, MATCH(A367, Cereal_Yield!$C:$C, 0), MATCH(B367, Cereal_Yield!$E$1:$ZZ$1, 0))</f>
        <v>6723.2</v>
      </c>
    </row>
    <row r="368" spans="1:10" x14ac:dyDescent="0.3">
      <c r="A368" t="s">
        <v>20</v>
      </c>
      <c r="B368" s="4">
        <v>2006</v>
      </c>
      <c r="C368" t="s">
        <v>49</v>
      </c>
      <c r="D368" s="8">
        <f>INDEX(GDP_pc!$E:$ZZ, MATCH(A368, GDP_pc!$C:$C, 0), MATCH(B368, GDP_pc!$E$1:$ZZ$1, 0))</f>
        <v>3046308753670.584</v>
      </c>
      <c r="E368">
        <f>INDEX(CH4_Em!$E:$ZZ, MATCH(A368, CH4_Em!$C:$C, 0), MATCH(B368, CH4_Em!$E$1:$ZZ$1, 0))</f>
        <v>37.950400000000002</v>
      </c>
      <c r="F368">
        <f>INDEX(N2O_Em!$E:$ZZ, MATCH(A368, N2O_Em!$C:$C, 0), MATCH(B368, N2O_Em!$E$1:$ZZ$1, 0))</f>
        <v>24.3249</v>
      </c>
      <c r="G368">
        <f>INDEX(CO2_Em!$E:$ZZ, MATCH(A368, CO2_Em!$C:$C, 0), MATCH(B368, CO2_Em!$E$1:$ZZ$1, 0))</f>
        <v>0.82879999999999998</v>
      </c>
      <c r="H368">
        <f>INDEX(Agri_VA!$E:$ZZ, MATCH(A368, Agri_VA!$C:$C, 0), MATCH(B368, Agri_VA!$E$1:$ZZ$1, 0))</f>
        <v>0.71659975764370332</v>
      </c>
      <c r="I368" s="6">
        <f>INDEX('Agri_land '!$E:$ZZ, MATCH(A368, 'Agri_land '!$C:$C, 0), MATCH(B368, 'Agri_land '!$E$1:$ZZ$1, 0))</f>
        <v>48.594861206698788</v>
      </c>
      <c r="J368">
        <f>INDEX(Cereal_Yield!$E:$ZZ, MATCH(A368, Cereal_Yield!$C:$C, 0), MATCH(B368, Cereal_Yield!$E$1:$ZZ$1, 0))</f>
        <v>6486.6</v>
      </c>
    </row>
    <row r="369" spans="1:10" x14ac:dyDescent="0.3">
      <c r="A369" t="s">
        <v>20</v>
      </c>
      <c r="B369" s="4">
        <v>2007</v>
      </c>
      <c r="C369" t="s">
        <v>49</v>
      </c>
      <c r="D369" s="8">
        <f>INDEX(GDP_pc!$E:$ZZ, MATCH(A369, GDP_pc!$C:$C, 0), MATCH(B369, GDP_pc!$E$1:$ZZ$1, 0))</f>
        <v>3484056680854.9131</v>
      </c>
      <c r="E369">
        <f>INDEX(CH4_Em!$E:$ZZ, MATCH(A369, CH4_Em!$C:$C, 0), MATCH(B369, CH4_Em!$E$1:$ZZ$1, 0))</f>
        <v>38.149799999999999</v>
      </c>
      <c r="F369">
        <f>INDEX(N2O_Em!$E:$ZZ, MATCH(A369, N2O_Em!$C:$C, 0), MATCH(B369, N2O_Em!$E$1:$ZZ$1, 0))</f>
        <v>25.284300000000002</v>
      </c>
      <c r="G369">
        <f>INDEX(CO2_Em!$E:$ZZ, MATCH(A369, CO2_Em!$C:$C, 0), MATCH(B369, CO2_Em!$E$1:$ZZ$1, 0))</f>
        <v>0.874</v>
      </c>
      <c r="H369">
        <f>INDEX(Agri_VA!$E:$ZZ, MATCH(A369, Agri_VA!$C:$C, 0), MATCH(B369, Agri_VA!$E$1:$ZZ$1, 0))</f>
        <v>0.822076767549622</v>
      </c>
      <c r="I369" s="6">
        <f>INDEX('Agri_land '!$E:$ZZ, MATCH(A369, 'Agri_land '!$C:$C, 0), MATCH(B369, 'Agri_land '!$E$1:$ZZ$1, 0))</f>
        <v>48.613301976080535</v>
      </c>
      <c r="J369">
        <f>INDEX(Cereal_Yield!$E:$ZZ, MATCH(A369, Cereal_Yield!$C:$C, 0), MATCH(B369, Cereal_Yield!$E$1:$ZZ$1, 0))</f>
        <v>6182.9</v>
      </c>
    </row>
    <row r="370" spans="1:10" x14ac:dyDescent="0.3">
      <c r="A370" t="s">
        <v>20</v>
      </c>
      <c r="B370" s="4">
        <v>2008</v>
      </c>
      <c r="C370" t="s">
        <v>49</v>
      </c>
      <c r="D370" s="8">
        <f>INDEX(GDP_pc!$E:$ZZ, MATCH(A370, GDP_pc!$C:$C, 0), MATCH(B370, GDP_pc!$E$1:$ZZ$1, 0))</f>
        <v>3808197720124.999</v>
      </c>
      <c r="E370">
        <f>INDEX(CH4_Em!$E:$ZZ, MATCH(A370, CH4_Em!$C:$C, 0), MATCH(B370, CH4_Em!$E$1:$ZZ$1, 0))</f>
        <v>39.169499999999999</v>
      </c>
      <c r="F370">
        <f>INDEX(N2O_Em!$E:$ZZ, MATCH(A370, N2O_Em!$C:$C, 0), MATCH(B370, N2O_Em!$E$1:$ZZ$1, 0))</f>
        <v>24.6096</v>
      </c>
      <c r="G370">
        <f>INDEX(CO2_Em!$E:$ZZ, MATCH(A370, CO2_Em!$C:$C, 0), MATCH(B370, CO2_Em!$E$1:$ZZ$1, 0))</f>
        <v>1.0092000000000001</v>
      </c>
      <c r="H370">
        <f>INDEX(Agri_VA!$E:$ZZ, MATCH(A370, Agri_VA!$C:$C, 0), MATCH(B370, Agri_VA!$E$1:$ZZ$1, 0))</f>
        <v>0.83702805413087811</v>
      </c>
      <c r="I370" s="6">
        <f>INDEX('Agri_land '!$E:$ZZ, MATCH(A370, 'Agri_land '!$C:$C, 0), MATCH(B370, 'Agri_land '!$E$1:$ZZ$1, 0))</f>
        <v>48.535696870607808</v>
      </c>
      <c r="J370">
        <f>INDEX(Cereal_Yield!$E:$ZZ, MATCH(A370, Cereal_Yield!$C:$C, 0), MATCH(B370, Cereal_Yield!$E$1:$ZZ$1, 0))</f>
        <v>7118.8</v>
      </c>
    </row>
    <row r="371" spans="1:10" x14ac:dyDescent="0.3">
      <c r="A371" t="s">
        <v>20</v>
      </c>
      <c r="B371" s="4">
        <v>2009</v>
      </c>
      <c r="C371" t="s">
        <v>49</v>
      </c>
      <c r="D371" s="8">
        <f>INDEX(GDP_pc!$E:$ZZ, MATCH(A371, GDP_pc!$C:$C, 0), MATCH(B371, GDP_pc!$E$1:$ZZ$1, 0))</f>
        <v>3478545516683.5913</v>
      </c>
      <c r="E371">
        <f>INDEX(CH4_Em!$E:$ZZ, MATCH(A371, CH4_Em!$C:$C, 0), MATCH(B371, CH4_Em!$E$1:$ZZ$1, 0))</f>
        <v>39.195</v>
      </c>
      <c r="F371">
        <f>INDEX(N2O_Em!$E:$ZZ, MATCH(A371, N2O_Em!$C:$C, 0), MATCH(B371, N2O_Em!$E$1:$ZZ$1, 0))</f>
        <v>24.583300000000001</v>
      </c>
      <c r="G371">
        <f>INDEX(CO2_Em!$E:$ZZ, MATCH(A371, CO2_Em!$C:$C, 0), MATCH(B371, CO2_Em!$E$1:$ZZ$1, 0))</f>
        <v>0.83289999999999997</v>
      </c>
      <c r="H371">
        <f>INDEX(Agri_VA!$E:$ZZ, MATCH(A371, Agri_VA!$C:$C, 0), MATCH(B371, Agri_VA!$E$1:$ZZ$1, 0))</f>
        <v>0.67041704591474638</v>
      </c>
      <c r="I371" s="6">
        <f>INDEX('Agri_land '!$E:$ZZ, MATCH(A371, 'Agri_land '!$C:$C, 0), MATCH(B371, 'Agri_land '!$E$1:$ZZ$1, 0))</f>
        <v>48.438082671179828</v>
      </c>
      <c r="J371">
        <f>INDEX(Cereal_Yield!$E:$ZZ, MATCH(A371, Cereal_Yield!$C:$C, 0), MATCH(B371, Cereal_Yield!$E$1:$ZZ$1, 0))</f>
        <v>7201.4</v>
      </c>
    </row>
    <row r="372" spans="1:10" x14ac:dyDescent="0.3">
      <c r="A372" t="s">
        <v>20</v>
      </c>
      <c r="B372" s="4">
        <v>2010</v>
      </c>
      <c r="C372" t="s">
        <v>49</v>
      </c>
      <c r="D372" s="8">
        <f>INDEX(GDP_pc!$E:$ZZ, MATCH(A372, GDP_pc!$C:$C, 0), MATCH(B372, GDP_pc!$E$1:$ZZ$1, 0))</f>
        <v>3467093769666.6733</v>
      </c>
      <c r="E372">
        <f>INDEX(CH4_Em!$E:$ZZ, MATCH(A372, CH4_Em!$C:$C, 0), MATCH(B372, CH4_Em!$E$1:$ZZ$1, 0))</f>
        <v>38.980800000000002</v>
      </c>
      <c r="F372">
        <f>INDEX(N2O_Em!$E:$ZZ, MATCH(A372, N2O_Em!$C:$C, 0), MATCH(B372, N2O_Em!$E$1:$ZZ$1, 0))</f>
        <v>25.3857</v>
      </c>
      <c r="G372">
        <f>INDEX(CO2_Em!$E:$ZZ, MATCH(A372, CO2_Em!$C:$C, 0), MATCH(B372, CO2_Em!$E$1:$ZZ$1, 0))</f>
        <v>1.0643</v>
      </c>
      <c r="H372">
        <f>INDEX(Agri_VA!$E:$ZZ, MATCH(A372, Agri_VA!$C:$C, 0), MATCH(B372, Agri_VA!$E$1:$ZZ$1, 0))</f>
        <v>0.77598403218035683</v>
      </c>
      <c r="I372" s="6">
        <f>INDEX('Agri_land '!$E:$ZZ, MATCH(A372, 'Agri_land '!$C:$C, 0), MATCH(B372, 'Agri_land '!$E$1:$ZZ$1, 0))</f>
        <v>47.910032418165649</v>
      </c>
      <c r="J372">
        <f>INDEX(Cereal_Yield!$E:$ZZ, MATCH(A372, Cereal_Yield!$C:$C, 0), MATCH(B372, Cereal_Yield!$E$1:$ZZ$1, 0))</f>
        <v>6685.2</v>
      </c>
    </row>
    <row r="373" spans="1:10" x14ac:dyDescent="0.3">
      <c r="A373" t="s">
        <v>20</v>
      </c>
      <c r="B373" s="4">
        <v>2011</v>
      </c>
      <c r="C373" t="s">
        <v>49</v>
      </c>
      <c r="D373" s="8">
        <f>INDEX(GDP_pc!$E:$ZZ, MATCH(A373, GDP_pc!$C:$C, 0), MATCH(B373, GDP_pc!$E$1:$ZZ$1, 0))</f>
        <v>3823575803793.7817</v>
      </c>
      <c r="E373">
        <f>INDEX(CH4_Em!$E:$ZZ, MATCH(A373, CH4_Em!$C:$C, 0), MATCH(B373, CH4_Em!$E$1:$ZZ$1, 0))</f>
        <v>38.824100000000001</v>
      </c>
      <c r="F373">
        <f>INDEX(N2O_Em!$E:$ZZ, MATCH(A373, N2O_Em!$C:$C, 0), MATCH(B373, N2O_Em!$E$1:$ZZ$1, 0))</f>
        <v>24.546800000000001</v>
      </c>
      <c r="G373">
        <f>INDEX(CO2_Em!$E:$ZZ, MATCH(A373, CO2_Em!$C:$C, 0), MATCH(B373, CO2_Em!$E$1:$ZZ$1, 0))</f>
        <v>1.08</v>
      </c>
      <c r="H373">
        <f>INDEX(Agri_VA!$E:$ZZ, MATCH(A373, Agri_VA!$C:$C, 0), MATCH(B373, Agri_VA!$E$1:$ZZ$1, 0))</f>
        <v>0.92463895795639461</v>
      </c>
      <c r="I373" s="6">
        <f>INDEX('Agri_land '!$E:$ZZ, MATCH(A373, 'Agri_land '!$C:$C, 0), MATCH(B373, 'Agri_land '!$E$1:$ZZ$1, 0))</f>
        <v>47.965916915308696</v>
      </c>
      <c r="J373">
        <f>INDEX(Cereal_Yield!$E:$ZZ, MATCH(A373, Cereal_Yield!$C:$C, 0), MATCH(B373, Cereal_Yield!$E$1:$ZZ$1, 0))</f>
        <v>6458.3</v>
      </c>
    </row>
    <row r="374" spans="1:10" x14ac:dyDescent="0.3">
      <c r="A374" t="s">
        <v>20</v>
      </c>
      <c r="B374" s="4">
        <v>2012</v>
      </c>
      <c r="C374" t="s">
        <v>49</v>
      </c>
      <c r="D374" s="8">
        <f>INDEX(GDP_pc!$E:$ZZ, MATCH(A374, GDP_pc!$C:$C, 0), MATCH(B374, GDP_pc!$E$1:$ZZ$1, 0))</f>
        <v>3596483233406.251</v>
      </c>
      <c r="E374">
        <f>INDEX(CH4_Em!$E:$ZZ, MATCH(A374, CH4_Em!$C:$C, 0), MATCH(B374, CH4_Em!$E$1:$ZZ$1, 0))</f>
        <v>39.008699999999997</v>
      </c>
      <c r="F374">
        <f>INDEX(N2O_Em!$E:$ZZ, MATCH(A374, N2O_Em!$C:$C, 0), MATCH(B374, N2O_Em!$E$1:$ZZ$1, 0))</f>
        <v>24.801500000000001</v>
      </c>
      <c r="G374">
        <f>INDEX(CO2_Em!$E:$ZZ, MATCH(A374, CO2_Em!$C:$C, 0), MATCH(B374, CO2_Em!$E$1:$ZZ$1, 0))</f>
        <v>1.0599000000000001</v>
      </c>
      <c r="H374">
        <f>INDEX(Agri_VA!$E:$ZZ, MATCH(A374, Agri_VA!$C:$C, 0), MATCH(B374, Agri_VA!$E$1:$ZZ$1, 0))</f>
        <v>0.91141293475465124</v>
      </c>
      <c r="I374" s="6">
        <f>INDEX('Agri_land '!$E:$ZZ, MATCH(A374, 'Agri_land '!$C:$C, 0), MATCH(B374, 'Agri_land '!$E$1:$ZZ$1, 0))</f>
        <v>47.810868193033798</v>
      </c>
      <c r="J374">
        <f>INDEX(Cereal_Yield!$E:$ZZ, MATCH(A374, Cereal_Yield!$C:$C, 0), MATCH(B374, Cereal_Yield!$E$1:$ZZ$1, 0))</f>
        <v>6964.9</v>
      </c>
    </row>
    <row r="375" spans="1:10" x14ac:dyDescent="0.3">
      <c r="A375" t="s">
        <v>20</v>
      </c>
      <c r="B375" s="4">
        <v>2013</v>
      </c>
      <c r="C375" t="s">
        <v>49</v>
      </c>
      <c r="D375" s="8">
        <f>INDEX(GDP_pc!$E:$ZZ, MATCH(A375, GDP_pc!$C:$C, 0), MATCH(B375, GDP_pc!$E$1:$ZZ$1, 0))</f>
        <v>3807023797050.9912</v>
      </c>
      <c r="E375">
        <f>INDEX(CH4_Em!$E:$ZZ, MATCH(A375, CH4_Em!$C:$C, 0), MATCH(B375, CH4_Em!$E$1:$ZZ$1, 0))</f>
        <v>39.458500000000001</v>
      </c>
      <c r="F375">
        <f>INDEX(N2O_Em!$E:$ZZ, MATCH(A375, N2O_Em!$C:$C, 0), MATCH(B375, N2O_Em!$E$1:$ZZ$1, 0))</f>
        <v>25.224599999999999</v>
      </c>
      <c r="G375">
        <f>INDEX(CO2_Em!$E:$ZZ, MATCH(A375, CO2_Em!$C:$C, 0), MATCH(B375, CO2_Em!$E$1:$ZZ$1, 0))</f>
        <v>1.1040000000000001</v>
      </c>
      <c r="H375">
        <f>INDEX(Agri_VA!$E:$ZZ, MATCH(A375, Agri_VA!$C:$C, 0), MATCH(B375, Agri_VA!$E$1:$ZZ$1, 0))</f>
        <v>0.92713013870670646</v>
      </c>
      <c r="I375" s="6">
        <f>INDEX('Agri_land '!$E:$ZZ, MATCH(A375, 'Agri_land '!$C:$C, 0), MATCH(B375, 'Agri_land '!$E$1:$ZZ$1, 0))</f>
        <v>47.858862646182068</v>
      </c>
      <c r="J375">
        <f>INDEX(Cereal_Yield!$E:$ZZ, MATCH(A375, Cereal_Yield!$C:$C, 0), MATCH(B375, Cereal_Yield!$E$1:$ZZ$1, 0))</f>
        <v>7318</v>
      </c>
    </row>
    <row r="376" spans="1:10" x14ac:dyDescent="0.3">
      <c r="A376" t="s">
        <v>20</v>
      </c>
      <c r="B376" s="4">
        <v>2014</v>
      </c>
      <c r="C376" t="s">
        <v>49</v>
      </c>
      <c r="D376" s="8">
        <f>INDEX(GDP_pc!$E:$ZZ, MATCH(A376, GDP_pc!$C:$C, 0), MATCH(B376, GDP_pc!$E$1:$ZZ$1, 0))</f>
        <v>3964870735760.7705</v>
      </c>
      <c r="E376">
        <f>INDEX(CH4_Em!$E:$ZZ, MATCH(A376, CH4_Em!$C:$C, 0), MATCH(B376, CH4_Em!$E$1:$ZZ$1, 0))</f>
        <v>39.656300000000002</v>
      </c>
      <c r="F376">
        <f>INDEX(N2O_Em!$E:$ZZ, MATCH(A376, N2O_Em!$C:$C, 0), MATCH(B376, N2O_Em!$E$1:$ZZ$1, 0))</f>
        <v>26.166499999999999</v>
      </c>
      <c r="G376">
        <f>INDEX(CO2_Em!$E:$ZZ, MATCH(A376, CO2_Em!$C:$C, 0), MATCH(B376, CO2_Em!$E$1:$ZZ$1, 0))</f>
        <v>1.1969000000000001</v>
      </c>
      <c r="H376">
        <f>INDEX(Agri_VA!$E:$ZZ, MATCH(A376, Agri_VA!$C:$C, 0), MATCH(B376, Agri_VA!$E$1:$ZZ$1, 0))</f>
        <v>0.91560645608768054</v>
      </c>
      <c r="I376" s="6">
        <f>INDEX('Agri_land '!$E:$ZZ, MATCH(A376, 'Agri_land '!$C:$C, 0), MATCH(B376, 'Agri_land '!$E$1:$ZZ$1, 0))</f>
        <v>47.936371453138435</v>
      </c>
      <c r="J376">
        <f>INDEX(Cereal_Yield!$E:$ZZ, MATCH(A376, Cereal_Yield!$C:$C, 0), MATCH(B376, Cereal_Yield!$E$1:$ZZ$1, 0))</f>
        <v>8050.3</v>
      </c>
    </row>
    <row r="377" spans="1:10" x14ac:dyDescent="0.3">
      <c r="A377" t="s">
        <v>20</v>
      </c>
      <c r="B377" s="4">
        <v>2015</v>
      </c>
      <c r="C377" t="s">
        <v>49</v>
      </c>
      <c r="D377" s="8">
        <f>INDEX(GDP_pc!$E:$ZZ, MATCH(A377, GDP_pc!$C:$C, 0), MATCH(B377, GDP_pc!$E$1:$ZZ$1, 0))</f>
        <v>3425099578746.0918</v>
      </c>
      <c r="E377">
        <f>INDEX(CH4_Em!$E:$ZZ, MATCH(A377, CH4_Em!$C:$C, 0), MATCH(B377, CH4_Em!$E$1:$ZZ$1, 0))</f>
        <v>39.626100000000001</v>
      </c>
      <c r="F377">
        <f>INDEX(N2O_Em!$E:$ZZ, MATCH(A377, N2O_Em!$C:$C, 0), MATCH(B377, N2O_Em!$E$1:$ZZ$1, 0))</f>
        <v>25.4696</v>
      </c>
      <c r="G377">
        <f>INDEX(CO2_Em!$E:$ZZ, MATCH(A377, CO2_Em!$C:$C, 0), MATCH(B377, CO2_Em!$E$1:$ZZ$1, 0))</f>
        <v>1.2637</v>
      </c>
      <c r="H377">
        <f>INDEX(Agri_VA!$E:$ZZ, MATCH(A377, Agri_VA!$C:$C, 0), MATCH(B377, Agri_VA!$E$1:$ZZ$1, 0))</f>
        <v>0.70851271286641204</v>
      </c>
      <c r="I377" s="6">
        <f>INDEX('Agri_land '!$E:$ZZ, MATCH(A377, 'Agri_land '!$C:$C, 0), MATCH(B377, 'Agri_land '!$E$1:$ZZ$1, 0))</f>
        <v>47.959066674310613</v>
      </c>
      <c r="J377">
        <f>INDEX(Cereal_Yield!$E:$ZZ, MATCH(A377, Cereal_Yield!$C:$C, 0), MATCH(B377, Cereal_Yield!$E$1:$ZZ$1, 0))</f>
        <v>7497.8</v>
      </c>
    </row>
    <row r="378" spans="1:10" x14ac:dyDescent="0.3">
      <c r="A378" t="s">
        <v>20</v>
      </c>
      <c r="B378" s="4">
        <v>2016</v>
      </c>
      <c r="C378" t="s">
        <v>49</v>
      </c>
      <c r="D378" s="8">
        <f>INDEX(GDP_pc!$E:$ZZ, MATCH(A378, GDP_pc!$C:$C, 0), MATCH(B378, GDP_pc!$E$1:$ZZ$1, 0))</f>
        <v>3536787895178.9971</v>
      </c>
      <c r="E378">
        <f>INDEX(CH4_Em!$E:$ZZ, MATCH(A378, CH4_Em!$C:$C, 0), MATCH(B378, CH4_Em!$E$1:$ZZ$1, 0))</f>
        <v>39.299700000000001</v>
      </c>
      <c r="F378">
        <f>INDEX(N2O_Em!$E:$ZZ, MATCH(A378, N2O_Em!$C:$C, 0), MATCH(B378, N2O_Em!$E$1:$ZZ$1, 0))</f>
        <v>24.97</v>
      </c>
      <c r="G378">
        <f>INDEX(CO2_Em!$E:$ZZ, MATCH(A378, CO2_Em!$C:$C, 0), MATCH(B378, CO2_Em!$E$1:$ZZ$1, 0))</f>
        <v>1.1919999999999999</v>
      </c>
      <c r="H378">
        <f>INDEX(Agri_VA!$E:$ZZ, MATCH(A378, Agri_VA!$C:$C, 0), MATCH(B378, Agri_VA!$E$1:$ZZ$1, 0))</f>
        <v>0.73053101361099892</v>
      </c>
      <c r="I378" s="6">
        <f>INDEX('Agri_land '!$E:$ZZ, MATCH(A378, 'Agri_land '!$C:$C, 0), MATCH(B378, 'Agri_land '!$E$1:$ZZ$1, 0))</f>
        <v>47.684337073505837</v>
      </c>
      <c r="J378">
        <f>INDEX(Cereal_Yield!$E:$ZZ, MATCH(A378, Cereal_Yield!$C:$C, 0), MATCH(B378, Cereal_Yield!$E$1:$ZZ$1, 0))</f>
        <v>7182.1</v>
      </c>
    </row>
    <row r="379" spans="1:10" x14ac:dyDescent="0.3">
      <c r="A379" t="s">
        <v>20</v>
      </c>
      <c r="B379" s="4">
        <v>2017</v>
      </c>
      <c r="C379" t="s">
        <v>49</v>
      </c>
      <c r="D379" s="8">
        <f>INDEX(GDP_pc!$E:$ZZ, MATCH(A379, GDP_pc!$C:$C, 0), MATCH(B379, GDP_pc!$E$1:$ZZ$1, 0))</f>
        <v>3765351626105.8887</v>
      </c>
      <c r="E379">
        <f>INDEX(CH4_Em!$E:$ZZ, MATCH(A379, CH4_Em!$C:$C, 0), MATCH(B379, CH4_Em!$E$1:$ZZ$1, 0))</f>
        <v>38.988</v>
      </c>
      <c r="F379">
        <f>INDEX(N2O_Em!$E:$ZZ, MATCH(A379, N2O_Em!$C:$C, 0), MATCH(B379, N2O_Em!$E$1:$ZZ$1, 0))</f>
        <v>24.1144</v>
      </c>
      <c r="G379">
        <f>INDEX(CO2_Em!$E:$ZZ, MATCH(A379, CO2_Em!$C:$C, 0), MATCH(B379, CO2_Em!$E$1:$ZZ$1, 0))</f>
        <v>1.2335</v>
      </c>
      <c r="H379">
        <f>INDEX(Agri_VA!$E:$ZZ, MATCH(A379, Agri_VA!$C:$C, 0), MATCH(B379, Agri_VA!$E$1:$ZZ$1, 0))</f>
        <v>0.86000762051057411</v>
      </c>
      <c r="I379" s="6">
        <f>INDEX('Agri_land '!$E:$ZZ, MATCH(A379, 'Agri_land '!$C:$C, 0), MATCH(B379, 'Agri_land '!$E$1:$ZZ$1, 0))</f>
        <v>47.763116466783067</v>
      </c>
      <c r="J379">
        <f>INDEX(Cereal_Yield!$E:$ZZ, MATCH(A379, Cereal_Yield!$C:$C, 0), MATCH(B379, Cereal_Yield!$E$1:$ZZ$1, 0))</f>
        <v>7269.9</v>
      </c>
    </row>
    <row r="380" spans="1:10" x14ac:dyDescent="0.3">
      <c r="A380" t="s">
        <v>20</v>
      </c>
      <c r="B380" s="4">
        <v>2018</v>
      </c>
      <c r="C380" t="s">
        <v>49</v>
      </c>
      <c r="D380" s="8">
        <f>INDEX(GDP_pc!$E:$ZZ, MATCH(A380, GDP_pc!$C:$C, 0), MATCH(B380, GDP_pc!$E$1:$ZZ$1, 0))</f>
        <v>4055433215301.958</v>
      </c>
      <c r="E380">
        <f>INDEX(CH4_Em!$E:$ZZ, MATCH(A380, CH4_Em!$C:$C, 0), MATCH(B380, CH4_Em!$E$1:$ZZ$1, 0))</f>
        <v>37.938800000000001</v>
      </c>
      <c r="F380">
        <f>INDEX(N2O_Em!$E:$ZZ, MATCH(A380, N2O_Em!$C:$C, 0), MATCH(B380, N2O_Em!$E$1:$ZZ$1, 0))</f>
        <v>22.714500000000001</v>
      </c>
      <c r="G380">
        <f>INDEX(CO2_Em!$E:$ZZ, MATCH(A380, CO2_Em!$C:$C, 0), MATCH(B380, CO2_Em!$E$1:$ZZ$1, 0))</f>
        <v>0.88560000000000005</v>
      </c>
      <c r="H380">
        <f>INDEX(Agri_VA!$E:$ZZ, MATCH(A380, Agri_VA!$C:$C, 0), MATCH(B380, Agri_VA!$E$1:$ZZ$1, 0))</f>
        <v>0.74245128901028823</v>
      </c>
      <c r="I380" s="6">
        <f>INDEX('Agri_land '!$E:$ZZ, MATCH(A380, 'Agri_land '!$C:$C, 0), MATCH(B380, 'Agri_land '!$E$1:$ZZ$1, 0))</f>
        <v>47.641536435972291</v>
      </c>
      <c r="J380">
        <f>INDEX(Cereal_Yield!$E:$ZZ, MATCH(A380, Cereal_Yield!$C:$C, 0), MATCH(B380, Cereal_Yield!$E$1:$ZZ$1, 0))</f>
        <v>6178.9</v>
      </c>
    </row>
    <row r="381" spans="1:10" x14ac:dyDescent="0.3">
      <c r="A381" t="s">
        <v>20</v>
      </c>
      <c r="B381" s="4">
        <v>2019</v>
      </c>
      <c r="C381" t="s">
        <v>49</v>
      </c>
      <c r="D381" s="8">
        <f>INDEX(GDP_pc!$E:$ZZ, MATCH(A381, GDP_pc!$C:$C, 0), MATCH(B381, GDP_pc!$E$1:$ZZ$1, 0))</f>
        <v>3959894794039.2095</v>
      </c>
      <c r="E381">
        <f>INDEX(CH4_Em!$E:$ZZ, MATCH(A381, CH4_Em!$C:$C, 0), MATCH(B381, CH4_Em!$E$1:$ZZ$1, 0))</f>
        <v>37.1083</v>
      </c>
      <c r="F381">
        <f>INDEX(N2O_Em!$E:$ZZ, MATCH(A381, N2O_Em!$C:$C, 0), MATCH(B381, N2O_Em!$E$1:$ZZ$1, 0))</f>
        <v>22.9741</v>
      </c>
      <c r="G381">
        <f>INDEX(CO2_Em!$E:$ZZ, MATCH(A381, CO2_Em!$C:$C, 0), MATCH(B381, CO2_Em!$E$1:$ZZ$1, 0))</f>
        <v>0.84019999999999995</v>
      </c>
      <c r="H381">
        <f>INDEX(Agri_VA!$E:$ZZ, MATCH(A381, Agri_VA!$C:$C, 0), MATCH(B381, Agri_VA!$E$1:$ZZ$1, 0))</f>
        <v>0.83312601773113815</v>
      </c>
      <c r="I381" s="6">
        <f>INDEX('Agri_land '!$E:$ZZ, MATCH(A381, 'Agri_land '!$C:$C, 0), MATCH(B381, 'Agri_land '!$E$1:$ZZ$1, 0))</f>
        <v>47.700277626720855</v>
      </c>
      <c r="J381">
        <f>INDEX(Cereal_Yield!$E:$ZZ, MATCH(A381, Cereal_Yield!$C:$C, 0), MATCH(B381, Cereal_Yield!$E$1:$ZZ$1, 0))</f>
        <v>6952</v>
      </c>
    </row>
    <row r="382" spans="1:10" x14ac:dyDescent="0.3">
      <c r="A382" t="s">
        <v>20</v>
      </c>
      <c r="B382" s="4">
        <v>2020</v>
      </c>
      <c r="C382" t="s">
        <v>49</v>
      </c>
      <c r="D382" s="8">
        <f>INDEX(GDP_pc!$E:$ZZ, MATCH(A382, GDP_pc!$C:$C, 0), MATCH(B382, GDP_pc!$E$1:$ZZ$1, 0))</f>
        <v>3941398957073.9409</v>
      </c>
      <c r="E382">
        <f>INDEX(CH4_Em!$E:$ZZ, MATCH(A382, CH4_Em!$C:$C, 0), MATCH(B382, CH4_Em!$E$1:$ZZ$1, 0))</f>
        <v>36.294800000000002</v>
      </c>
      <c r="F382">
        <f>INDEX(N2O_Em!$E:$ZZ, MATCH(A382, N2O_Em!$C:$C, 0), MATCH(B382, N2O_Em!$E$1:$ZZ$1, 0))</f>
        <v>22.207599999999999</v>
      </c>
      <c r="G382">
        <f>INDEX(CO2_Em!$E:$ZZ, MATCH(A382, CO2_Em!$C:$C, 0), MATCH(B382, CO2_Em!$E$1:$ZZ$1, 0))</f>
        <v>0.73429999999999995</v>
      </c>
      <c r="H382">
        <f>INDEX(Agri_VA!$E:$ZZ, MATCH(A382, Agri_VA!$C:$C, 0), MATCH(B382, Agri_VA!$E$1:$ZZ$1, 0))</f>
        <v>0.72865952612788054</v>
      </c>
      <c r="I382" s="6">
        <f>INDEX('Agri_land '!$E:$ZZ, MATCH(A382, 'Agri_land '!$C:$C, 0), MATCH(B382, 'Agri_land '!$E$1:$ZZ$1, 0))</f>
        <v>47.497066315578579</v>
      </c>
      <c r="J382">
        <f>INDEX(Cereal_Yield!$E:$ZZ, MATCH(A382, Cereal_Yield!$C:$C, 0), MATCH(B382, Cereal_Yield!$E$1:$ZZ$1, 0))</f>
        <v>7133.3</v>
      </c>
    </row>
    <row r="383" spans="1:10" x14ac:dyDescent="0.3">
      <c r="A383" t="s">
        <v>20</v>
      </c>
      <c r="B383" s="4">
        <v>2021</v>
      </c>
      <c r="C383" t="s">
        <v>49</v>
      </c>
      <c r="D383" s="8">
        <f>INDEX(GDP_pc!$E:$ZZ, MATCH(A383, GDP_pc!$C:$C, 0), MATCH(B383, GDP_pc!$E$1:$ZZ$1, 0))</f>
        <v>4355251953410.7827</v>
      </c>
      <c r="E383">
        <f>INDEX(CH4_Em!$E:$ZZ, MATCH(A383, CH4_Em!$C:$C, 0), MATCH(B383, CH4_Em!$E$1:$ZZ$1, 0))</f>
        <v>35.152900000000002</v>
      </c>
      <c r="F383">
        <f>INDEX(N2O_Em!$E:$ZZ, MATCH(A383, N2O_Em!$C:$C, 0), MATCH(B383, N2O_Em!$E$1:$ZZ$1, 0))</f>
        <v>20.992799999999999</v>
      </c>
      <c r="G383">
        <f>INDEX(CO2_Em!$E:$ZZ, MATCH(A383, CO2_Em!$C:$C, 0), MATCH(B383, CO2_Em!$E$1:$ZZ$1, 0))</f>
        <v>0.63119999999999998</v>
      </c>
      <c r="H383">
        <f>INDEX(Agri_VA!$E:$ZZ, MATCH(A383, Agri_VA!$C:$C, 0), MATCH(B383, Agri_VA!$E$1:$ZZ$1, 0))</f>
        <v>0.75389562071943383</v>
      </c>
      <c r="I383" s="6">
        <f>INDEX('Agri_land '!$E:$ZZ, MATCH(A383, 'Agri_land '!$C:$C, 0), MATCH(B383, 'Agri_land '!$E$1:$ZZ$1, 0))</f>
        <v>47.485617791007186</v>
      </c>
      <c r="J383">
        <f>INDEX(Cereal_Yield!$E:$ZZ, MATCH(A383, Cereal_Yield!$C:$C, 0), MATCH(B383, Cereal_Yield!$E$1:$ZZ$1, 0))</f>
        <v>6998.1</v>
      </c>
    </row>
    <row r="384" spans="1:10" x14ac:dyDescent="0.3">
      <c r="A384" t="s">
        <v>20</v>
      </c>
      <c r="B384" s="4">
        <v>2022</v>
      </c>
      <c r="C384" t="s">
        <v>49</v>
      </c>
      <c r="D384" s="8">
        <f>INDEX(GDP_pc!$E:$ZZ, MATCH(A384, GDP_pc!$C:$C, 0), MATCH(B384, GDP_pc!$E$1:$ZZ$1, 0))</f>
        <v>4201021706478.6157</v>
      </c>
      <c r="E384">
        <f>INDEX(CH4_Em!$E:$ZZ, MATCH(A384, CH4_Em!$C:$C, 0), MATCH(B384, CH4_Em!$E$1:$ZZ$1, 0))</f>
        <v>34.527099999999997</v>
      </c>
      <c r="F384">
        <f>INDEX(N2O_Em!$E:$ZZ, MATCH(A384, N2O_Em!$C:$C, 0), MATCH(B384, N2O_Em!$E$1:$ZZ$1, 0))</f>
        <v>20.530999999999999</v>
      </c>
      <c r="G384">
        <f>INDEX(CO2_Em!$E:$ZZ, MATCH(A384, CO2_Em!$C:$C, 0), MATCH(B384, CO2_Em!$E$1:$ZZ$1, 0))</f>
        <v>0.68079999999999996</v>
      </c>
      <c r="H384">
        <f>INDEX(Agri_VA!$E:$ZZ, MATCH(A384, Agri_VA!$C:$C, 0), MATCH(B384, Agri_VA!$E$1:$ZZ$1, 0))</f>
        <v>0.99463827803248117</v>
      </c>
      <c r="I384" s="6">
        <f>INDEX('Agri_land '!$E:$ZZ, MATCH(A384, 'Agri_land '!$C:$C, 0), MATCH(B384, 'Agri_land '!$E$1:$ZZ$1, 0))</f>
        <v>47.501144950767113</v>
      </c>
      <c r="J384">
        <f>INDEX(Cereal_Yield!$E:$ZZ, MATCH(A384, Cereal_Yield!$C:$C, 0), MATCH(B384, Cereal_Yield!$E$1:$ZZ$1, 0))</f>
        <v>7126.1</v>
      </c>
    </row>
    <row r="385" spans="1:10" x14ac:dyDescent="0.3">
      <c r="A385" t="s">
        <v>20</v>
      </c>
      <c r="B385" s="4">
        <v>2023</v>
      </c>
      <c r="C385" t="s">
        <v>49</v>
      </c>
      <c r="D385" s="8">
        <f>INDEX(GDP_pc!$E:$ZZ, MATCH(A385, GDP_pc!$C:$C, 0), MATCH(B385, GDP_pc!$E$1:$ZZ$1, 0))</f>
        <v>4562207532490.2764</v>
      </c>
      <c r="E385">
        <f>INDEX(CH4_Em!$E:$ZZ, MATCH(A385, CH4_Em!$C:$C, 0), MATCH(B385, CH4_Em!$E$1:$ZZ$1, 0))</f>
        <v>33.971899999999998</v>
      </c>
      <c r="F385">
        <f>INDEX(N2O_Em!$E:$ZZ, MATCH(A385, N2O_Em!$C:$C, 0), MATCH(B385, N2O_Em!$E$1:$ZZ$1, 0))</f>
        <v>19.9481</v>
      </c>
      <c r="G385">
        <f>INDEX(CO2_Em!$E:$ZZ, MATCH(A385, CO2_Em!$C:$C, 0), MATCH(B385, CO2_Em!$E$1:$ZZ$1, 0))</f>
        <v>0.65110000000000001</v>
      </c>
      <c r="H385">
        <f>INDEX(Agri_VA!$E:$ZZ, MATCH(A385, Agri_VA!$C:$C, 0), MATCH(B385, Agri_VA!$E$1:$ZZ$1, 0))</f>
        <v>0.92915666305628164</v>
      </c>
      <c r="I385" s="6">
        <f>INDEX('Agri_land '!$E:$ZZ, MATCH(A385, 'Agri_land '!$C:$C, 0), MATCH(B385, 'Agri_land '!$E$1:$ZZ$1, 0))</f>
        <v>47.465872993160289</v>
      </c>
      <c r="J385">
        <f>INDEX(Cereal_Yield!$E:$ZZ, MATCH(A385, Cereal_Yield!$C:$C, 0), MATCH(B385, Cereal_Yield!$E$1:$ZZ$1, 0))</f>
        <v>7007.3</v>
      </c>
    </row>
    <row r="386" spans="1:10" x14ac:dyDescent="0.3">
      <c r="A386" t="s">
        <v>21</v>
      </c>
      <c r="B386" s="4">
        <v>2000</v>
      </c>
      <c r="C386" t="s">
        <v>49</v>
      </c>
      <c r="D386" s="8">
        <f>INDEX(GDP_pc!$E:$ZZ, MATCH(A386, GDP_pc!$C:$C, 0), MATCH(B386, GDP_pc!$E$1:$ZZ$1, 0))</f>
        <v>125760166224.80498</v>
      </c>
      <c r="E386">
        <f>INDEX(CH4_Em!$E:$ZZ, MATCH(A386, CH4_Em!$C:$C, 0), MATCH(B386, CH4_Em!$E$1:$ZZ$1, 0))</f>
        <v>4.9269999999999996</v>
      </c>
      <c r="F386">
        <f>INDEX(N2O_Em!$E:$ZZ, MATCH(A386, N2O_Em!$C:$C, 0), MATCH(B386, N2O_Em!$E$1:$ZZ$1, 0))</f>
        <v>3.4104000000000001</v>
      </c>
      <c r="G386">
        <f>INDEX(CO2_Em!$E:$ZZ, MATCH(A386, CO2_Em!$C:$C, 0), MATCH(B386, CO2_Em!$E$1:$ZZ$1, 0))</f>
        <v>0.37190000000000001</v>
      </c>
      <c r="H386">
        <f>INDEX(Agri_VA!$E:$ZZ, MATCH(A386, Agri_VA!$C:$C, 0), MATCH(B386, Agri_VA!$E$1:$ZZ$1, 0))</f>
        <v>5.5025136351096746</v>
      </c>
      <c r="I386" s="6">
        <f>INDEX('Agri_land '!$E:$ZZ, MATCH(A386, 'Agri_land '!$C:$C, 0), MATCH(B386, 'Agri_land '!$E$1:$ZZ$1, 0))</f>
        <v>66.167571761055072</v>
      </c>
      <c r="J386">
        <f>INDEX(Cereal_Yield!$E:$ZZ, MATCH(A386, Cereal_Yield!$C:$C, 0), MATCH(B386, Cereal_Yield!$E$1:$ZZ$1, 0))</f>
        <v>3868.8</v>
      </c>
    </row>
    <row r="387" spans="1:10" x14ac:dyDescent="0.3">
      <c r="A387" t="s">
        <v>21</v>
      </c>
      <c r="B387" s="4">
        <v>2001</v>
      </c>
      <c r="C387" t="s">
        <v>49</v>
      </c>
      <c r="D387" s="8">
        <f>INDEX(GDP_pc!$E:$ZZ, MATCH(A387, GDP_pc!$C:$C, 0), MATCH(B387, GDP_pc!$E$1:$ZZ$1, 0))</f>
        <v>132050474720.03008</v>
      </c>
      <c r="E387">
        <f>INDEX(CH4_Em!$E:$ZZ, MATCH(A387, CH4_Em!$C:$C, 0), MATCH(B387, CH4_Em!$E$1:$ZZ$1, 0))</f>
        <v>4.8593999999999999</v>
      </c>
      <c r="F387">
        <f>INDEX(N2O_Em!$E:$ZZ, MATCH(A387, N2O_Em!$C:$C, 0), MATCH(B387, N2O_Em!$E$1:$ZZ$1, 0))</f>
        <v>3.2757000000000001</v>
      </c>
      <c r="G387">
        <f>INDEX(CO2_Em!$E:$ZZ, MATCH(A387, CO2_Em!$C:$C, 0), MATCH(B387, CO2_Em!$E$1:$ZZ$1, 0))</f>
        <v>0.33939999999999998</v>
      </c>
      <c r="H387">
        <f>INDEX(Agri_VA!$E:$ZZ, MATCH(A387, Agri_VA!$C:$C, 0), MATCH(B387, Agri_VA!$E$1:$ZZ$1, 0))</f>
        <v>5.3622194939777152</v>
      </c>
      <c r="I387" s="6">
        <f>INDEX('Agri_land '!$E:$ZZ, MATCH(A387, 'Agri_land '!$C:$C, 0), MATCH(B387, 'Agri_land '!$E$1:$ZZ$1, 0))</f>
        <v>65.461598138091546</v>
      </c>
      <c r="J387">
        <f>INDEX(Cereal_Yield!$E:$ZZ, MATCH(A387, Cereal_Yield!$C:$C, 0), MATCH(B387, Cereal_Yield!$E$1:$ZZ$1, 0))</f>
        <v>3847.6</v>
      </c>
    </row>
    <row r="388" spans="1:10" x14ac:dyDescent="0.3">
      <c r="A388" t="s">
        <v>21</v>
      </c>
      <c r="B388" s="4">
        <v>2002</v>
      </c>
      <c r="C388" t="s">
        <v>49</v>
      </c>
      <c r="D388" s="8">
        <f>INDEX(GDP_pc!$E:$ZZ, MATCH(A388, GDP_pc!$C:$C, 0), MATCH(B388, GDP_pc!$E$1:$ZZ$1, 0))</f>
        <v>150253800085.86459</v>
      </c>
      <c r="E388">
        <f>INDEX(CH4_Em!$E:$ZZ, MATCH(A388, CH4_Em!$C:$C, 0), MATCH(B388, CH4_Em!$E$1:$ZZ$1, 0))</f>
        <v>4.8658000000000001</v>
      </c>
      <c r="F388">
        <f>INDEX(N2O_Em!$E:$ZZ, MATCH(A388, N2O_Em!$C:$C, 0), MATCH(B388, N2O_Em!$E$1:$ZZ$1, 0))</f>
        <v>3.2387999999999999</v>
      </c>
      <c r="G388">
        <f>INDEX(CO2_Em!$E:$ZZ, MATCH(A388, CO2_Em!$C:$C, 0), MATCH(B388, CO2_Em!$E$1:$ZZ$1, 0))</f>
        <v>0.33</v>
      </c>
      <c r="H388">
        <f>INDEX(Agri_VA!$E:$ZZ, MATCH(A388, Agri_VA!$C:$C, 0), MATCH(B388, Agri_VA!$E$1:$ZZ$1, 0))</f>
        <v>5.2210315349955572</v>
      </c>
      <c r="I388" s="6">
        <f>INDEX('Agri_land '!$E:$ZZ, MATCH(A388, 'Agri_land '!$C:$C, 0), MATCH(B388, 'Agri_land '!$E$1:$ZZ$1, 0))</f>
        <v>64.724592707525204</v>
      </c>
      <c r="J388">
        <f>INDEX(Cereal_Yield!$E:$ZZ, MATCH(A388, Cereal_Yield!$C:$C, 0), MATCH(B388, Cereal_Yield!$E$1:$ZZ$1, 0))</f>
        <v>3747.2</v>
      </c>
    </row>
    <row r="389" spans="1:10" x14ac:dyDescent="0.3">
      <c r="A389" t="s">
        <v>21</v>
      </c>
      <c r="B389" s="4">
        <v>2003</v>
      </c>
      <c r="C389" t="s">
        <v>49</v>
      </c>
      <c r="D389" s="8">
        <f>INDEX(GDP_pc!$E:$ZZ, MATCH(A389, GDP_pc!$C:$C, 0), MATCH(B389, GDP_pc!$E$1:$ZZ$1, 0))</f>
        <v>196930509813.38431</v>
      </c>
      <c r="E389">
        <f>INDEX(CH4_Em!$E:$ZZ, MATCH(A389, CH4_Em!$C:$C, 0), MATCH(B389, CH4_Em!$E$1:$ZZ$1, 0))</f>
        <v>4.8261000000000003</v>
      </c>
      <c r="F389">
        <f>INDEX(N2O_Em!$E:$ZZ, MATCH(A389, N2O_Em!$C:$C, 0), MATCH(B389, N2O_Em!$E$1:$ZZ$1, 0))</f>
        <v>3.2738999999999998</v>
      </c>
      <c r="G389">
        <f>INDEX(CO2_Em!$E:$ZZ, MATCH(A389, CO2_Em!$C:$C, 0), MATCH(B389, CO2_Em!$E$1:$ZZ$1, 0))</f>
        <v>0.33310000000000001</v>
      </c>
      <c r="H389">
        <f>INDEX(Agri_VA!$E:$ZZ, MATCH(A389, Agri_VA!$C:$C, 0), MATCH(B389, Agri_VA!$E$1:$ZZ$1, 0))</f>
        <v>5.3240542693887951</v>
      </c>
      <c r="I389" s="6">
        <f>INDEX('Agri_land '!$E:$ZZ, MATCH(A389, 'Agri_land '!$C:$C, 0), MATCH(B389, 'Agri_land '!$E$1:$ZZ$1, 0))</f>
        <v>64.018619084561678</v>
      </c>
      <c r="J389">
        <f>INDEX(Cereal_Yield!$E:$ZZ, MATCH(A389, Cereal_Yield!$C:$C, 0), MATCH(B389, Cereal_Yield!$E$1:$ZZ$1, 0))</f>
        <v>3693.6</v>
      </c>
    </row>
    <row r="390" spans="1:10" x14ac:dyDescent="0.3">
      <c r="A390" t="s">
        <v>21</v>
      </c>
      <c r="B390" s="4">
        <v>2004</v>
      </c>
      <c r="C390" t="s">
        <v>49</v>
      </c>
      <c r="D390" s="8">
        <f>INDEX(GDP_pc!$E:$ZZ, MATCH(A390, GDP_pc!$C:$C, 0), MATCH(B390, GDP_pc!$E$1:$ZZ$1, 0))</f>
        <v>234979615898.22455</v>
      </c>
      <c r="E390">
        <f>INDEX(CH4_Em!$E:$ZZ, MATCH(A390, CH4_Em!$C:$C, 0), MATCH(B390, CH4_Em!$E$1:$ZZ$1, 0))</f>
        <v>4.8925000000000001</v>
      </c>
      <c r="F390">
        <f>INDEX(N2O_Em!$E:$ZZ, MATCH(A390, N2O_Em!$C:$C, 0), MATCH(B390, N2O_Em!$E$1:$ZZ$1, 0))</f>
        <v>3.1076999999999999</v>
      </c>
      <c r="G390">
        <f>INDEX(CO2_Em!$E:$ZZ, MATCH(A390, CO2_Em!$C:$C, 0), MATCH(B390, CO2_Em!$E$1:$ZZ$1, 0))</f>
        <v>0.29859999999999998</v>
      </c>
      <c r="H390">
        <f>INDEX(Agri_VA!$E:$ZZ, MATCH(A390, Agri_VA!$C:$C, 0), MATCH(B390, Agri_VA!$E$1:$ZZ$1, 0))</f>
        <v>4.5497053548552397</v>
      </c>
      <c r="I390" s="6">
        <f>INDEX('Agri_land '!$E:$ZZ, MATCH(A390, 'Agri_land '!$C:$C, 0), MATCH(B390, 'Agri_land '!$E$1:$ZZ$1, 0))</f>
        <v>62.684251357641585</v>
      </c>
      <c r="J390">
        <f>INDEX(Cereal_Yield!$E:$ZZ, MATCH(A390, Cereal_Yield!$C:$C, 0), MATCH(B390, Cereal_Yield!$E$1:$ZZ$1, 0))</f>
        <v>4017.4</v>
      </c>
    </row>
    <row r="391" spans="1:10" x14ac:dyDescent="0.3">
      <c r="A391" t="s">
        <v>21</v>
      </c>
      <c r="B391" s="4">
        <v>2005</v>
      </c>
      <c r="C391" t="s">
        <v>49</v>
      </c>
      <c r="D391" s="8">
        <f>INDEX(GDP_pc!$E:$ZZ, MATCH(A391, GDP_pc!$C:$C, 0), MATCH(B391, GDP_pc!$E$1:$ZZ$1, 0))</f>
        <v>242315668619.40533</v>
      </c>
      <c r="E391">
        <f>INDEX(CH4_Em!$E:$ZZ, MATCH(A391, CH4_Em!$C:$C, 0), MATCH(B391, CH4_Em!$E$1:$ZZ$1, 0))</f>
        <v>4.7919</v>
      </c>
      <c r="F391">
        <f>INDEX(N2O_Em!$E:$ZZ, MATCH(A391, N2O_Em!$C:$C, 0), MATCH(B391, N2O_Em!$E$1:$ZZ$1, 0))</f>
        <v>3.0764999999999998</v>
      </c>
      <c r="G391">
        <f>INDEX(CO2_Em!$E:$ZZ, MATCH(A391, CO2_Em!$C:$C, 0), MATCH(B391, CO2_Em!$E$1:$ZZ$1, 0))</f>
        <v>0.29859999999999998</v>
      </c>
      <c r="H391">
        <f>INDEX(Agri_VA!$E:$ZZ, MATCH(A391, Agri_VA!$C:$C, 0), MATCH(B391, Agri_VA!$E$1:$ZZ$1, 0))</f>
        <v>4.4771810989921672</v>
      </c>
      <c r="I391" s="6">
        <f>INDEX('Agri_land '!$E:$ZZ, MATCH(A391, 'Agri_land '!$C:$C, 0), MATCH(B391, 'Agri_land '!$E$1:$ZZ$1, 0))</f>
        <v>62.102404965089221</v>
      </c>
      <c r="J391">
        <f>INDEX(Cereal_Yield!$E:$ZZ, MATCH(A391, Cereal_Yield!$C:$C, 0), MATCH(B391, Cereal_Yield!$E$1:$ZZ$1, 0))</f>
        <v>4049.8</v>
      </c>
    </row>
    <row r="392" spans="1:10" x14ac:dyDescent="0.3">
      <c r="A392" t="s">
        <v>21</v>
      </c>
      <c r="B392" s="4">
        <v>2006</v>
      </c>
      <c r="C392" t="s">
        <v>49</v>
      </c>
      <c r="D392" s="8">
        <f>INDEX(GDP_pc!$E:$ZZ, MATCH(A392, GDP_pc!$C:$C, 0), MATCH(B392, GDP_pc!$E$1:$ZZ$1, 0))</f>
        <v>269073415333.67609</v>
      </c>
      <c r="E392">
        <f>INDEX(CH4_Em!$E:$ZZ, MATCH(A392, CH4_Em!$C:$C, 0), MATCH(B392, CH4_Em!$E$1:$ZZ$1, 0))</f>
        <v>4.8365</v>
      </c>
      <c r="F392">
        <f>INDEX(N2O_Em!$E:$ZZ, MATCH(A392, N2O_Em!$C:$C, 0), MATCH(B392, N2O_Em!$E$1:$ZZ$1, 0))</f>
        <v>2.9531999999999998</v>
      </c>
      <c r="G392">
        <f>INDEX(CO2_Em!$E:$ZZ, MATCH(A392, CO2_Em!$C:$C, 0), MATCH(B392, CO2_Em!$E$1:$ZZ$1, 0))</f>
        <v>0.253</v>
      </c>
      <c r="H392">
        <f>INDEX(Agri_VA!$E:$ZZ, MATCH(A392, Agri_VA!$C:$C, 0), MATCH(B392, Agri_VA!$E$1:$ZZ$1, 0))</f>
        <v>3.2855767441616295</v>
      </c>
      <c r="I392" s="6">
        <f>INDEX('Agri_land '!$E:$ZZ, MATCH(A392, 'Agri_land '!$C:$C, 0), MATCH(B392, 'Agri_land '!$E$1:$ZZ$1, 0))</f>
        <v>61.000775795190066</v>
      </c>
      <c r="J392">
        <f>INDEX(Cereal_Yield!$E:$ZZ, MATCH(A392, Cereal_Yield!$C:$C, 0), MATCH(B392, Cereal_Yield!$E$1:$ZZ$1, 0))</f>
        <v>3918.9</v>
      </c>
    </row>
    <row r="393" spans="1:10" x14ac:dyDescent="0.3">
      <c r="A393" t="s">
        <v>21</v>
      </c>
      <c r="B393" s="4">
        <v>2007</v>
      </c>
      <c r="C393" t="s">
        <v>49</v>
      </c>
      <c r="D393" s="8">
        <f>INDEX(GDP_pc!$E:$ZZ, MATCH(A393, GDP_pc!$C:$C, 0), MATCH(B393, GDP_pc!$E$1:$ZZ$1, 0))</f>
        <v>314226996944.10803</v>
      </c>
      <c r="E393">
        <f>INDEX(CH4_Em!$E:$ZZ, MATCH(A393, CH4_Em!$C:$C, 0), MATCH(B393, CH4_Em!$E$1:$ZZ$1, 0))</f>
        <v>4.9198000000000004</v>
      </c>
      <c r="F393">
        <f>INDEX(N2O_Em!$E:$ZZ, MATCH(A393, N2O_Em!$C:$C, 0), MATCH(B393, N2O_Em!$E$1:$ZZ$1, 0))</f>
        <v>2.9996</v>
      </c>
      <c r="G393">
        <f>INDEX(CO2_Em!$E:$ZZ, MATCH(A393, CO2_Em!$C:$C, 0), MATCH(B393, CO2_Em!$E$1:$ZZ$1, 0))</f>
        <v>0.24199999999999999</v>
      </c>
      <c r="H393">
        <f>INDEX(Agri_VA!$E:$ZZ, MATCH(A393, Agri_VA!$C:$C, 0), MATCH(B393, Agri_VA!$E$1:$ZZ$1, 0))</f>
        <v>3.1547429816214665</v>
      </c>
      <c r="I393" s="6">
        <f>INDEX('Agri_land '!$E:$ZZ, MATCH(A393, 'Agri_land '!$C:$C, 0), MATCH(B393, 'Agri_land '!$E$1:$ZZ$1, 0))</f>
        <v>60.147401086113263</v>
      </c>
      <c r="J393">
        <f>INDEX(Cereal_Yield!$E:$ZZ, MATCH(A393, Cereal_Yield!$C:$C, 0), MATCH(B393, Cereal_Yield!$E$1:$ZZ$1, 0))</f>
        <v>3929.9</v>
      </c>
    </row>
    <row r="394" spans="1:10" x14ac:dyDescent="0.3">
      <c r="A394" t="s">
        <v>21</v>
      </c>
      <c r="B394" s="4">
        <v>2008</v>
      </c>
      <c r="C394" t="s">
        <v>49</v>
      </c>
      <c r="D394" s="8">
        <f>INDEX(GDP_pc!$E:$ZZ, MATCH(A394, GDP_pc!$C:$C, 0), MATCH(B394, GDP_pc!$E$1:$ZZ$1, 0))</f>
        <v>351121399546.48511</v>
      </c>
      <c r="E394">
        <f>INDEX(CH4_Em!$E:$ZZ, MATCH(A394, CH4_Em!$C:$C, 0), MATCH(B394, CH4_Em!$E$1:$ZZ$1, 0))</f>
        <v>4.9574999999999996</v>
      </c>
      <c r="F394">
        <f>INDEX(N2O_Em!$E:$ZZ, MATCH(A394, N2O_Em!$C:$C, 0), MATCH(B394, N2O_Em!$E$1:$ZZ$1, 0))</f>
        <v>2.7004999999999999</v>
      </c>
      <c r="G394">
        <f>INDEX(CO2_Em!$E:$ZZ, MATCH(A394, CO2_Em!$C:$C, 0), MATCH(B394, CO2_Em!$E$1:$ZZ$1, 0))</f>
        <v>0.14460000000000001</v>
      </c>
      <c r="H394">
        <f>INDEX(Agri_VA!$E:$ZZ, MATCH(A394, Agri_VA!$C:$C, 0), MATCH(B394, Agri_VA!$E$1:$ZZ$1, 0))</f>
        <v>2.895058677158159</v>
      </c>
      <c r="I394" s="6">
        <f>INDEX('Agri_land '!$E:$ZZ, MATCH(A394, 'Agri_land '!$C:$C, 0), MATCH(B394, 'Agri_land '!$E$1:$ZZ$1, 0))</f>
        <v>59.402637703646235</v>
      </c>
      <c r="J394">
        <f>INDEX(Cereal_Yield!$E:$ZZ, MATCH(A394, Cereal_Yield!$C:$C, 0), MATCH(B394, Cereal_Yield!$E$1:$ZZ$1, 0))</f>
        <v>4515.8</v>
      </c>
    </row>
    <row r="395" spans="1:10" x14ac:dyDescent="0.3">
      <c r="A395" t="s">
        <v>21</v>
      </c>
      <c r="B395" s="4">
        <v>2009</v>
      </c>
      <c r="C395" t="s">
        <v>49</v>
      </c>
      <c r="D395" s="8">
        <f>INDEX(GDP_pc!$E:$ZZ, MATCH(A395, GDP_pc!$C:$C, 0), MATCH(B395, GDP_pc!$E$1:$ZZ$1, 0))</f>
        <v>326829054686.30603</v>
      </c>
      <c r="E395">
        <f>INDEX(CH4_Em!$E:$ZZ, MATCH(A395, CH4_Em!$C:$C, 0), MATCH(B395, CH4_Em!$E$1:$ZZ$1, 0))</f>
        <v>4.8182999999999998</v>
      </c>
      <c r="F395">
        <f>INDEX(N2O_Em!$E:$ZZ, MATCH(A395, N2O_Em!$C:$C, 0), MATCH(B395, N2O_Em!$E$1:$ZZ$1, 0))</f>
        <v>2.8279000000000001</v>
      </c>
      <c r="G395">
        <f>INDEX(CO2_Em!$E:$ZZ, MATCH(A395, CO2_Em!$C:$C, 0), MATCH(B395, CO2_Em!$E$1:$ZZ$1, 0))</f>
        <v>0.1933</v>
      </c>
      <c r="H395">
        <f>INDEX(Agri_VA!$E:$ZZ, MATCH(A395, Agri_VA!$C:$C, 0), MATCH(B395, Agri_VA!$E$1:$ZZ$1, 0))</f>
        <v>2.9258239563465427</v>
      </c>
      <c r="I395" s="6">
        <f>INDEX('Agri_land '!$E:$ZZ, MATCH(A395, 'Agri_land '!$C:$C, 0), MATCH(B395, 'Agri_land '!$E$1:$ZZ$1, 0))</f>
        <v>58.650116369278514</v>
      </c>
      <c r="J395">
        <f>INDEX(Cereal_Yield!$E:$ZZ, MATCH(A395, Cereal_Yield!$C:$C, 0), MATCH(B395, Cereal_Yield!$E$1:$ZZ$1, 0))</f>
        <v>4266.2</v>
      </c>
    </row>
    <row r="396" spans="1:10" x14ac:dyDescent="0.3">
      <c r="A396" t="s">
        <v>21</v>
      </c>
      <c r="B396" s="4">
        <v>2010</v>
      </c>
      <c r="C396" t="s">
        <v>49</v>
      </c>
      <c r="D396" s="8">
        <f>INDEX(GDP_pc!$E:$ZZ, MATCH(A396, GDP_pc!$C:$C, 0), MATCH(B396, GDP_pc!$E$1:$ZZ$1, 0))</f>
        <v>296417644404.03387</v>
      </c>
      <c r="E396">
        <f>INDEX(CH4_Em!$E:$ZZ, MATCH(A396, CH4_Em!$C:$C, 0), MATCH(B396, CH4_Em!$E$1:$ZZ$1, 0))</f>
        <v>4.8785999999999996</v>
      </c>
      <c r="F396">
        <f>INDEX(N2O_Em!$E:$ZZ, MATCH(A396, N2O_Em!$C:$C, 0), MATCH(B396, N2O_Em!$E$1:$ZZ$1, 0))</f>
        <v>2.8934000000000002</v>
      </c>
      <c r="G396">
        <f>INDEX(CO2_Em!$E:$ZZ, MATCH(A396, CO2_Em!$C:$C, 0), MATCH(B396, CO2_Em!$E$1:$ZZ$1, 0))</f>
        <v>0.24199999999999999</v>
      </c>
      <c r="H396">
        <f>INDEX(Agri_VA!$E:$ZZ, MATCH(A396, Agri_VA!$C:$C, 0), MATCH(B396, Agri_VA!$E$1:$ZZ$1, 0))</f>
        <v>2.9142102078811991</v>
      </c>
      <c r="I396" s="6">
        <f>INDEX('Agri_land '!$E:$ZZ, MATCH(A396, 'Agri_land '!$C:$C, 0), MATCH(B396, 'Agri_land '!$E$1:$ZZ$1, 0))</f>
        <v>58.099301784328937</v>
      </c>
      <c r="J396">
        <f>INDEX(Cereal_Yield!$E:$ZZ, MATCH(A396, Cereal_Yield!$C:$C, 0), MATCH(B396, Cereal_Yield!$E$1:$ZZ$1, 0))</f>
        <v>4064.9</v>
      </c>
    </row>
    <row r="397" spans="1:10" x14ac:dyDescent="0.3">
      <c r="A397" t="s">
        <v>21</v>
      </c>
      <c r="B397" s="4">
        <v>2011</v>
      </c>
      <c r="C397" t="s">
        <v>49</v>
      </c>
      <c r="D397" s="8">
        <f>INDEX(GDP_pc!$E:$ZZ, MATCH(A397, GDP_pc!$C:$C, 0), MATCH(B397, GDP_pc!$E$1:$ZZ$1, 0))</f>
        <v>283228079776.04144</v>
      </c>
      <c r="E397">
        <f>INDEX(CH4_Em!$E:$ZZ, MATCH(A397, CH4_Em!$C:$C, 0), MATCH(B397, CH4_Em!$E$1:$ZZ$1, 0))</f>
        <v>4.8506999999999998</v>
      </c>
      <c r="F397">
        <f>INDEX(N2O_Em!$E:$ZZ, MATCH(A397, N2O_Em!$C:$C, 0), MATCH(B397, N2O_Em!$E$1:$ZZ$1, 0))</f>
        <v>2.7995999999999999</v>
      </c>
      <c r="G397">
        <f>INDEX(CO2_Em!$E:$ZZ, MATCH(A397, CO2_Em!$C:$C, 0), MATCH(B397, CO2_Em!$E$1:$ZZ$1, 0))</f>
        <v>0.20169999999999999</v>
      </c>
      <c r="H397">
        <f>INDEX(Agri_VA!$E:$ZZ, MATCH(A397, Agri_VA!$C:$C, 0), MATCH(B397, Agri_VA!$E$1:$ZZ$1, 0))</f>
        <v>3.0618456010826964</v>
      </c>
      <c r="I397" s="6">
        <f>INDEX('Agri_land '!$E:$ZZ, MATCH(A397, 'Agri_land '!$C:$C, 0), MATCH(B397, 'Agri_land '!$E$1:$ZZ$1, 0))</f>
        <v>57.377812257563996</v>
      </c>
      <c r="J397">
        <f>INDEX(Cereal_Yield!$E:$ZZ, MATCH(A397, Cereal_Yield!$C:$C, 0), MATCH(B397, Cereal_Yield!$E$1:$ZZ$1, 0))</f>
        <v>4344.1000000000004</v>
      </c>
    </row>
    <row r="398" spans="1:10" x14ac:dyDescent="0.3">
      <c r="A398" t="s">
        <v>21</v>
      </c>
      <c r="B398" s="4">
        <v>2012</v>
      </c>
      <c r="C398" t="s">
        <v>49</v>
      </c>
      <c r="D398" s="8">
        <f>INDEX(GDP_pc!$E:$ZZ, MATCH(A398, GDP_pc!$C:$C, 0), MATCH(B398, GDP_pc!$E$1:$ZZ$1, 0))</f>
        <v>238841140018.23288</v>
      </c>
      <c r="E398">
        <f>INDEX(CH4_Em!$E:$ZZ, MATCH(A398, CH4_Em!$C:$C, 0), MATCH(B398, CH4_Em!$E$1:$ZZ$1, 0))</f>
        <v>4.8226000000000004</v>
      </c>
      <c r="F398">
        <f>INDEX(N2O_Em!$E:$ZZ, MATCH(A398, N2O_Em!$C:$C, 0), MATCH(B398, N2O_Em!$E$1:$ZZ$1, 0))</f>
        <v>2.8079999999999998</v>
      </c>
      <c r="G398">
        <f>INDEX(CO2_Em!$E:$ZZ, MATCH(A398, CO2_Em!$C:$C, 0), MATCH(B398, CO2_Em!$E$1:$ZZ$1, 0))</f>
        <v>0.1938</v>
      </c>
      <c r="H398">
        <f>INDEX(Agri_VA!$E:$ZZ, MATCH(A398, Agri_VA!$C:$C, 0), MATCH(B398, Agri_VA!$E$1:$ZZ$1, 0))</f>
        <v>3.4190820782819662</v>
      </c>
      <c r="I398" s="6">
        <f>INDEX('Agri_land '!$E:$ZZ, MATCH(A398, 'Agri_land '!$C:$C, 0), MATCH(B398, 'Agri_land '!$E$1:$ZZ$1, 0))</f>
        <v>56.501163692785106</v>
      </c>
      <c r="J398">
        <f>INDEX(Cereal_Yield!$E:$ZZ, MATCH(A398, Cereal_Yield!$C:$C, 0), MATCH(B398, Cereal_Yield!$E$1:$ZZ$1, 0))</f>
        <v>4206.7</v>
      </c>
    </row>
    <row r="399" spans="1:10" x14ac:dyDescent="0.3">
      <c r="A399" t="s">
        <v>21</v>
      </c>
      <c r="B399" s="4">
        <v>2013</v>
      </c>
      <c r="C399" t="s">
        <v>49</v>
      </c>
      <c r="D399" s="8">
        <f>INDEX(GDP_pc!$E:$ZZ, MATCH(A399, GDP_pc!$C:$C, 0), MATCH(B399, GDP_pc!$E$1:$ZZ$1, 0))</f>
        <v>236556279640.70538</v>
      </c>
      <c r="E399">
        <f>INDEX(CH4_Em!$E:$ZZ, MATCH(A399, CH4_Em!$C:$C, 0), MATCH(B399, CH4_Em!$E$1:$ZZ$1, 0))</f>
        <v>4.6784999999999997</v>
      </c>
      <c r="F399">
        <f>INDEX(N2O_Em!$E:$ZZ, MATCH(A399, N2O_Em!$C:$C, 0), MATCH(B399, N2O_Em!$E$1:$ZZ$1, 0))</f>
        <v>2.8086000000000002</v>
      </c>
      <c r="G399">
        <f>INDEX(CO2_Em!$E:$ZZ, MATCH(A399, CO2_Em!$C:$C, 0), MATCH(B399, CO2_Em!$E$1:$ZZ$1, 0))</f>
        <v>0.17730000000000001</v>
      </c>
      <c r="H399">
        <f>INDEX(Agri_VA!$E:$ZZ, MATCH(A399, Agri_VA!$C:$C, 0), MATCH(B399, Agri_VA!$E$1:$ZZ$1, 0))</f>
        <v>3.3514622387943152</v>
      </c>
      <c r="I399" s="6">
        <f>INDEX('Agri_land '!$E:$ZZ, MATCH(A399, 'Agri_land '!$C:$C, 0), MATCH(B399, 'Agri_land '!$E$1:$ZZ$1, 0))</f>
        <v>55.49262994569434</v>
      </c>
      <c r="J399">
        <f>INDEX(Cereal_Yield!$E:$ZZ, MATCH(A399, Cereal_Yield!$C:$C, 0), MATCH(B399, Cereal_Yield!$E$1:$ZZ$1, 0))</f>
        <v>4393.3</v>
      </c>
    </row>
    <row r="400" spans="1:10" x14ac:dyDescent="0.3">
      <c r="A400" t="s">
        <v>21</v>
      </c>
      <c r="B400" s="4">
        <v>2014</v>
      </c>
      <c r="C400" t="s">
        <v>49</v>
      </c>
      <c r="D400" s="8">
        <f>INDEX(GDP_pc!$E:$ZZ, MATCH(A400, GDP_pc!$C:$C, 0), MATCH(B400, GDP_pc!$E$1:$ZZ$1, 0))</f>
        <v>233911581521.06232</v>
      </c>
      <c r="E400">
        <f>INDEX(CH4_Em!$E:$ZZ, MATCH(A400, CH4_Em!$C:$C, 0), MATCH(B400, CH4_Em!$E$1:$ZZ$1, 0))</f>
        <v>4.6006999999999998</v>
      </c>
      <c r="F400">
        <f>INDEX(N2O_Em!$E:$ZZ, MATCH(A400, N2O_Em!$C:$C, 0), MATCH(B400, N2O_Em!$E$1:$ZZ$1, 0))</f>
        <v>2.7616000000000001</v>
      </c>
      <c r="G400">
        <f>INDEX(CO2_Em!$E:$ZZ, MATCH(A400, CO2_Em!$C:$C, 0), MATCH(B400, CO2_Em!$E$1:$ZZ$1, 0))</f>
        <v>0.1966</v>
      </c>
      <c r="H400">
        <f>INDEX(Agri_VA!$E:$ZZ, MATCH(A400, Agri_VA!$C:$C, 0), MATCH(B400, Agri_VA!$E$1:$ZZ$1, 0))</f>
        <v>3.5334610543038387</v>
      </c>
      <c r="I400" s="6">
        <f>INDEX('Agri_land '!$E:$ZZ, MATCH(A400, 'Agri_land '!$C:$C, 0), MATCH(B400, 'Agri_land '!$E$1:$ZZ$1, 0))</f>
        <v>48.107059736229637</v>
      </c>
      <c r="J400">
        <f>INDEX(Cereal_Yield!$E:$ZZ, MATCH(A400, Cereal_Yield!$C:$C, 0), MATCH(B400, Cereal_Yield!$E$1:$ZZ$1, 0))</f>
        <v>4286.5</v>
      </c>
    </row>
    <row r="401" spans="1:10" x14ac:dyDescent="0.3">
      <c r="A401" t="s">
        <v>21</v>
      </c>
      <c r="B401" s="4">
        <v>2015</v>
      </c>
      <c r="C401" t="s">
        <v>49</v>
      </c>
      <c r="D401" s="8">
        <f>INDEX(GDP_pc!$E:$ZZ, MATCH(A401, GDP_pc!$C:$C, 0), MATCH(B401, GDP_pc!$E$1:$ZZ$1, 0))</f>
        <v>194567373678.09912</v>
      </c>
      <c r="E401">
        <f>INDEX(CH4_Em!$E:$ZZ, MATCH(A401, CH4_Em!$C:$C, 0), MATCH(B401, CH4_Em!$E$1:$ZZ$1, 0))</f>
        <v>4.5460000000000003</v>
      </c>
      <c r="F401">
        <f>INDEX(N2O_Em!$E:$ZZ, MATCH(A401, N2O_Em!$C:$C, 0), MATCH(B401, N2O_Em!$E$1:$ZZ$1, 0))</f>
        <v>2.7172000000000001</v>
      </c>
      <c r="G401">
        <f>INDEX(CO2_Em!$E:$ZZ, MATCH(A401, CO2_Em!$C:$C, 0), MATCH(B401, CO2_Em!$E$1:$ZZ$1, 0))</f>
        <v>0.20150000000000001</v>
      </c>
      <c r="H401">
        <f>INDEX(Agri_VA!$E:$ZZ, MATCH(A401, Agri_VA!$C:$C, 0), MATCH(B401, Agri_VA!$E$1:$ZZ$1, 0))</f>
        <v>3.8215379882166398</v>
      </c>
      <c r="I401" s="6">
        <f>INDEX('Agri_land '!$E:$ZZ, MATCH(A401, 'Agri_land '!$C:$C, 0), MATCH(B401, 'Agri_land '!$E$1:$ZZ$1, 0))</f>
        <v>48.091543832428243</v>
      </c>
      <c r="J401">
        <f>INDEX(Cereal_Yield!$E:$ZZ, MATCH(A401, Cereal_Yield!$C:$C, 0), MATCH(B401, Cereal_Yield!$E$1:$ZZ$1, 0))</f>
        <v>4214.8999999999996</v>
      </c>
    </row>
    <row r="402" spans="1:10" x14ac:dyDescent="0.3">
      <c r="A402" t="s">
        <v>21</v>
      </c>
      <c r="B402" s="4">
        <v>2016</v>
      </c>
      <c r="C402" t="s">
        <v>49</v>
      </c>
      <c r="D402" s="8">
        <f>INDEX(GDP_pc!$E:$ZZ, MATCH(A402, GDP_pc!$C:$C, 0), MATCH(B402, GDP_pc!$E$1:$ZZ$1, 0))</f>
        <v>193097239005.87012</v>
      </c>
      <c r="E402">
        <f>INDEX(CH4_Em!$E:$ZZ, MATCH(A402, CH4_Em!$C:$C, 0), MATCH(B402, CH4_Em!$E$1:$ZZ$1, 0))</f>
        <v>4.5148000000000001</v>
      </c>
      <c r="F402">
        <f>INDEX(N2O_Em!$E:$ZZ, MATCH(A402, N2O_Em!$C:$C, 0), MATCH(B402, N2O_Em!$E$1:$ZZ$1, 0))</f>
        <v>2.7265000000000001</v>
      </c>
      <c r="G402">
        <f>INDEX(CO2_Em!$E:$ZZ, MATCH(A402, CO2_Em!$C:$C, 0), MATCH(B402, CO2_Em!$E$1:$ZZ$1, 0))</f>
        <v>0.2056</v>
      </c>
      <c r="H402">
        <f>INDEX(Agri_VA!$E:$ZZ, MATCH(A402, Agri_VA!$C:$C, 0), MATCH(B402, Agri_VA!$E$1:$ZZ$1, 0))</f>
        <v>3.4581294153332691</v>
      </c>
      <c r="I402" s="6">
        <f>INDEX('Agri_land '!$E:$ZZ, MATCH(A402, 'Agri_land '!$C:$C, 0), MATCH(B402, 'Agri_land '!$E$1:$ZZ$1, 0))</f>
        <v>47.602792862684254</v>
      </c>
      <c r="J402">
        <f>INDEX(Cereal_Yield!$E:$ZZ, MATCH(A402, Cereal_Yield!$C:$C, 0), MATCH(B402, Cereal_Yield!$E$1:$ZZ$1, 0))</f>
        <v>4223.5</v>
      </c>
    </row>
    <row r="403" spans="1:10" x14ac:dyDescent="0.3">
      <c r="A403" t="s">
        <v>21</v>
      </c>
      <c r="B403" s="4">
        <v>2017</v>
      </c>
      <c r="C403" t="s">
        <v>49</v>
      </c>
      <c r="D403" s="8">
        <f>INDEX(GDP_pc!$E:$ZZ, MATCH(A403, GDP_pc!$C:$C, 0), MATCH(B403, GDP_pc!$E$1:$ZZ$1, 0))</f>
        <v>200381103984.298</v>
      </c>
      <c r="E403">
        <f>INDEX(CH4_Em!$E:$ZZ, MATCH(A403, CH4_Em!$C:$C, 0), MATCH(B403, CH4_Em!$E$1:$ZZ$1, 0))</f>
        <v>4.5646000000000004</v>
      </c>
      <c r="F403">
        <f>INDEX(N2O_Em!$E:$ZZ, MATCH(A403, N2O_Em!$C:$C, 0), MATCH(B403, N2O_Em!$E$1:$ZZ$1, 0))</f>
        <v>2.7097000000000002</v>
      </c>
      <c r="G403">
        <f>INDEX(CO2_Em!$E:$ZZ, MATCH(A403, CO2_Em!$C:$C, 0), MATCH(B403, CO2_Em!$E$1:$ZZ$1, 0))</f>
        <v>0.21110000000000001</v>
      </c>
      <c r="H403">
        <f>INDEX(Agri_VA!$E:$ZZ, MATCH(A403, Agri_VA!$C:$C, 0), MATCH(B403, Agri_VA!$E$1:$ZZ$1, 0))</f>
        <v>3.752270209453902</v>
      </c>
      <c r="I403" s="6">
        <f>INDEX('Agri_land '!$E:$ZZ, MATCH(A403, 'Agri_land '!$C:$C, 0), MATCH(B403, 'Agri_land '!$E$1:$ZZ$1, 0))</f>
        <v>46.963078355314195</v>
      </c>
      <c r="J403">
        <f>INDEX(Cereal_Yield!$E:$ZZ, MATCH(A403, Cereal_Yield!$C:$C, 0), MATCH(B403, Cereal_Yield!$E$1:$ZZ$1, 0))</f>
        <v>4317.2</v>
      </c>
    </row>
    <row r="404" spans="1:10" x14ac:dyDescent="0.3">
      <c r="A404" t="s">
        <v>21</v>
      </c>
      <c r="B404" s="4">
        <v>2018</v>
      </c>
      <c r="C404" t="s">
        <v>49</v>
      </c>
      <c r="D404" s="8">
        <f>INDEX(GDP_pc!$E:$ZZ, MATCH(A404, GDP_pc!$C:$C, 0), MATCH(B404, GDP_pc!$E$1:$ZZ$1, 0))</f>
        <v>213298873494.39359</v>
      </c>
      <c r="E404">
        <f>INDEX(CH4_Em!$E:$ZZ, MATCH(A404, CH4_Em!$C:$C, 0), MATCH(B404, CH4_Em!$E$1:$ZZ$1, 0))</f>
        <v>4.2431000000000001</v>
      </c>
      <c r="F404">
        <f>INDEX(N2O_Em!$E:$ZZ, MATCH(A404, N2O_Em!$C:$C, 0), MATCH(B404, N2O_Em!$E$1:$ZZ$1, 0))</f>
        <v>2.5722</v>
      </c>
      <c r="G404">
        <f>INDEX(CO2_Em!$E:$ZZ, MATCH(A404, CO2_Em!$C:$C, 0), MATCH(B404, CO2_Em!$E$1:$ZZ$1, 0))</f>
        <v>0.1875</v>
      </c>
      <c r="H404">
        <f>INDEX(Agri_VA!$E:$ZZ, MATCH(A404, Agri_VA!$C:$C, 0), MATCH(B404, Agri_VA!$E$1:$ZZ$1, 0))</f>
        <v>3.5257309034162576</v>
      </c>
      <c r="I404" s="6">
        <f>INDEX('Agri_land '!$E:$ZZ, MATCH(A404, 'Agri_land '!$C:$C, 0), MATCH(B404, 'Agri_land '!$E$1:$ZZ$1, 0))</f>
        <v>46.110864235841746</v>
      </c>
      <c r="J404">
        <f>INDEX(Cereal_Yield!$E:$ZZ, MATCH(A404, Cereal_Yield!$C:$C, 0), MATCH(B404, Cereal_Yield!$E$1:$ZZ$1, 0))</f>
        <v>3799.6</v>
      </c>
    </row>
    <row r="405" spans="1:10" x14ac:dyDescent="0.3">
      <c r="A405" t="s">
        <v>21</v>
      </c>
      <c r="B405" s="4">
        <v>2019</v>
      </c>
      <c r="C405" t="s">
        <v>49</v>
      </c>
      <c r="D405" s="8">
        <f>INDEX(GDP_pc!$E:$ZZ, MATCH(A405, GDP_pc!$C:$C, 0), MATCH(B405, GDP_pc!$E$1:$ZZ$1, 0))</f>
        <v>207305649887.01929</v>
      </c>
      <c r="E405">
        <f>INDEX(CH4_Em!$E:$ZZ, MATCH(A405, CH4_Em!$C:$C, 0), MATCH(B405, CH4_Em!$E$1:$ZZ$1, 0))</f>
        <v>4.1989999999999998</v>
      </c>
      <c r="F405">
        <f>INDEX(N2O_Em!$E:$ZZ, MATCH(A405, N2O_Em!$C:$C, 0), MATCH(B405, N2O_Em!$E$1:$ZZ$1, 0))</f>
        <v>2.5855999999999999</v>
      </c>
      <c r="G405">
        <f>INDEX(CO2_Em!$E:$ZZ, MATCH(A405, CO2_Em!$C:$C, 0), MATCH(B405, CO2_Em!$E$1:$ZZ$1, 0))</f>
        <v>0.19189999999999999</v>
      </c>
      <c r="H405">
        <f>INDEX(Agri_VA!$E:$ZZ, MATCH(A405, Agri_VA!$C:$C, 0), MATCH(B405, Agri_VA!$E$1:$ZZ$1, 0))</f>
        <v>3.6615193393131156</v>
      </c>
      <c r="I405" s="6">
        <f>INDEX('Agri_land '!$E:$ZZ, MATCH(A405, 'Agri_land '!$C:$C, 0), MATCH(B405, 'Agri_land '!$E$1:$ZZ$1, 0))</f>
        <v>45.489264546159816</v>
      </c>
      <c r="J405">
        <f>INDEX(Cereal_Yield!$E:$ZZ, MATCH(A405, Cereal_Yield!$C:$C, 0), MATCH(B405, Cereal_Yield!$E$1:$ZZ$1, 0))</f>
        <v>4043.5</v>
      </c>
    </row>
    <row r="406" spans="1:10" x14ac:dyDescent="0.3">
      <c r="A406" t="s">
        <v>21</v>
      </c>
      <c r="B406" s="4">
        <v>2020</v>
      </c>
      <c r="C406" t="s">
        <v>49</v>
      </c>
      <c r="D406" s="8">
        <f>INDEX(GDP_pc!$E:$ZZ, MATCH(A406, GDP_pc!$C:$C, 0), MATCH(B406, GDP_pc!$E$1:$ZZ$1, 0))</f>
        <v>191362985554.86124</v>
      </c>
      <c r="E406">
        <f>INDEX(CH4_Em!$E:$ZZ, MATCH(A406, CH4_Em!$C:$C, 0), MATCH(B406, CH4_Em!$E$1:$ZZ$1, 0))</f>
        <v>4.1970000000000001</v>
      </c>
      <c r="F406">
        <f>INDEX(N2O_Em!$E:$ZZ, MATCH(A406, N2O_Em!$C:$C, 0), MATCH(B406, N2O_Em!$E$1:$ZZ$1, 0))</f>
        <v>2.5952000000000002</v>
      </c>
      <c r="G406">
        <f>INDEX(CO2_Em!$E:$ZZ, MATCH(A406, CO2_Em!$C:$C, 0), MATCH(B406, CO2_Em!$E$1:$ZZ$1, 0))</f>
        <v>0.19350000000000001</v>
      </c>
      <c r="H406">
        <f>INDEX(Agri_VA!$E:$ZZ, MATCH(A406, Agri_VA!$C:$C, 0), MATCH(B406, Agri_VA!$E$1:$ZZ$1, 0))</f>
        <v>3.9238294812331977</v>
      </c>
      <c r="I406" s="6">
        <f>INDEX('Agri_land '!$E:$ZZ, MATCH(A406, 'Agri_land '!$C:$C, 0), MATCH(B406, 'Agri_land '!$E$1:$ZZ$1, 0))</f>
        <v>43.635845616757173</v>
      </c>
      <c r="J406">
        <f>INDEX(Cereal_Yield!$E:$ZZ, MATCH(A406, Cereal_Yield!$C:$C, 0), MATCH(B406, Cereal_Yield!$E$1:$ZZ$1, 0))</f>
        <v>4197.1000000000004</v>
      </c>
    </row>
    <row r="407" spans="1:10" x14ac:dyDescent="0.3">
      <c r="A407" t="s">
        <v>21</v>
      </c>
      <c r="B407" s="4">
        <v>2021</v>
      </c>
      <c r="C407" t="s">
        <v>49</v>
      </c>
      <c r="D407" s="8">
        <f>INDEX(GDP_pc!$E:$ZZ, MATCH(A407, GDP_pc!$C:$C, 0), MATCH(B407, GDP_pc!$E$1:$ZZ$1, 0))</f>
        <v>218303801895.32596</v>
      </c>
      <c r="E407">
        <f>INDEX(CH4_Em!$E:$ZZ, MATCH(A407, CH4_Em!$C:$C, 0), MATCH(B407, CH4_Em!$E$1:$ZZ$1, 0))</f>
        <v>4.1691000000000003</v>
      </c>
      <c r="F407">
        <f>INDEX(N2O_Em!$E:$ZZ, MATCH(A407, N2O_Em!$C:$C, 0), MATCH(B407, N2O_Em!$E$1:$ZZ$1, 0))</f>
        <v>2.3677999999999999</v>
      </c>
      <c r="G407">
        <f>INDEX(CO2_Em!$E:$ZZ, MATCH(A407, CO2_Em!$C:$C, 0), MATCH(B407, CO2_Em!$E$1:$ZZ$1, 0))</f>
        <v>0.14799999999999999</v>
      </c>
      <c r="H407">
        <f>INDEX(Agri_VA!$E:$ZZ, MATCH(A407, Agri_VA!$C:$C, 0), MATCH(B407, Agri_VA!$E$1:$ZZ$1, 0))</f>
        <v>3.531734881050931</v>
      </c>
      <c r="I407" s="6">
        <f>INDEX('Agri_land '!$E:$ZZ, MATCH(A407, 'Agri_land '!$C:$C, 0), MATCH(B407, 'Agri_land '!$E$1:$ZZ$1, 0))</f>
        <v>44.312867339022496</v>
      </c>
      <c r="J407">
        <f>INDEX(Cereal_Yield!$E:$ZZ, MATCH(A407, Cereal_Yield!$C:$C, 0), MATCH(B407, Cereal_Yield!$E$1:$ZZ$1, 0))</f>
        <v>4194.7</v>
      </c>
    </row>
    <row r="408" spans="1:10" x14ac:dyDescent="0.3">
      <c r="A408" t="s">
        <v>21</v>
      </c>
      <c r="B408" s="4">
        <v>2022</v>
      </c>
      <c r="C408" t="s">
        <v>49</v>
      </c>
      <c r="D408" s="8">
        <f>INDEX(GDP_pc!$E:$ZZ, MATCH(A408, GDP_pc!$C:$C, 0), MATCH(B408, GDP_pc!$E$1:$ZZ$1, 0))</f>
        <v>217990189600.68958</v>
      </c>
      <c r="E408">
        <f>INDEX(CH4_Em!$E:$ZZ, MATCH(A408, CH4_Em!$C:$C, 0), MATCH(B408, CH4_Em!$E$1:$ZZ$1, 0))</f>
        <v>3.9691999999999998</v>
      </c>
      <c r="F408">
        <f>INDEX(N2O_Em!$E:$ZZ, MATCH(A408, N2O_Em!$C:$C, 0), MATCH(B408, N2O_Em!$E$1:$ZZ$1, 0))</f>
        <v>2.4420000000000002</v>
      </c>
      <c r="G408">
        <f>INDEX(CO2_Em!$E:$ZZ, MATCH(A408, CO2_Em!$C:$C, 0), MATCH(B408, CO2_Em!$E$1:$ZZ$1, 0))</f>
        <v>0.17030000000000001</v>
      </c>
      <c r="H408">
        <f>INDEX(Agri_VA!$E:$ZZ, MATCH(A408, Agri_VA!$C:$C, 0), MATCH(B408, Agri_VA!$E$1:$ZZ$1, 0))</f>
        <v>3.784907319482119</v>
      </c>
      <c r="I408" s="6">
        <f>INDEX('Agri_land '!$E:$ZZ, MATCH(A408, 'Agri_land '!$C:$C, 0), MATCH(B408, 'Agri_land '!$E$1:$ZZ$1, 0))</f>
        <v>41.676017067494179</v>
      </c>
      <c r="J408">
        <f>INDEX(Cereal_Yield!$E:$ZZ, MATCH(A408, Cereal_Yield!$C:$C, 0), MATCH(B408, Cereal_Yield!$E$1:$ZZ$1, 0))</f>
        <v>4142.6000000000004</v>
      </c>
    </row>
    <row r="409" spans="1:10" x14ac:dyDescent="0.3">
      <c r="A409" t="s">
        <v>21</v>
      </c>
      <c r="B409" s="4">
        <v>2023</v>
      </c>
      <c r="C409" t="s">
        <v>49</v>
      </c>
      <c r="D409" s="8">
        <f>INDEX(GDP_pc!$E:$ZZ, MATCH(A409, GDP_pc!$C:$C, 0), MATCH(B409, GDP_pc!$E$1:$ZZ$1, 0))</f>
        <v>242946187738.26898</v>
      </c>
      <c r="E409">
        <f>INDEX(CH4_Em!$E:$ZZ, MATCH(A409, CH4_Em!$C:$C, 0), MATCH(B409, CH4_Em!$E$1:$ZZ$1, 0))</f>
        <v>4.1486999999999998</v>
      </c>
      <c r="F409">
        <f>INDEX(N2O_Em!$E:$ZZ, MATCH(A409, N2O_Em!$C:$C, 0), MATCH(B409, N2O_Em!$E$1:$ZZ$1, 0))</f>
        <v>2.4641999999999999</v>
      </c>
      <c r="G409">
        <f>INDEX(CO2_Em!$E:$ZZ, MATCH(A409, CO2_Em!$C:$C, 0), MATCH(B409, CO2_Em!$E$1:$ZZ$1, 0))</f>
        <v>0.16800000000000001</v>
      </c>
      <c r="H409">
        <f>INDEX(Agri_VA!$E:$ZZ, MATCH(A409, Agri_VA!$C:$C, 0), MATCH(B409, Agri_VA!$E$1:$ZZ$1, 0))</f>
        <v>3.7422201790768281</v>
      </c>
      <c r="I409" s="6">
        <f>INDEX('Agri_land '!$E:$ZZ, MATCH(A409, 'Agri_land '!$C:$C, 0), MATCH(B409, 'Agri_land '!$E$1:$ZZ$1, 0))</f>
        <v>41.676017843289372</v>
      </c>
      <c r="J409">
        <f>INDEX(Cereal_Yield!$E:$ZZ, MATCH(A409, Cereal_Yield!$C:$C, 0), MATCH(B409, Cereal_Yield!$E$1:$ZZ$1, 0))</f>
        <v>4139.8999999999996</v>
      </c>
    </row>
    <row r="410" spans="1:10" x14ac:dyDescent="0.3">
      <c r="A410" t="s">
        <v>22</v>
      </c>
      <c r="B410" s="4">
        <v>2000</v>
      </c>
      <c r="C410" t="s">
        <v>48</v>
      </c>
      <c r="D410" s="8">
        <f>INDEX(GDP_pc!$E:$ZZ, MATCH(A410, GDP_pc!$C:$C, 0), MATCH(B410, GDP_pc!$E$1:$ZZ$1, 0))</f>
        <v>468395521654.45789</v>
      </c>
      <c r="E410">
        <f>INDEX(CH4_Em!$E:$ZZ, MATCH(A410, CH4_Em!$C:$C, 0), MATCH(B410, CH4_Em!$E$1:$ZZ$1, 0))</f>
        <v>485.1737</v>
      </c>
      <c r="F410">
        <f>INDEX(N2O_Em!$E:$ZZ, MATCH(A410, N2O_Em!$C:$C, 0), MATCH(B410, N2O_Em!$E$1:$ZZ$1, 0))</f>
        <v>124.53189999999999</v>
      </c>
      <c r="G410">
        <f>INDEX(CO2_Em!$E:$ZZ, MATCH(A410, CO2_Em!$C:$C, 0), MATCH(B410, CO2_Em!$E$1:$ZZ$1, 0))</f>
        <v>16.884799999999998</v>
      </c>
      <c r="H410">
        <f>INDEX(Agri_VA!$E:$ZZ, MATCH(A410, Agri_VA!$C:$C, 0), MATCH(B410, Agri_VA!$E$1:$ZZ$1, 0))</f>
        <v>21.611062046512103</v>
      </c>
      <c r="I410" s="6">
        <f>INDEX('Agri_land '!$E:$ZZ, MATCH(A410, 'Agri_land '!$C:$C, 0), MATCH(B410, 'Agri_land '!$E$1:$ZZ$1, 0))</f>
        <v>60.868965656416172</v>
      </c>
      <c r="J410">
        <f>INDEX(Cereal_Yield!$E:$ZZ, MATCH(A410, Cereal_Yield!$C:$C, 0), MATCH(B410, Cereal_Yield!$E$1:$ZZ$1, 0))</f>
        <v>2294.1999999999998</v>
      </c>
    </row>
    <row r="411" spans="1:10" x14ac:dyDescent="0.3">
      <c r="A411" t="s">
        <v>22</v>
      </c>
      <c r="B411" s="4">
        <v>2001</v>
      </c>
      <c r="C411" t="s">
        <v>48</v>
      </c>
      <c r="D411" s="8">
        <f>INDEX(GDP_pc!$E:$ZZ, MATCH(A411, GDP_pc!$C:$C, 0), MATCH(B411, GDP_pc!$E$1:$ZZ$1, 0))</f>
        <v>485440139204.17053</v>
      </c>
      <c r="E411">
        <f>INDEX(CH4_Em!$E:$ZZ, MATCH(A411, CH4_Em!$C:$C, 0), MATCH(B411, CH4_Em!$E$1:$ZZ$1, 0))</f>
        <v>487.59649999999999</v>
      </c>
      <c r="F411">
        <f>INDEX(N2O_Em!$E:$ZZ, MATCH(A411, N2O_Em!$C:$C, 0), MATCH(B411, N2O_Em!$E$1:$ZZ$1, 0))</f>
        <v>127.2646</v>
      </c>
      <c r="G411">
        <f>INDEX(CO2_Em!$E:$ZZ, MATCH(A411, CO2_Em!$C:$C, 0), MATCH(B411, CO2_Em!$E$1:$ZZ$1, 0))</f>
        <v>17.426300000000001</v>
      </c>
      <c r="H411">
        <f>INDEX(Agri_VA!$E:$ZZ, MATCH(A411, Agri_VA!$C:$C, 0), MATCH(B411, Agri_VA!$E$1:$ZZ$1, 0))</f>
        <v>21.618884886143771</v>
      </c>
      <c r="I411" s="6">
        <f>INDEX('Agri_land '!$E:$ZZ, MATCH(A411, 'Agri_land '!$C:$C, 0), MATCH(B411, 'Agri_land '!$E$1:$ZZ$1, 0))</f>
        <v>60.704832183614229</v>
      </c>
      <c r="J411">
        <f>INDEX(Cereal_Yield!$E:$ZZ, MATCH(A411, Cereal_Yield!$C:$C, 0), MATCH(B411, Cereal_Yield!$E$1:$ZZ$1, 0))</f>
        <v>2423.1</v>
      </c>
    </row>
    <row r="412" spans="1:10" x14ac:dyDescent="0.3">
      <c r="A412" t="s">
        <v>22</v>
      </c>
      <c r="B412" s="4">
        <v>2002</v>
      </c>
      <c r="C412" t="s">
        <v>48</v>
      </c>
      <c r="D412" s="8">
        <f>INDEX(GDP_pc!$E:$ZZ, MATCH(A412, GDP_pc!$C:$C, 0), MATCH(B412, GDP_pc!$E$1:$ZZ$1, 0))</f>
        <v>514939140318.75562</v>
      </c>
      <c r="E412">
        <f>INDEX(CH4_Em!$E:$ZZ, MATCH(A412, CH4_Em!$C:$C, 0), MATCH(B412, CH4_Em!$E$1:$ZZ$1, 0))</f>
        <v>479.30610000000001</v>
      </c>
      <c r="F412">
        <f>INDEX(N2O_Em!$E:$ZZ, MATCH(A412, N2O_Em!$C:$C, 0), MATCH(B412, N2O_Em!$E$1:$ZZ$1, 0))</f>
        <v>122.3</v>
      </c>
      <c r="G412">
        <f>INDEX(CO2_Em!$E:$ZZ, MATCH(A412, CO2_Em!$C:$C, 0), MATCH(B412, CO2_Em!$E$1:$ZZ$1, 0))</f>
        <v>16.0441</v>
      </c>
      <c r="H412">
        <f>INDEX(Agri_VA!$E:$ZZ, MATCH(A412, Agri_VA!$C:$C, 0), MATCH(B412, Agri_VA!$E$1:$ZZ$1, 0))</f>
        <v>19.534543270954575</v>
      </c>
      <c r="I412" s="6">
        <f>INDEX('Agri_land '!$E:$ZZ, MATCH(A412, 'Agri_land '!$C:$C, 0), MATCH(B412, 'Agri_land '!$E$1:$ZZ$1, 0))</f>
        <v>60.7293849367178</v>
      </c>
      <c r="J412">
        <f>INDEX(Cereal_Yield!$E:$ZZ, MATCH(A412, Cereal_Yield!$C:$C, 0), MATCH(B412, Cereal_Yield!$E$1:$ZZ$1, 0))</f>
        <v>2187.3000000000002</v>
      </c>
    </row>
    <row r="413" spans="1:10" x14ac:dyDescent="0.3">
      <c r="A413" t="s">
        <v>22</v>
      </c>
      <c r="B413" s="4">
        <v>2003</v>
      </c>
      <c r="C413" t="s">
        <v>48</v>
      </c>
      <c r="D413" s="8">
        <f>INDEX(GDP_pc!$E:$ZZ, MATCH(A413, GDP_pc!$C:$C, 0), MATCH(B413, GDP_pc!$E$1:$ZZ$1, 0))</f>
        <v>607700687237.31787</v>
      </c>
      <c r="E413">
        <f>INDEX(CH4_Em!$E:$ZZ, MATCH(A413, CH4_Em!$C:$C, 0), MATCH(B413, CH4_Em!$E$1:$ZZ$1, 0))</f>
        <v>484.3623</v>
      </c>
      <c r="F413">
        <f>INDEX(N2O_Em!$E:$ZZ, MATCH(A413, N2O_Em!$C:$C, 0), MATCH(B413, N2O_Em!$E$1:$ZZ$1, 0))</f>
        <v>126.8905</v>
      </c>
      <c r="G413">
        <f>INDEX(CO2_Em!$E:$ZZ, MATCH(A413, CO2_Em!$C:$C, 0), MATCH(B413, CO2_Em!$E$1:$ZZ$1, 0))</f>
        <v>17.107099999999999</v>
      </c>
      <c r="H413">
        <f>INDEX(Agri_VA!$E:$ZZ, MATCH(A413, Agri_VA!$C:$C, 0), MATCH(B413, Agri_VA!$E$1:$ZZ$1, 0))</f>
        <v>19.591997978425116</v>
      </c>
      <c r="I413" s="6">
        <f>INDEX('Agri_land '!$E:$ZZ, MATCH(A413, 'Agri_land '!$C:$C, 0), MATCH(B413, 'Agri_land '!$E$1:$ZZ$1, 0))</f>
        <v>60.624783481714928</v>
      </c>
      <c r="J413">
        <f>INDEX(Cereal_Yield!$E:$ZZ, MATCH(A413, Cereal_Yield!$C:$C, 0), MATCH(B413, Cereal_Yield!$E$1:$ZZ$1, 0))</f>
        <v>2399.4</v>
      </c>
    </row>
    <row r="414" spans="1:10" x14ac:dyDescent="0.3">
      <c r="A414" t="s">
        <v>22</v>
      </c>
      <c r="B414" s="4">
        <v>2004</v>
      </c>
      <c r="C414" t="s">
        <v>48</v>
      </c>
      <c r="D414" s="8">
        <f>INDEX(GDP_pc!$E:$ZZ, MATCH(A414, GDP_pc!$C:$C, 0), MATCH(B414, GDP_pc!$E$1:$ZZ$1, 0))</f>
        <v>709152728830.77454</v>
      </c>
      <c r="E414">
        <f>INDEX(CH4_Em!$E:$ZZ, MATCH(A414, CH4_Em!$C:$C, 0), MATCH(B414, CH4_Em!$E$1:$ZZ$1, 0))</f>
        <v>489.95729999999998</v>
      </c>
      <c r="F414">
        <f>INDEX(N2O_Em!$E:$ZZ, MATCH(A414, N2O_Em!$C:$C, 0), MATCH(B414, N2O_Em!$E$1:$ZZ$1, 0))</f>
        <v>131.31290000000001</v>
      </c>
      <c r="G414">
        <f>INDEX(CO2_Em!$E:$ZZ, MATCH(A414, CO2_Em!$C:$C, 0), MATCH(B414, CO2_Em!$E$1:$ZZ$1, 0))</f>
        <v>17.994900000000001</v>
      </c>
      <c r="H414">
        <f>INDEX(Agri_VA!$E:$ZZ, MATCH(A414, Agri_VA!$C:$C, 0), MATCH(B414, Agri_VA!$E$1:$ZZ$1, 0))</f>
        <v>17.81469064879936</v>
      </c>
      <c r="I414" s="6">
        <f>INDEX('Agri_land '!$E:$ZZ, MATCH(A414, 'Agri_land '!$C:$C, 0), MATCH(B414, 'Agri_land '!$E$1:$ZZ$1, 0))</f>
        <v>60.667162206249856</v>
      </c>
      <c r="J414">
        <f>INDEX(Cereal_Yield!$E:$ZZ, MATCH(A414, Cereal_Yield!$C:$C, 0), MATCH(B414, Cereal_Yield!$E$1:$ZZ$1, 0))</f>
        <v>2350</v>
      </c>
    </row>
    <row r="415" spans="1:10" x14ac:dyDescent="0.3">
      <c r="A415" t="s">
        <v>22</v>
      </c>
      <c r="B415" s="4">
        <v>2005</v>
      </c>
      <c r="C415" t="s">
        <v>48</v>
      </c>
      <c r="D415" s="8">
        <f>INDEX(GDP_pc!$E:$ZZ, MATCH(A415, GDP_pc!$C:$C, 0), MATCH(B415, GDP_pc!$E$1:$ZZ$1, 0))</f>
        <v>820383763511.44543</v>
      </c>
      <c r="E415">
        <f>INDEX(CH4_Em!$E:$ZZ, MATCH(A415, CH4_Em!$C:$C, 0), MATCH(B415, CH4_Em!$E$1:$ZZ$1, 0))</f>
        <v>501.9948</v>
      </c>
      <c r="F415">
        <f>INDEX(N2O_Em!$E:$ZZ, MATCH(A415, N2O_Em!$C:$C, 0), MATCH(B415, N2O_Em!$E$1:$ZZ$1, 0))</f>
        <v>138.2697</v>
      </c>
      <c r="G415">
        <f>INDEX(CO2_Em!$E:$ZZ, MATCH(A415, CO2_Em!$C:$C, 0), MATCH(B415, CO2_Em!$E$1:$ZZ$1, 0))</f>
        <v>19.412400000000002</v>
      </c>
      <c r="H415">
        <f>INDEX(Agri_VA!$E:$ZZ, MATCH(A415, Agri_VA!$C:$C, 0), MATCH(B415, Agri_VA!$E$1:$ZZ$1, 0))</f>
        <v>17.62020695488388</v>
      </c>
      <c r="I415" s="6">
        <f>INDEX('Agri_land '!$E:$ZZ, MATCH(A415, 'Agri_land '!$C:$C, 0), MATCH(B415, 'Agri_land '!$E$1:$ZZ$1, 0))</f>
        <v>60.583413774430831</v>
      </c>
      <c r="J415">
        <f>INDEX(Cereal_Yield!$E:$ZZ, MATCH(A415, Cereal_Yield!$C:$C, 0), MATCH(B415, Cereal_Yield!$E$1:$ZZ$1, 0))</f>
        <v>2411.6</v>
      </c>
    </row>
    <row r="416" spans="1:10" x14ac:dyDescent="0.3">
      <c r="A416" t="s">
        <v>22</v>
      </c>
      <c r="B416" s="4">
        <v>2006</v>
      </c>
      <c r="C416" t="s">
        <v>48</v>
      </c>
      <c r="D416" s="8">
        <f>INDEX(GDP_pc!$E:$ZZ, MATCH(A416, GDP_pc!$C:$C, 0), MATCH(B416, GDP_pc!$E$1:$ZZ$1, 0))</f>
        <v>940259888787.72144</v>
      </c>
      <c r="E416">
        <f>INDEX(CH4_Em!$E:$ZZ, MATCH(A416, CH4_Em!$C:$C, 0), MATCH(B416, CH4_Em!$E$1:$ZZ$1, 0))</f>
        <v>509.72250000000003</v>
      </c>
      <c r="F416">
        <f>INDEX(N2O_Em!$E:$ZZ, MATCH(A416, N2O_Em!$C:$C, 0), MATCH(B416, N2O_Em!$E$1:$ZZ$1, 0))</f>
        <v>145.3135</v>
      </c>
      <c r="G416">
        <f>INDEX(CO2_Em!$E:$ZZ, MATCH(A416, CO2_Em!$C:$C, 0), MATCH(B416, CO2_Em!$E$1:$ZZ$1, 0))</f>
        <v>21.1051</v>
      </c>
      <c r="H416">
        <f>INDEX(Agri_VA!$E:$ZZ, MATCH(A416, Agri_VA!$C:$C, 0), MATCH(B416, Agri_VA!$E$1:$ZZ$1, 0))</f>
        <v>16.80944209443814</v>
      </c>
      <c r="I416" s="6">
        <f>INDEX('Agri_land '!$E:$ZZ, MATCH(A416, 'Agri_land '!$C:$C, 0), MATCH(B416, 'Agri_land '!$E$1:$ZZ$1, 0))</f>
        <v>60.509419176036516</v>
      </c>
      <c r="J416">
        <f>INDEX(Cereal_Yield!$E:$ZZ, MATCH(A416, Cereal_Yield!$C:$C, 0), MATCH(B416, Cereal_Yield!$E$1:$ZZ$1, 0))</f>
        <v>2446.5</v>
      </c>
    </row>
    <row r="417" spans="1:10" x14ac:dyDescent="0.3">
      <c r="A417" t="s">
        <v>22</v>
      </c>
      <c r="B417" s="4">
        <v>2007</v>
      </c>
      <c r="C417" t="s">
        <v>48</v>
      </c>
      <c r="D417" s="8">
        <f>INDEX(GDP_pc!$E:$ZZ, MATCH(A417, GDP_pc!$C:$C, 0), MATCH(B417, GDP_pc!$E$1:$ZZ$1, 0))</f>
        <v>1216736438834.9553</v>
      </c>
      <c r="E417">
        <f>INDEX(CH4_Em!$E:$ZZ, MATCH(A417, CH4_Em!$C:$C, 0), MATCH(B417, CH4_Em!$E$1:$ZZ$1, 0))</f>
        <v>519.9606</v>
      </c>
      <c r="F417">
        <f>INDEX(N2O_Em!$E:$ZZ, MATCH(A417, N2O_Em!$C:$C, 0), MATCH(B417, N2O_Em!$E$1:$ZZ$1, 0))</f>
        <v>151.37819999999999</v>
      </c>
      <c r="G417">
        <f>INDEX(CO2_Em!$E:$ZZ, MATCH(A417, CO2_Em!$C:$C, 0), MATCH(B417, CO2_Em!$E$1:$ZZ$1, 0))</f>
        <v>22.126799999999999</v>
      </c>
      <c r="H417">
        <f>INDEX(Agri_VA!$E:$ZZ, MATCH(A417, Agri_VA!$C:$C, 0), MATCH(B417, Agri_VA!$E$1:$ZZ$1, 0))</f>
        <v>16.750119759756934</v>
      </c>
      <c r="I417" s="6">
        <f>INDEX('Agri_land '!$E:$ZZ, MATCH(A417, 'Agri_land '!$C:$C, 0), MATCH(B417, 'Agri_land '!$E$1:$ZZ$1, 0))</f>
        <v>60.413226198123901</v>
      </c>
      <c r="J417">
        <f>INDEX(Cereal_Yield!$E:$ZZ, MATCH(A417, Cereal_Yield!$C:$C, 0), MATCH(B417, Cereal_Yield!$E$1:$ZZ$1, 0))</f>
        <v>2583.3000000000002</v>
      </c>
    </row>
    <row r="418" spans="1:10" x14ac:dyDescent="0.3">
      <c r="A418" t="s">
        <v>22</v>
      </c>
      <c r="B418" s="4">
        <v>2008</v>
      </c>
      <c r="C418" t="s">
        <v>48</v>
      </c>
      <c r="D418" s="8">
        <f>INDEX(GDP_pc!$E:$ZZ, MATCH(A418, GDP_pc!$C:$C, 0), MATCH(B418, GDP_pc!$E$1:$ZZ$1, 0))</f>
        <v>1198895139005.9189</v>
      </c>
      <c r="E418">
        <f>INDEX(CH4_Em!$E:$ZZ, MATCH(A418, CH4_Em!$C:$C, 0), MATCH(B418, CH4_Em!$E$1:$ZZ$1, 0))</f>
        <v>523.47919999999999</v>
      </c>
      <c r="F418">
        <f>INDEX(N2O_Em!$E:$ZZ, MATCH(A418, N2O_Em!$C:$C, 0), MATCH(B418, N2O_Em!$E$1:$ZZ$1, 0))</f>
        <v>155.15270000000001</v>
      </c>
      <c r="G418">
        <f>INDEX(CO2_Em!$E:$ZZ, MATCH(A418, CO2_Em!$C:$C, 0), MATCH(B418, CO2_Em!$E$1:$ZZ$1, 0))</f>
        <v>23.2943</v>
      </c>
      <c r="H418">
        <f>INDEX(Agri_VA!$E:$ZZ, MATCH(A418, Agri_VA!$C:$C, 0), MATCH(B418, Agri_VA!$E$1:$ZZ$1, 0))</f>
        <v>16.790942359803669</v>
      </c>
      <c r="I418" s="6">
        <f>INDEX('Agri_land '!$E:$ZZ, MATCH(A418, 'Agri_land '!$C:$C, 0), MATCH(B418, 'Agri_land '!$E$1:$ZZ$1, 0))</f>
        <v>60.459304652578538</v>
      </c>
      <c r="J418">
        <f>INDEX(Cereal_Yield!$E:$ZZ, MATCH(A418, Cereal_Yield!$C:$C, 0), MATCH(B418, Cereal_Yield!$E$1:$ZZ$1, 0))</f>
        <v>2637.9</v>
      </c>
    </row>
    <row r="419" spans="1:10" x14ac:dyDescent="0.3">
      <c r="A419" t="s">
        <v>22</v>
      </c>
      <c r="B419" s="4">
        <v>2009</v>
      </c>
      <c r="C419" t="s">
        <v>48</v>
      </c>
      <c r="D419" s="8">
        <f>INDEX(GDP_pc!$E:$ZZ, MATCH(A419, GDP_pc!$C:$C, 0), MATCH(B419, GDP_pc!$E$1:$ZZ$1, 0))</f>
        <v>1341888016994.8982</v>
      </c>
      <c r="E419">
        <f>INDEX(CH4_Em!$E:$ZZ, MATCH(A419, CH4_Em!$C:$C, 0), MATCH(B419, CH4_Em!$E$1:$ZZ$1, 0))</f>
        <v>515.93420000000003</v>
      </c>
      <c r="F419">
        <f>INDEX(N2O_Em!$E:$ZZ, MATCH(A419, N2O_Em!$C:$C, 0), MATCH(B419, N2O_Em!$E$1:$ZZ$1, 0))</f>
        <v>157.28380000000001</v>
      </c>
      <c r="G419">
        <f>INDEX(CO2_Em!$E:$ZZ, MATCH(A419, CO2_Em!$C:$C, 0), MATCH(B419, CO2_Em!$E$1:$ZZ$1, 0))</f>
        <v>23.8766</v>
      </c>
      <c r="H419">
        <f>INDEX(Agri_VA!$E:$ZZ, MATCH(A419, Agri_VA!$C:$C, 0), MATCH(B419, Agri_VA!$E$1:$ZZ$1, 0))</f>
        <v>16.744270156316084</v>
      </c>
      <c r="I419" s="6">
        <f>INDEX('Agri_land '!$E:$ZZ, MATCH(A419, 'Agri_land '!$C:$C, 0), MATCH(B419, 'Agri_land '!$E$1:$ZZ$1, 0))</f>
        <v>60.563906107581424</v>
      </c>
      <c r="J419">
        <f>INDEX(Cereal_Yield!$E:$ZZ, MATCH(A419, Cereal_Yield!$C:$C, 0), MATCH(B419, Cereal_Yield!$E$1:$ZZ$1, 0))</f>
        <v>2580.8000000000002</v>
      </c>
    </row>
    <row r="420" spans="1:10" x14ac:dyDescent="0.3">
      <c r="A420" t="s">
        <v>22</v>
      </c>
      <c r="B420" s="4">
        <v>2010</v>
      </c>
      <c r="C420" t="s">
        <v>48</v>
      </c>
      <c r="D420" s="8">
        <f>INDEX(GDP_pc!$E:$ZZ, MATCH(A420, GDP_pc!$C:$C, 0), MATCH(B420, GDP_pc!$E$1:$ZZ$1, 0))</f>
        <v>1675615519484.959</v>
      </c>
      <c r="E420">
        <f>INDEX(CH4_Em!$E:$ZZ, MATCH(A420, CH4_Em!$C:$C, 0), MATCH(B420, CH4_Em!$E$1:$ZZ$1, 0))</f>
        <v>519.78610000000003</v>
      </c>
      <c r="F420">
        <f>INDEX(N2O_Em!$E:$ZZ, MATCH(A420, N2O_Em!$C:$C, 0), MATCH(B420, N2O_Em!$E$1:$ZZ$1, 0))</f>
        <v>163.11940000000001</v>
      </c>
      <c r="G420">
        <f>INDEX(CO2_Em!$E:$ZZ, MATCH(A420, CO2_Em!$C:$C, 0), MATCH(B420, CO2_Em!$E$1:$ZZ$1, 0))</f>
        <v>25.241199999999999</v>
      </c>
      <c r="H420">
        <f>INDEX(Agri_VA!$E:$ZZ, MATCH(A420, Agri_VA!$C:$C, 0), MATCH(B420, Agri_VA!$E$1:$ZZ$1, 0))</f>
        <v>17.026509013691189</v>
      </c>
      <c r="I420" s="6">
        <f>INDEX('Agri_land '!$E:$ZZ, MATCH(A420, 'Agri_land '!$C:$C, 0), MATCH(B420, 'Agri_land '!$E$1:$ZZ$1, 0))</f>
        <v>60.397418261194204</v>
      </c>
      <c r="J420">
        <f>INDEX(Cereal_Yield!$E:$ZZ, MATCH(A420, Cereal_Yield!$C:$C, 0), MATCH(B420, Cereal_Yield!$E$1:$ZZ$1, 0))</f>
        <v>2676.4</v>
      </c>
    </row>
    <row r="421" spans="1:10" x14ac:dyDescent="0.3">
      <c r="A421" t="s">
        <v>22</v>
      </c>
      <c r="B421" s="4">
        <v>2011</v>
      </c>
      <c r="C421" t="s">
        <v>48</v>
      </c>
      <c r="D421" s="8">
        <f>INDEX(GDP_pc!$E:$ZZ, MATCH(A421, GDP_pc!$C:$C, 0), MATCH(B421, GDP_pc!$E$1:$ZZ$1, 0))</f>
        <v>1823051829894.5461</v>
      </c>
      <c r="E421">
        <f>INDEX(CH4_Em!$E:$ZZ, MATCH(A421, CH4_Em!$C:$C, 0), MATCH(B421, CH4_Em!$E$1:$ZZ$1, 0))</f>
        <v>524.1318</v>
      </c>
      <c r="F421">
        <f>INDEX(N2O_Em!$E:$ZZ, MATCH(A421, N2O_Em!$C:$C, 0), MATCH(B421, N2O_Em!$E$1:$ZZ$1, 0))</f>
        <v>167.70650000000001</v>
      </c>
      <c r="G421">
        <f>INDEX(CO2_Em!$E:$ZZ, MATCH(A421, CO2_Em!$C:$C, 0), MATCH(B421, CO2_Em!$E$1:$ZZ$1, 0))</f>
        <v>25.939299999999999</v>
      </c>
      <c r="H421">
        <f>INDEX(Agri_VA!$E:$ZZ, MATCH(A421, Agri_VA!$C:$C, 0), MATCH(B421, Agri_VA!$E$1:$ZZ$1, 0))</f>
        <v>17.191973558014968</v>
      </c>
      <c r="I421" s="6">
        <f>INDEX('Agri_land '!$E:$ZZ, MATCH(A421, 'Agri_land '!$C:$C, 0), MATCH(B421, 'Agri_land '!$E$1:$ZZ$1, 0))</f>
        <v>60.430043152304421</v>
      </c>
      <c r="J421">
        <f>INDEX(Cereal_Yield!$E:$ZZ, MATCH(A421, Cereal_Yield!$C:$C, 0), MATCH(B421, Cereal_Yield!$E$1:$ZZ$1, 0))</f>
        <v>2860.7</v>
      </c>
    </row>
    <row r="422" spans="1:10" x14ac:dyDescent="0.3">
      <c r="A422" t="s">
        <v>22</v>
      </c>
      <c r="B422" s="4">
        <v>2012</v>
      </c>
      <c r="C422" t="s">
        <v>48</v>
      </c>
      <c r="D422" s="8">
        <f>INDEX(GDP_pc!$E:$ZZ, MATCH(A422, GDP_pc!$C:$C, 0), MATCH(B422, GDP_pc!$E$1:$ZZ$1, 0))</f>
        <v>1827637590410.4143</v>
      </c>
      <c r="E422">
        <f>INDEX(CH4_Em!$E:$ZZ, MATCH(A422, CH4_Em!$C:$C, 0), MATCH(B422, CH4_Em!$E$1:$ZZ$1, 0))</f>
        <v>521.73800000000006</v>
      </c>
      <c r="F422">
        <f>INDEX(N2O_Em!$E:$ZZ, MATCH(A422, N2O_Em!$C:$C, 0), MATCH(B422, N2O_Em!$E$1:$ZZ$1, 0))</f>
        <v>165.51949999999999</v>
      </c>
      <c r="G422">
        <f>INDEX(CO2_Em!$E:$ZZ, MATCH(A422, CO2_Em!$C:$C, 0), MATCH(B422, CO2_Em!$E$1:$ZZ$1, 0))</f>
        <v>25.860199999999999</v>
      </c>
      <c r="H422">
        <f>INDEX(Agri_VA!$E:$ZZ, MATCH(A422, Agri_VA!$C:$C, 0), MATCH(B422, Agri_VA!$E$1:$ZZ$1, 0))</f>
        <v>16.845377066135573</v>
      </c>
      <c r="I422" s="6">
        <f>INDEX('Agri_land '!$E:$ZZ, MATCH(A422, 'Agri_land '!$C:$C, 0), MATCH(B422, 'Agri_land '!$E$1:$ZZ$1, 0))</f>
        <v>60.420625657963335</v>
      </c>
      <c r="J422">
        <f>INDEX(Cereal_Yield!$E:$ZZ, MATCH(A422, Cereal_Yield!$C:$C, 0), MATCH(B422, Cereal_Yield!$E$1:$ZZ$1, 0))</f>
        <v>2963.5</v>
      </c>
    </row>
    <row r="423" spans="1:10" x14ac:dyDescent="0.3">
      <c r="A423" t="s">
        <v>22</v>
      </c>
      <c r="B423" s="4">
        <v>2013</v>
      </c>
      <c r="C423" t="s">
        <v>48</v>
      </c>
      <c r="D423" s="8">
        <f>INDEX(GDP_pc!$E:$ZZ, MATCH(A423, GDP_pc!$C:$C, 0), MATCH(B423, GDP_pc!$E$1:$ZZ$1, 0))</f>
        <v>1856721507621.5764</v>
      </c>
      <c r="E423">
        <f>INDEX(CH4_Em!$E:$ZZ, MATCH(A423, CH4_Em!$C:$C, 0), MATCH(B423, CH4_Em!$E$1:$ZZ$1, 0))</f>
        <v>525.11120000000005</v>
      </c>
      <c r="F423">
        <f>INDEX(N2O_Em!$E:$ZZ, MATCH(A423, N2O_Em!$C:$C, 0), MATCH(B423, N2O_Em!$E$1:$ZZ$1, 0))</f>
        <v>165.28200000000001</v>
      </c>
      <c r="G423">
        <f>INDEX(CO2_Em!$E:$ZZ, MATCH(A423, CO2_Em!$C:$C, 0), MATCH(B423, CO2_Em!$E$1:$ZZ$1, 0))</f>
        <v>25.558700000000002</v>
      </c>
      <c r="H423">
        <f>INDEX(Agri_VA!$E:$ZZ, MATCH(A423, Agri_VA!$C:$C, 0), MATCH(B423, Agri_VA!$E$1:$ZZ$1, 0))</f>
        <v>17.148423543369727</v>
      </c>
      <c r="I423" s="6">
        <f>INDEX('Agri_land '!$E:$ZZ, MATCH(A423, 'Agri_land '!$C:$C, 0), MATCH(B423, 'Agri_land '!$E$1:$ZZ$1, 0))</f>
        <v>60.439460646645529</v>
      </c>
      <c r="J423">
        <f>INDEX(Cereal_Yield!$E:$ZZ, MATCH(A423, Cereal_Yield!$C:$C, 0), MATCH(B423, Cereal_Yield!$E$1:$ZZ$1, 0))</f>
        <v>2977.5</v>
      </c>
    </row>
    <row r="424" spans="1:10" x14ac:dyDescent="0.3">
      <c r="A424" t="s">
        <v>22</v>
      </c>
      <c r="B424" s="4">
        <v>2014</v>
      </c>
      <c r="C424" t="s">
        <v>48</v>
      </c>
      <c r="D424" s="8">
        <f>INDEX(GDP_pc!$E:$ZZ, MATCH(A424, GDP_pc!$C:$C, 0), MATCH(B424, GDP_pc!$E$1:$ZZ$1, 0))</f>
        <v>2039126479154.5168</v>
      </c>
      <c r="E424">
        <f>INDEX(CH4_Em!$E:$ZZ, MATCH(A424, CH4_Em!$C:$C, 0), MATCH(B424, CH4_Em!$E$1:$ZZ$1, 0))</f>
        <v>525.55899999999997</v>
      </c>
      <c r="F424">
        <f>INDEX(N2O_Em!$E:$ZZ, MATCH(A424, N2O_Em!$C:$C, 0), MATCH(B424, N2O_Em!$E$1:$ZZ$1, 0))</f>
        <v>166.40459999999999</v>
      </c>
      <c r="G424">
        <f>INDEX(CO2_Em!$E:$ZZ, MATCH(A424, CO2_Em!$C:$C, 0), MATCH(B424, CO2_Em!$E$1:$ZZ$1, 0))</f>
        <v>25.662400000000002</v>
      </c>
      <c r="H424">
        <f>INDEX(Agri_VA!$E:$ZZ, MATCH(A424, Agri_VA!$C:$C, 0), MATCH(B424, Agri_VA!$E$1:$ZZ$1, 0))</f>
        <v>16.791934514503904</v>
      </c>
      <c r="I424" s="6">
        <f>INDEX('Agri_land '!$E:$ZZ, MATCH(A424, 'Agri_land '!$C:$C, 0), MATCH(B424, 'Agri_land '!$E$1:$ZZ$1, 0))</f>
        <v>60.449550819153842</v>
      </c>
      <c r="J424">
        <f>INDEX(Cereal_Yield!$E:$ZZ, MATCH(A424, Cereal_Yield!$C:$C, 0), MATCH(B424, Cereal_Yield!$E$1:$ZZ$1, 0))</f>
        <v>2966.4</v>
      </c>
    </row>
    <row r="425" spans="1:10" x14ac:dyDescent="0.3">
      <c r="A425" t="s">
        <v>22</v>
      </c>
      <c r="B425" s="4">
        <v>2015</v>
      </c>
      <c r="C425" t="s">
        <v>48</v>
      </c>
      <c r="D425" s="8">
        <f>INDEX(GDP_pc!$E:$ZZ, MATCH(A425, GDP_pc!$C:$C, 0), MATCH(B425, GDP_pc!$E$1:$ZZ$1, 0))</f>
        <v>2103588360044.9392</v>
      </c>
      <c r="E425">
        <f>INDEX(CH4_Em!$E:$ZZ, MATCH(A425, CH4_Em!$C:$C, 0), MATCH(B425, CH4_Em!$E$1:$ZZ$1, 0))</f>
        <v>528.14269999999999</v>
      </c>
      <c r="F425">
        <f>INDEX(N2O_Em!$E:$ZZ, MATCH(A425, N2O_Em!$C:$C, 0), MATCH(B425, N2O_Em!$E$1:$ZZ$1, 0))</f>
        <v>169.251</v>
      </c>
      <c r="G425">
        <f>INDEX(CO2_Em!$E:$ZZ, MATCH(A425, CO2_Em!$C:$C, 0), MATCH(B425, CO2_Em!$E$1:$ZZ$1, 0))</f>
        <v>26.160699999999999</v>
      </c>
      <c r="H425">
        <f>INDEX(Agri_VA!$E:$ZZ, MATCH(A425, Agri_VA!$C:$C, 0), MATCH(B425, Agri_VA!$E$1:$ZZ$1, 0))</f>
        <v>16.174508106840065</v>
      </c>
      <c r="I425" s="6">
        <f>INDEX('Agri_land '!$E:$ZZ, MATCH(A425, 'Agri_land '!$C:$C, 0), MATCH(B425, 'Agri_land '!$E$1:$ZZ$1, 0))</f>
        <v>60.431724847722478</v>
      </c>
      <c r="J425">
        <f>INDEX(Cereal_Yield!$E:$ZZ, MATCH(A425, Cereal_Yield!$C:$C, 0), MATCH(B425, Cereal_Yield!$E$1:$ZZ$1, 0))</f>
        <v>2854</v>
      </c>
    </row>
    <row r="426" spans="1:10" x14ac:dyDescent="0.3">
      <c r="A426" t="s">
        <v>22</v>
      </c>
      <c r="B426" s="4">
        <v>2016</v>
      </c>
      <c r="C426" t="s">
        <v>48</v>
      </c>
      <c r="D426" s="8">
        <f>INDEX(GDP_pc!$E:$ZZ, MATCH(A426, GDP_pc!$C:$C, 0), MATCH(B426, GDP_pc!$E$1:$ZZ$1, 0))</f>
        <v>2294796885663.1631</v>
      </c>
      <c r="E426">
        <f>INDEX(CH4_Em!$E:$ZZ, MATCH(A426, CH4_Em!$C:$C, 0), MATCH(B426, CH4_Em!$E$1:$ZZ$1, 0))</f>
        <v>533.11749999999995</v>
      </c>
      <c r="F426">
        <f>INDEX(N2O_Em!$E:$ZZ, MATCH(A426, N2O_Em!$C:$C, 0), MATCH(B426, N2O_Em!$E$1:$ZZ$1, 0))</f>
        <v>166.971</v>
      </c>
      <c r="G426">
        <f>INDEX(CO2_Em!$E:$ZZ, MATCH(A426, CO2_Em!$C:$C, 0), MATCH(B426, CO2_Em!$E$1:$ZZ$1, 0))</f>
        <v>25.338799999999999</v>
      </c>
      <c r="H426">
        <f>INDEX(Agri_VA!$E:$ZZ, MATCH(A426, Agri_VA!$C:$C, 0), MATCH(B426, Agri_VA!$E$1:$ZZ$1, 0))</f>
        <v>16.36380056163307</v>
      </c>
      <c r="I426" s="6">
        <f>INDEX('Agri_land '!$E:$ZZ, MATCH(A426, 'Agri_land '!$C:$C, 0), MATCH(B426, 'Agri_land '!$E$1:$ZZ$1, 0))</f>
        <v>60.399099956612254</v>
      </c>
      <c r="J426">
        <f>INDEX(Cereal_Yield!$E:$ZZ, MATCH(A426, Cereal_Yield!$C:$C, 0), MATCH(B426, Cereal_Yield!$E$1:$ZZ$1, 0))</f>
        <v>2995.1</v>
      </c>
    </row>
    <row r="427" spans="1:10" x14ac:dyDescent="0.3">
      <c r="A427" t="s">
        <v>22</v>
      </c>
      <c r="B427" s="4">
        <v>2017</v>
      </c>
      <c r="C427" t="s">
        <v>48</v>
      </c>
      <c r="D427" s="8">
        <f>INDEX(GDP_pc!$E:$ZZ, MATCH(A427, GDP_pc!$C:$C, 0), MATCH(B427, GDP_pc!$E$1:$ZZ$1, 0))</f>
        <v>2651474262755.4521</v>
      </c>
      <c r="E427">
        <f>INDEX(CH4_Em!$E:$ZZ, MATCH(A427, CH4_Em!$C:$C, 0), MATCH(B427, CH4_Em!$E$1:$ZZ$1, 0))</f>
        <v>535.79190000000006</v>
      </c>
      <c r="F427">
        <f>INDEX(N2O_Em!$E:$ZZ, MATCH(A427, N2O_Em!$C:$C, 0), MATCH(B427, N2O_Em!$E$1:$ZZ$1, 0))</f>
        <v>169.21430000000001</v>
      </c>
      <c r="G427">
        <f>INDEX(CO2_Em!$E:$ZZ, MATCH(A427, CO2_Em!$C:$C, 0), MATCH(B427, CO2_Em!$E$1:$ZZ$1, 0))</f>
        <v>25.857399999999998</v>
      </c>
      <c r="H427">
        <f>INDEX(Agri_VA!$E:$ZZ, MATCH(A427, Agri_VA!$C:$C, 0), MATCH(B427, Agri_VA!$E$1:$ZZ$1, 0))</f>
        <v>16.558331404936848</v>
      </c>
      <c r="I427" s="6">
        <f>INDEX('Agri_land '!$E:$ZZ, MATCH(A427, 'Agri_land '!$C:$C, 0), MATCH(B427, 'Agri_land '!$E$1:$ZZ$1, 0))</f>
        <v>60.284071990017452</v>
      </c>
      <c r="J427">
        <f>INDEX(Cereal_Yield!$E:$ZZ, MATCH(A427, Cereal_Yield!$C:$C, 0), MATCH(B427, Cereal_Yield!$E$1:$ZZ$1, 0))</f>
        <v>3127.7</v>
      </c>
    </row>
    <row r="428" spans="1:10" x14ac:dyDescent="0.3">
      <c r="A428" t="s">
        <v>22</v>
      </c>
      <c r="B428" s="4">
        <v>2018</v>
      </c>
      <c r="C428" t="s">
        <v>48</v>
      </c>
      <c r="D428" s="8">
        <f>INDEX(GDP_pc!$E:$ZZ, MATCH(A428, GDP_pc!$C:$C, 0), MATCH(B428, GDP_pc!$E$1:$ZZ$1, 0))</f>
        <v>2702929641648.7407</v>
      </c>
      <c r="E428">
        <f>INDEX(CH4_Em!$E:$ZZ, MATCH(A428, CH4_Em!$C:$C, 0), MATCH(B428, CH4_Em!$E$1:$ZZ$1, 0))</f>
        <v>539.94920000000002</v>
      </c>
      <c r="F428">
        <f>INDEX(N2O_Em!$E:$ZZ, MATCH(A428, N2O_Em!$C:$C, 0), MATCH(B428, N2O_Em!$E$1:$ZZ$1, 0))</f>
        <v>173.84829999999999</v>
      </c>
      <c r="G428">
        <f>INDEX(CO2_Em!$E:$ZZ, MATCH(A428, CO2_Em!$C:$C, 0), MATCH(B428, CO2_Em!$E$1:$ZZ$1, 0))</f>
        <v>26.91</v>
      </c>
      <c r="H428">
        <f>INDEX(Agri_VA!$E:$ZZ, MATCH(A428, Agri_VA!$C:$C, 0), MATCH(B428, Agri_VA!$E$1:$ZZ$1, 0))</f>
        <v>16.031630686448953</v>
      </c>
      <c r="I428" s="6">
        <f>INDEX('Agri_land '!$E:$ZZ, MATCH(A428, 'Agri_land '!$C:$C, 0), MATCH(B428, 'Agri_land '!$E$1:$ZZ$1, 0))</f>
        <v>60.243711299984191</v>
      </c>
      <c r="J428">
        <f>INDEX(Cereal_Yield!$E:$ZZ, MATCH(A428, Cereal_Yield!$C:$C, 0), MATCH(B428, Cereal_Yield!$E$1:$ZZ$1, 0))</f>
        <v>3278</v>
      </c>
    </row>
    <row r="429" spans="1:10" x14ac:dyDescent="0.3">
      <c r="A429" t="s">
        <v>22</v>
      </c>
      <c r="B429" s="4">
        <v>2019</v>
      </c>
      <c r="C429" t="s">
        <v>48</v>
      </c>
      <c r="D429" s="8">
        <f>INDEX(GDP_pc!$E:$ZZ, MATCH(A429, GDP_pc!$C:$C, 0), MATCH(B429, GDP_pc!$E$1:$ZZ$1, 0))</f>
        <v>2835606256558.1948</v>
      </c>
      <c r="E429">
        <f>INDEX(CH4_Em!$E:$ZZ, MATCH(A429, CH4_Em!$C:$C, 0), MATCH(B429, CH4_Em!$E$1:$ZZ$1, 0))</f>
        <v>541.69159999999999</v>
      </c>
      <c r="F429">
        <f>INDEX(N2O_Em!$E:$ZZ, MATCH(A429, N2O_Em!$C:$C, 0), MATCH(B429, N2O_Em!$E$1:$ZZ$1, 0))</f>
        <v>182.39340000000001</v>
      </c>
      <c r="G429">
        <f>INDEX(CO2_Em!$E:$ZZ, MATCH(A429, CO2_Em!$C:$C, 0), MATCH(B429, CO2_Em!$E$1:$ZZ$1, 0))</f>
        <v>29.193200000000001</v>
      </c>
      <c r="H429">
        <f>INDEX(Agri_VA!$E:$ZZ, MATCH(A429, Agri_VA!$C:$C, 0), MATCH(B429, Agri_VA!$E$1:$ZZ$1, 0))</f>
        <v>16.755568303283702</v>
      </c>
      <c r="I429" s="6">
        <f>INDEX('Agri_land '!$E:$ZZ, MATCH(A429, 'Agri_land '!$C:$C, 0), MATCH(B429, 'Agri_land '!$E$1:$ZZ$1, 0))</f>
        <v>60.219831225047848</v>
      </c>
      <c r="J429">
        <f>INDEX(Cereal_Yield!$E:$ZZ, MATCH(A429, Cereal_Yield!$C:$C, 0), MATCH(B429, Cereal_Yield!$E$1:$ZZ$1, 0))</f>
        <v>3416</v>
      </c>
    </row>
    <row r="430" spans="1:10" x14ac:dyDescent="0.3">
      <c r="A430" t="s">
        <v>22</v>
      </c>
      <c r="B430" s="4">
        <v>2020</v>
      </c>
      <c r="C430" t="s">
        <v>48</v>
      </c>
      <c r="D430" s="8">
        <f>INDEX(GDP_pc!$E:$ZZ, MATCH(A430, GDP_pc!$C:$C, 0), MATCH(B430, GDP_pc!$E$1:$ZZ$1, 0))</f>
        <v>2674851578587.2686</v>
      </c>
      <c r="E430">
        <f>INDEX(CH4_Em!$E:$ZZ, MATCH(A430, CH4_Em!$C:$C, 0), MATCH(B430, CH4_Em!$E$1:$ZZ$1, 0))</f>
        <v>550.93230000000005</v>
      </c>
      <c r="F430">
        <f>INDEX(N2O_Em!$E:$ZZ, MATCH(A430, N2O_Em!$C:$C, 0), MATCH(B430, N2O_Em!$E$1:$ZZ$1, 0))</f>
        <v>190.64330000000001</v>
      </c>
      <c r="G430">
        <f>INDEX(CO2_Em!$E:$ZZ, MATCH(A430, CO2_Em!$C:$C, 0), MATCH(B430, CO2_Em!$E$1:$ZZ$1, 0))</f>
        <v>30.969100000000001</v>
      </c>
      <c r="H430">
        <f>INDEX(Agri_VA!$E:$ZZ, MATCH(A430, Agri_VA!$C:$C, 0), MATCH(B430, Agri_VA!$E$1:$ZZ$1, 0))</f>
        <v>18.668537660372674</v>
      </c>
      <c r="I430" s="6">
        <f>INDEX('Agri_land '!$E:$ZZ, MATCH(A430, 'Agri_land '!$C:$C, 0), MATCH(B430, 'Agri_land '!$E$1:$ZZ$1, 0))</f>
        <v>60.045943918821202</v>
      </c>
      <c r="J430">
        <f>INDEX(Cereal_Yield!$E:$ZZ, MATCH(A430, Cereal_Yield!$C:$C, 0), MATCH(B430, Cereal_Yield!$E$1:$ZZ$1, 0))</f>
        <v>3383.8</v>
      </c>
    </row>
    <row r="431" spans="1:10" x14ac:dyDescent="0.3">
      <c r="A431" t="s">
        <v>22</v>
      </c>
      <c r="B431" s="4">
        <v>2021</v>
      </c>
      <c r="C431" t="s">
        <v>48</v>
      </c>
      <c r="D431" s="8">
        <f>INDEX(GDP_pc!$E:$ZZ, MATCH(A431, GDP_pc!$C:$C, 0), MATCH(B431, GDP_pc!$E$1:$ZZ$1, 0))</f>
        <v>3167270623260.4688</v>
      </c>
      <c r="E431">
        <f>INDEX(CH4_Em!$E:$ZZ, MATCH(A431, CH4_Em!$C:$C, 0), MATCH(B431, CH4_Em!$E$1:$ZZ$1, 0))</f>
        <v>551.19060000000002</v>
      </c>
      <c r="F431">
        <f>INDEX(N2O_Em!$E:$ZZ, MATCH(A431, N2O_Em!$C:$C, 0), MATCH(B431, N2O_Em!$E$1:$ZZ$1, 0))</f>
        <v>185.59479999999999</v>
      </c>
      <c r="G431">
        <f>INDEX(CO2_Em!$E:$ZZ, MATCH(A431, CO2_Em!$C:$C, 0), MATCH(B431, CO2_Em!$E$1:$ZZ$1, 0))</f>
        <v>29.244599999999998</v>
      </c>
      <c r="H431">
        <f>INDEX(Agri_VA!$E:$ZZ, MATCH(A431, Agri_VA!$C:$C, 0), MATCH(B431, Agri_VA!$E$1:$ZZ$1, 0))</f>
        <v>17.372561526031365</v>
      </c>
      <c r="I431" s="6">
        <f>INDEX('Agri_land '!$E:$ZZ, MATCH(A431, 'Agri_land '!$C:$C, 0), MATCH(B431, 'Agri_land '!$E$1:$ZZ$1, 0))</f>
        <v>60.050764767808317</v>
      </c>
      <c r="J431">
        <f>INDEX(Cereal_Yield!$E:$ZZ, MATCH(A431, Cereal_Yield!$C:$C, 0), MATCH(B431, Cereal_Yield!$E$1:$ZZ$1, 0))</f>
        <v>3497.8</v>
      </c>
    </row>
    <row r="432" spans="1:10" x14ac:dyDescent="0.3">
      <c r="A432" t="s">
        <v>22</v>
      </c>
      <c r="B432" s="4">
        <v>2022</v>
      </c>
      <c r="C432" t="s">
        <v>48</v>
      </c>
      <c r="D432" s="8">
        <f>INDEX(GDP_pc!$E:$ZZ, MATCH(A432, GDP_pc!$C:$C, 0), MATCH(B432, GDP_pc!$E$1:$ZZ$1, 0))</f>
        <v>3346107287730.9272</v>
      </c>
      <c r="E432">
        <f>INDEX(CH4_Em!$E:$ZZ, MATCH(A432, CH4_Em!$C:$C, 0), MATCH(B432, CH4_Em!$E$1:$ZZ$1, 0))</f>
        <v>556.73109999999997</v>
      </c>
      <c r="F432">
        <f>INDEX(N2O_Em!$E:$ZZ, MATCH(A432, N2O_Em!$C:$C, 0), MATCH(B432, N2O_Em!$E$1:$ZZ$1, 0))</f>
        <v>190.25659999999999</v>
      </c>
      <c r="G432">
        <f>INDEX(CO2_Em!$E:$ZZ, MATCH(A432, CO2_Em!$C:$C, 0), MATCH(B432, CO2_Em!$E$1:$ZZ$1, 0))</f>
        <v>30.768999999999998</v>
      </c>
      <c r="H432">
        <f>INDEX(Agri_VA!$E:$ZZ, MATCH(A432, Agri_VA!$C:$C, 0), MATCH(B432, Agri_VA!$E$1:$ZZ$1, 0))</f>
        <v>16.546129592575387</v>
      </c>
      <c r="I432" s="6">
        <f>INDEX('Agri_land '!$E:$ZZ, MATCH(A432, 'Agri_land '!$C:$C, 0), MATCH(B432, 'Agri_land '!$E$1:$ZZ$1, 0))</f>
        <v>60.055585650429336</v>
      </c>
      <c r="J432">
        <f>INDEX(Cereal_Yield!$E:$ZZ, MATCH(A432, Cereal_Yield!$C:$C, 0), MATCH(B432, Cereal_Yield!$E$1:$ZZ$1, 0))</f>
        <v>3589.1</v>
      </c>
    </row>
    <row r="433" spans="1:10" x14ac:dyDescent="0.3">
      <c r="A433" t="s">
        <v>22</v>
      </c>
      <c r="B433" s="4">
        <v>2023</v>
      </c>
      <c r="C433" t="s">
        <v>48</v>
      </c>
      <c r="D433" s="8">
        <f>INDEX(GDP_pc!$E:$ZZ, MATCH(A433, GDP_pc!$C:$C, 0), MATCH(B433, GDP_pc!$E$1:$ZZ$1, 0))</f>
        <v>3638489096033.8589</v>
      </c>
      <c r="E433">
        <f>INDEX(CH4_Em!$E:$ZZ, MATCH(A433, CH4_Em!$C:$C, 0), MATCH(B433, CH4_Em!$E$1:$ZZ$1, 0))</f>
        <v>565.9067</v>
      </c>
      <c r="F433">
        <f>INDEX(N2O_Em!$E:$ZZ, MATCH(A433, N2O_Em!$C:$C, 0), MATCH(B433, N2O_Em!$E$1:$ZZ$1, 0))</f>
        <v>196.13300000000001</v>
      </c>
      <c r="G433">
        <f>INDEX(CO2_Em!$E:$ZZ, MATCH(A433, CO2_Em!$C:$C, 0), MATCH(B433, CO2_Em!$E$1:$ZZ$1, 0))</f>
        <v>31.920999999999999</v>
      </c>
      <c r="H433">
        <f>INDEX(Agri_VA!$E:$ZZ, MATCH(A433, Agri_VA!$C:$C, 0), MATCH(B433, Agri_VA!$E$1:$ZZ$1, 0))</f>
        <v>16.193189357159135</v>
      </c>
      <c r="I433" s="6">
        <f>INDEX('Agri_land '!$E:$ZZ, MATCH(A433, 'Agri_land '!$C:$C, 0), MATCH(B433, 'Agri_land '!$E$1:$ZZ$1, 0))</f>
        <v>60.060406499416452</v>
      </c>
      <c r="J433">
        <f>INDEX(Cereal_Yield!$E:$ZZ, MATCH(A433, Cereal_Yield!$C:$C, 0), MATCH(B433, Cereal_Yield!$E$1:$ZZ$1, 0))</f>
        <v>3626.4</v>
      </c>
    </row>
    <row r="434" spans="1:10" x14ac:dyDescent="0.3">
      <c r="A434" t="s">
        <v>23</v>
      </c>
      <c r="B434" s="4">
        <v>2000</v>
      </c>
      <c r="C434" t="s">
        <v>49</v>
      </c>
      <c r="D434" s="8">
        <f>INDEX(GDP_pc!$E:$ZZ, MATCH(A434, GDP_pc!$C:$C, 0), MATCH(B434, GDP_pc!$E$1:$ZZ$1, 0))</f>
        <v>165021012077.80963</v>
      </c>
      <c r="E434">
        <f>INDEX(CH4_Em!$E:$ZZ, MATCH(A434, CH4_Em!$C:$C, 0), MATCH(B434, CH4_Em!$E$1:$ZZ$1, 0))</f>
        <v>77.019599999999997</v>
      </c>
      <c r="F434">
        <f>INDEX(N2O_Em!$E:$ZZ, MATCH(A434, N2O_Em!$C:$C, 0), MATCH(B434, N2O_Em!$E$1:$ZZ$1, 0))</f>
        <v>31.741099999999999</v>
      </c>
      <c r="G434">
        <f>INDEX(CO2_Em!$E:$ZZ, MATCH(A434, CO2_Em!$C:$C, 0), MATCH(B434, CO2_Em!$E$1:$ZZ$1, 0))</f>
        <v>3.5589</v>
      </c>
      <c r="H434">
        <f>INDEX(Agri_VA!$E:$ZZ, MATCH(A434, Agri_VA!$C:$C, 0), MATCH(B434, Agri_VA!$E$1:$ZZ$1, 0))</f>
        <v>15.678704438770763</v>
      </c>
      <c r="I434" s="6">
        <f>INDEX('Agri_land '!$E:$ZZ, MATCH(A434, 'Agri_land '!$C:$C, 0), MATCH(B434, 'Agri_land '!$E$1:$ZZ$1, 0))</f>
        <v>23.764340067930071</v>
      </c>
      <c r="J434">
        <f>INDEX(Cereal_Yield!$E:$ZZ, MATCH(A434, Cereal_Yield!$C:$C, 0), MATCH(B434, Cereal_Yield!$E$1:$ZZ$1, 0))</f>
        <v>4026.4</v>
      </c>
    </row>
    <row r="435" spans="1:10" x14ac:dyDescent="0.3">
      <c r="A435" t="s">
        <v>23</v>
      </c>
      <c r="B435" s="4">
        <v>2001</v>
      </c>
      <c r="C435" t="s">
        <v>49</v>
      </c>
      <c r="D435" s="8">
        <f>INDEX(GDP_pc!$E:$ZZ, MATCH(A435, GDP_pc!$C:$C, 0), MATCH(B435, GDP_pc!$E$1:$ZZ$1, 0))</f>
        <v>160446947784.90857</v>
      </c>
      <c r="E435">
        <f>INDEX(CH4_Em!$E:$ZZ, MATCH(A435, CH4_Em!$C:$C, 0), MATCH(B435, CH4_Em!$E$1:$ZZ$1, 0))</f>
        <v>76.049099999999996</v>
      </c>
      <c r="F435">
        <f>INDEX(N2O_Em!$E:$ZZ, MATCH(A435, N2O_Em!$C:$C, 0), MATCH(B435, N2O_Em!$E$1:$ZZ$1, 0))</f>
        <v>31.834800000000001</v>
      </c>
      <c r="G435">
        <f>INDEX(CO2_Em!$E:$ZZ, MATCH(A435, CO2_Em!$C:$C, 0), MATCH(B435, CO2_Em!$E$1:$ZZ$1, 0))</f>
        <v>3.5691999999999999</v>
      </c>
      <c r="H435">
        <f>INDEX(Agri_VA!$E:$ZZ, MATCH(A435, Agri_VA!$C:$C, 0), MATCH(B435, Agri_VA!$E$1:$ZZ$1, 0))</f>
        <v>15.994917762138877</v>
      </c>
      <c r="I435" s="6">
        <f>INDEX('Agri_land '!$E:$ZZ, MATCH(A435, 'Agri_land '!$C:$C, 0), MATCH(B435, 'Agri_land '!$E$1:$ZZ$1, 0))</f>
        <v>24.202684500130225</v>
      </c>
      <c r="J435">
        <f>INDEX(Cereal_Yield!$E:$ZZ, MATCH(A435, Cereal_Yield!$C:$C, 0), MATCH(B435, Cereal_Yield!$E$1:$ZZ$1, 0))</f>
        <v>4044.9</v>
      </c>
    </row>
    <row r="436" spans="1:10" x14ac:dyDescent="0.3">
      <c r="A436" t="s">
        <v>23</v>
      </c>
      <c r="B436" s="4">
        <v>2002</v>
      </c>
      <c r="C436" t="s">
        <v>49</v>
      </c>
      <c r="D436" s="8">
        <f>INDEX(GDP_pc!$E:$ZZ, MATCH(A436, GDP_pc!$C:$C, 0), MATCH(B436, GDP_pc!$E$1:$ZZ$1, 0))</f>
        <v>195660611165.18344</v>
      </c>
      <c r="E436">
        <f>INDEX(CH4_Em!$E:$ZZ, MATCH(A436, CH4_Em!$C:$C, 0), MATCH(B436, CH4_Em!$E$1:$ZZ$1, 0))</f>
        <v>76.958100000000002</v>
      </c>
      <c r="F436">
        <f>INDEX(N2O_Em!$E:$ZZ, MATCH(A436, N2O_Em!$C:$C, 0), MATCH(B436, N2O_Em!$E$1:$ZZ$1, 0))</f>
        <v>34.027999999999999</v>
      </c>
      <c r="G436">
        <f>INDEX(CO2_Em!$E:$ZZ, MATCH(A436, CO2_Em!$C:$C, 0), MATCH(B436, CO2_Em!$E$1:$ZZ$1, 0))</f>
        <v>3.9940000000000002</v>
      </c>
      <c r="H436">
        <f>INDEX(Agri_VA!$E:$ZZ, MATCH(A436, Agri_VA!$C:$C, 0), MATCH(B436, Agri_VA!$E$1:$ZZ$1, 0))</f>
        <v>16.319668966437874</v>
      </c>
      <c r="I436" s="6">
        <f>INDEX('Agri_land '!$E:$ZZ, MATCH(A436, 'Agri_land '!$C:$C, 0), MATCH(B436, 'Agri_land '!$E$1:$ZZ$1, 0))</f>
        <v>24.522255167590849</v>
      </c>
      <c r="J436">
        <f>INDEX(Cereal_Yield!$E:$ZZ, MATCH(A436, Cereal_Yield!$C:$C, 0), MATCH(B436, Cereal_Yield!$E$1:$ZZ$1, 0))</f>
        <v>4169.5</v>
      </c>
    </row>
    <row r="437" spans="1:10" x14ac:dyDescent="0.3">
      <c r="A437" t="s">
        <v>23</v>
      </c>
      <c r="B437" s="4">
        <v>2003</v>
      </c>
      <c r="C437" t="s">
        <v>49</v>
      </c>
      <c r="D437" s="8">
        <f>INDEX(GDP_pc!$E:$ZZ, MATCH(A437, GDP_pc!$C:$C, 0), MATCH(B437, GDP_pc!$E$1:$ZZ$1, 0))</f>
        <v>234772463823.80835</v>
      </c>
      <c r="E437">
        <f>INDEX(CH4_Em!$E:$ZZ, MATCH(A437, CH4_Em!$C:$C, 0), MATCH(B437, CH4_Em!$E$1:$ZZ$1, 0))</f>
        <v>75.658299999999997</v>
      </c>
      <c r="F437">
        <f>INDEX(N2O_Em!$E:$ZZ, MATCH(A437, N2O_Em!$C:$C, 0), MATCH(B437, N2O_Em!$E$1:$ZZ$1, 0))</f>
        <v>33.667200000000001</v>
      </c>
      <c r="G437">
        <f>INDEX(CO2_Em!$E:$ZZ, MATCH(A437, CO2_Em!$C:$C, 0), MATCH(B437, CO2_Em!$E$1:$ZZ$1, 0))</f>
        <v>4.1094999999999997</v>
      </c>
      <c r="H437">
        <f>INDEX(Agri_VA!$E:$ZZ, MATCH(A437, Agri_VA!$C:$C, 0), MATCH(B437, Agri_VA!$E$1:$ZZ$1, 0))</f>
        <v>15.185348218624798</v>
      </c>
      <c r="I437" s="6">
        <f>INDEX('Agri_land '!$E:$ZZ, MATCH(A437, 'Agri_land '!$C:$C, 0), MATCH(B437, 'Agri_land '!$E$1:$ZZ$1, 0))</f>
        <v>24.788564057141365</v>
      </c>
      <c r="J437">
        <f>INDEX(Cereal_Yield!$E:$ZZ, MATCH(A437, Cereal_Yield!$C:$C, 0), MATCH(B437, Cereal_Yield!$E$1:$ZZ$1, 0))</f>
        <v>4248.1000000000004</v>
      </c>
    </row>
    <row r="438" spans="1:10" x14ac:dyDescent="0.3">
      <c r="A438" t="s">
        <v>23</v>
      </c>
      <c r="B438" s="4">
        <v>2004</v>
      </c>
      <c r="C438" t="s">
        <v>49</v>
      </c>
      <c r="D438" s="8">
        <f>INDEX(GDP_pc!$E:$ZZ, MATCH(A438, GDP_pc!$C:$C, 0), MATCH(B438, GDP_pc!$E$1:$ZZ$1, 0))</f>
        <v>256836875295.4519</v>
      </c>
      <c r="E438">
        <f>INDEX(CH4_Em!$E:$ZZ, MATCH(A438, CH4_Em!$C:$C, 0), MATCH(B438, CH4_Em!$E$1:$ZZ$1, 0))</f>
        <v>77.483199999999997</v>
      </c>
      <c r="F438">
        <f>INDEX(N2O_Em!$E:$ZZ, MATCH(A438, N2O_Em!$C:$C, 0), MATCH(B438, N2O_Em!$E$1:$ZZ$1, 0))</f>
        <v>34.569099999999999</v>
      </c>
      <c r="G438">
        <f>INDEX(CO2_Em!$E:$ZZ, MATCH(A438, CO2_Em!$C:$C, 0), MATCH(B438, CO2_Em!$E$1:$ZZ$1, 0))</f>
        <v>4.3403</v>
      </c>
      <c r="H438">
        <f>INDEX(Agri_VA!$E:$ZZ, MATCH(A438, Agri_VA!$C:$C, 0), MATCH(B438, Agri_VA!$E$1:$ZZ$1, 0))</f>
        <v>14.335780295564184</v>
      </c>
      <c r="I438" s="6">
        <f>INDEX('Agri_land '!$E:$ZZ, MATCH(A438, 'Agri_land '!$C:$C, 0), MATCH(B438, 'Agri_land '!$E$1:$ZZ$1, 0))</f>
        <v>24.837368143811062</v>
      </c>
      <c r="J438">
        <f>INDEX(Cereal_Yield!$E:$ZZ, MATCH(A438, Cereal_Yield!$C:$C, 0), MATCH(B438, Cereal_Yield!$E$1:$ZZ$1, 0))</f>
        <v>4274.5</v>
      </c>
    </row>
    <row r="439" spans="1:10" x14ac:dyDescent="0.3">
      <c r="A439" t="s">
        <v>23</v>
      </c>
      <c r="B439" s="4">
        <v>2005</v>
      </c>
      <c r="C439" t="s">
        <v>49</v>
      </c>
      <c r="D439" s="8">
        <f>INDEX(GDP_pc!$E:$ZZ, MATCH(A439, GDP_pc!$C:$C, 0), MATCH(B439, GDP_pc!$E$1:$ZZ$1, 0))</f>
        <v>285868619196.08478</v>
      </c>
      <c r="E439">
        <f>INDEX(CH4_Em!$E:$ZZ, MATCH(A439, CH4_Em!$C:$C, 0), MATCH(B439, CH4_Em!$E$1:$ZZ$1, 0))</f>
        <v>77.221599999999995</v>
      </c>
      <c r="F439">
        <f>INDEX(N2O_Em!$E:$ZZ, MATCH(A439, N2O_Em!$C:$C, 0), MATCH(B439, N2O_Em!$E$1:$ZZ$1, 0))</f>
        <v>35.680799999999998</v>
      </c>
      <c r="G439">
        <f>INDEX(CO2_Em!$E:$ZZ, MATCH(A439, CO2_Em!$C:$C, 0), MATCH(B439, CO2_Em!$E$1:$ZZ$1, 0))</f>
        <v>4.5872999999999999</v>
      </c>
      <c r="H439">
        <f>INDEX(Agri_VA!$E:$ZZ, MATCH(A439, Agri_VA!$C:$C, 0), MATCH(B439, Agri_VA!$E$1:$ZZ$1, 0))</f>
        <v>13.12661864005057</v>
      </c>
      <c r="I439" s="6">
        <f>INDEX('Agri_land '!$E:$ZZ, MATCH(A439, 'Agri_land '!$C:$C, 0), MATCH(B439, 'Agri_land '!$E$1:$ZZ$1, 0))</f>
        <v>24.939434008390862</v>
      </c>
      <c r="J439">
        <f>INDEX(Cereal_Yield!$E:$ZZ, MATCH(A439, Cereal_Yield!$C:$C, 0), MATCH(B439, Cereal_Yield!$E$1:$ZZ$1, 0))</f>
        <v>4311.3</v>
      </c>
    </row>
    <row r="440" spans="1:10" x14ac:dyDescent="0.3">
      <c r="A440" t="s">
        <v>23</v>
      </c>
      <c r="B440" s="4">
        <v>2006</v>
      </c>
      <c r="C440" t="s">
        <v>49</v>
      </c>
      <c r="D440" s="8">
        <f>INDEX(GDP_pc!$E:$ZZ, MATCH(A440, GDP_pc!$C:$C, 0), MATCH(B440, GDP_pc!$E$1:$ZZ$1, 0))</f>
        <v>364570515618.35693</v>
      </c>
      <c r="E440">
        <f>INDEX(CH4_Em!$E:$ZZ, MATCH(A440, CH4_Em!$C:$C, 0), MATCH(B440, CH4_Em!$E$1:$ZZ$1, 0))</f>
        <v>77.896199999999993</v>
      </c>
      <c r="F440">
        <f>INDEX(N2O_Em!$E:$ZZ, MATCH(A440, N2O_Em!$C:$C, 0), MATCH(B440, N2O_Em!$E$1:$ZZ$1, 0))</f>
        <v>35.242100000000001</v>
      </c>
      <c r="G440">
        <f>INDEX(CO2_Em!$E:$ZZ, MATCH(A440, CO2_Em!$C:$C, 0), MATCH(B440, CO2_Em!$E$1:$ZZ$1, 0))</f>
        <v>4.2312000000000003</v>
      </c>
      <c r="H440">
        <f>INDEX(Agri_VA!$E:$ZZ, MATCH(A440, Agri_VA!$C:$C, 0), MATCH(B440, Agri_VA!$E$1:$ZZ$1, 0))</f>
        <v>12.973802719248418</v>
      </c>
      <c r="I440" s="6">
        <f>INDEX('Agri_land '!$E:$ZZ, MATCH(A440, 'Agri_land '!$C:$C, 0), MATCH(B440, 'Agri_land '!$E$1:$ZZ$1, 0))</f>
        <v>25.52085587416159</v>
      </c>
      <c r="J440">
        <f>INDEX(Cereal_Yield!$E:$ZZ, MATCH(A440, Cereal_Yield!$C:$C, 0), MATCH(B440, Cereal_Yield!$E$1:$ZZ$1, 0))</f>
        <v>4365.8</v>
      </c>
    </row>
    <row r="441" spans="1:10" x14ac:dyDescent="0.3">
      <c r="A441" t="s">
        <v>23</v>
      </c>
      <c r="B441" s="4">
        <v>2007</v>
      </c>
      <c r="C441" t="s">
        <v>49</v>
      </c>
      <c r="D441" s="8">
        <f>INDEX(GDP_pc!$E:$ZZ, MATCH(A441, GDP_pc!$C:$C, 0), MATCH(B441, GDP_pc!$E$1:$ZZ$1, 0))</f>
        <v>432216737774.86053</v>
      </c>
      <c r="E441">
        <f>INDEX(CH4_Em!$E:$ZZ, MATCH(A441, CH4_Em!$C:$C, 0), MATCH(B441, CH4_Em!$E$1:$ZZ$1, 0))</f>
        <v>79.451700000000002</v>
      </c>
      <c r="F441">
        <f>INDEX(N2O_Em!$E:$ZZ, MATCH(A441, N2O_Em!$C:$C, 0), MATCH(B441, N2O_Em!$E$1:$ZZ$1, 0))</f>
        <v>37.4024</v>
      </c>
      <c r="G441">
        <f>INDEX(CO2_Em!$E:$ZZ, MATCH(A441, CO2_Em!$C:$C, 0), MATCH(B441, CO2_Em!$E$1:$ZZ$1, 0))</f>
        <v>4.5324999999999998</v>
      </c>
      <c r="H441">
        <f>INDEX(Agri_VA!$E:$ZZ, MATCH(A441, Agri_VA!$C:$C, 0), MATCH(B441, Agri_VA!$E$1:$ZZ$1, 0))</f>
        <v>13.716683103456202</v>
      </c>
      <c r="I441" s="6">
        <f>INDEX('Agri_land '!$E:$ZZ, MATCH(A441, 'Agri_land '!$C:$C, 0), MATCH(B441, 'Agri_land '!$E$1:$ZZ$1, 0))</f>
        <v>26.049015962022221</v>
      </c>
      <c r="J441">
        <f>INDEX(Cereal_Yield!$E:$ZZ, MATCH(A441, Cereal_Yield!$C:$C, 0), MATCH(B441, Cereal_Yield!$E$1:$ZZ$1, 0))</f>
        <v>4413.8999999999996</v>
      </c>
    </row>
    <row r="442" spans="1:10" x14ac:dyDescent="0.3">
      <c r="A442" t="s">
        <v>23</v>
      </c>
      <c r="B442" s="4">
        <v>2008</v>
      </c>
      <c r="C442" t="s">
        <v>49</v>
      </c>
      <c r="D442" s="8">
        <f>INDEX(GDP_pc!$E:$ZZ, MATCH(A442, GDP_pc!$C:$C, 0), MATCH(B442, GDP_pc!$E$1:$ZZ$1, 0))</f>
        <v>510228634992.25824</v>
      </c>
      <c r="E442">
        <f>INDEX(CH4_Em!$E:$ZZ, MATCH(A442, CH4_Em!$C:$C, 0), MATCH(B442, CH4_Em!$E$1:$ZZ$1, 0))</f>
        <v>81.250600000000006</v>
      </c>
      <c r="F442">
        <f>INDEX(N2O_Em!$E:$ZZ, MATCH(A442, N2O_Em!$C:$C, 0), MATCH(B442, N2O_Em!$E$1:$ZZ$1, 0))</f>
        <v>38.802199999999999</v>
      </c>
      <c r="G442">
        <f>INDEX(CO2_Em!$E:$ZZ, MATCH(A442, CO2_Em!$C:$C, 0), MATCH(B442, CO2_Em!$E$1:$ZZ$1, 0))</f>
        <v>4.7980999999999998</v>
      </c>
      <c r="H442">
        <f>INDEX(Agri_VA!$E:$ZZ, MATCH(A442, Agri_VA!$C:$C, 0), MATCH(B442, Agri_VA!$E$1:$ZZ$1, 0))</f>
        <v>14.48174026077611</v>
      </c>
      <c r="I442" s="6">
        <f>INDEX('Agri_land '!$E:$ZZ, MATCH(A442, 'Agri_land '!$C:$C, 0), MATCH(B442, 'Agri_land '!$E$1:$ZZ$1, 0))</f>
        <v>26.204343604512125</v>
      </c>
      <c r="J442">
        <f>INDEX(Cereal_Yield!$E:$ZZ, MATCH(A442, Cereal_Yield!$C:$C, 0), MATCH(B442, Cereal_Yield!$E$1:$ZZ$1, 0))</f>
        <v>4703</v>
      </c>
    </row>
    <row r="443" spans="1:10" x14ac:dyDescent="0.3">
      <c r="A443" t="s">
        <v>23</v>
      </c>
      <c r="B443" s="4">
        <v>2009</v>
      </c>
      <c r="C443" t="s">
        <v>49</v>
      </c>
      <c r="D443" s="8">
        <f>INDEX(GDP_pc!$E:$ZZ, MATCH(A443, GDP_pc!$C:$C, 0), MATCH(B443, GDP_pc!$E$1:$ZZ$1, 0))</f>
        <v>539580085612.40143</v>
      </c>
      <c r="E443">
        <f>INDEX(CH4_Em!$E:$ZZ, MATCH(A443, CH4_Em!$C:$C, 0), MATCH(B443, CH4_Em!$E$1:$ZZ$1, 0))</f>
        <v>83.126900000000006</v>
      </c>
      <c r="F443">
        <f>INDEX(N2O_Em!$E:$ZZ, MATCH(A443, N2O_Em!$C:$C, 0), MATCH(B443, N2O_Em!$E$1:$ZZ$1, 0))</f>
        <v>42.165100000000002</v>
      </c>
      <c r="G443">
        <f>INDEX(CO2_Em!$E:$ZZ, MATCH(A443, CO2_Em!$C:$C, 0), MATCH(B443, CO2_Em!$E$1:$ZZ$1, 0))</f>
        <v>5.8956999999999997</v>
      </c>
      <c r="H443">
        <f>INDEX(Agri_VA!$E:$ZZ, MATCH(A443, Agri_VA!$C:$C, 0), MATCH(B443, Agri_VA!$E$1:$ZZ$1, 0))</f>
        <v>15.290148146171953</v>
      </c>
      <c r="I443" s="6">
        <f>INDEX('Agri_land '!$E:$ZZ, MATCH(A443, 'Agri_land '!$C:$C, 0), MATCH(B443, 'Agri_land '!$E$1:$ZZ$1, 0))</f>
        <v>26.572718358642444</v>
      </c>
      <c r="J443">
        <f>INDEX(Cereal_Yield!$E:$ZZ, MATCH(A443, Cereal_Yield!$C:$C, 0), MATCH(B443, Cereal_Yield!$E$1:$ZZ$1, 0))</f>
        <v>4808.7</v>
      </c>
    </row>
    <row r="444" spans="1:10" x14ac:dyDescent="0.3">
      <c r="A444" t="s">
        <v>23</v>
      </c>
      <c r="B444" s="4">
        <v>2010</v>
      </c>
      <c r="C444" t="s">
        <v>49</v>
      </c>
      <c r="D444" s="8">
        <f>INDEX(GDP_pc!$E:$ZZ, MATCH(A444, GDP_pc!$C:$C, 0), MATCH(B444, GDP_pc!$E$1:$ZZ$1, 0))</f>
        <v>755094157621.93555</v>
      </c>
      <c r="E444">
        <f>INDEX(CH4_Em!$E:$ZZ, MATCH(A444, CH4_Em!$C:$C, 0), MATCH(B444, CH4_Em!$E$1:$ZZ$1, 0))</f>
        <v>85.529799999999994</v>
      </c>
      <c r="F444">
        <f>INDEX(N2O_Em!$E:$ZZ, MATCH(A444, N2O_Em!$C:$C, 0), MATCH(B444, N2O_Em!$E$1:$ZZ$1, 0))</f>
        <v>41.862499999999997</v>
      </c>
      <c r="G444">
        <f>INDEX(CO2_Em!$E:$ZZ, MATCH(A444, CO2_Em!$C:$C, 0), MATCH(B444, CO2_Em!$E$1:$ZZ$1, 0))</f>
        <v>5.3935000000000004</v>
      </c>
      <c r="H444">
        <f>INDEX(Agri_VA!$E:$ZZ, MATCH(A444, Agri_VA!$C:$C, 0), MATCH(B444, Agri_VA!$E$1:$ZZ$1, 0))</f>
        <v>13.929212707137046</v>
      </c>
      <c r="I444" s="6">
        <f>INDEX('Agri_land '!$E:$ZZ, MATCH(A444, 'Agri_land '!$C:$C, 0), MATCH(B444, 'Agri_land '!$E$1:$ZZ$1, 0))</f>
        <v>26.56826066740204</v>
      </c>
      <c r="J444">
        <f>INDEX(Cereal_Yield!$E:$ZZ, MATCH(A444, Cereal_Yield!$C:$C, 0), MATCH(B444, Cereal_Yield!$E$1:$ZZ$1, 0))</f>
        <v>4872.3999999999996</v>
      </c>
    </row>
    <row r="445" spans="1:10" x14ac:dyDescent="0.3">
      <c r="A445" t="s">
        <v>23</v>
      </c>
      <c r="B445" s="4">
        <v>2011</v>
      </c>
      <c r="C445" t="s">
        <v>49</v>
      </c>
      <c r="D445" s="8">
        <f>INDEX(GDP_pc!$E:$ZZ, MATCH(A445, GDP_pc!$C:$C, 0), MATCH(B445, GDP_pc!$E$1:$ZZ$1, 0))</f>
        <v>892969104563.17126</v>
      </c>
      <c r="E445">
        <f>INDEX(CH4_Em!$E:$ZZ, MATCH(A445, CH4_Em!$C:$C, 0), MATCH(B445, CH4_Em!$E$1:$ZZ$1, 0))</f>
        <v>86.069699999999997</v>
      </c>
      <c r="F445">
        <f>INDEX(N2O_Em!$E:$ZZ, MATCH(A445, N2O_Em!$C:$C, 0), MATCH(B445, N2O_Em!$E$1:$ZZ$1, 0))</f>
        <v>42.187800000000003</v>
      </c>
      <c r="G445">
        <f>INDEX(CO2_Em!$E:$ZZ, MATCH(A445, CO2_Em!$C:$C, 0), MATCH(B445, CO2_Em!$E$1:$ZZ$1, 0))</f>
        <v>5.0754999999999999</v>
      </c>
      <c r="H445">
        <f>INDEX(Agri_VA!$E:$ZZ, MATCH(A445, Agri_VA!$C:$C, 0), MATCH(B445, Agri_VA!$E$1:$ZZ$1, 0))</f>
        <v>13.512287074394585</v>
      </c>
      <c r="I445" s="6">
        <f>INDEX('Agri_land '!$E:$ZZ, MATCH(A445, 'Agri_land '!$C:$C, 0), MATCH(B445, 'Agri_land '!$E$1:$ZZ$1, 0))</f>
        <v>27.096420755262663</v>
      </c>
      <c r="J445">
        <f>INDEX(Cereal_Yield!$E:$ZZ, MATCH(A445, Cereal_Yield!$C:$C, 0), MATCH(B445, Cereal_Yield!$E$1:$ZZ$1, 0))</f>
        <v>4891.3</v>
      </c>
    </row>
    <row r="446" spans="1:10" x14ac:dyDescent="0.3">
      <c r="A446" t="s">
        <v>23</v>
      </c>
      <c r="B446" s="4">
        <v>2012</v>
      </c>
      <c r="C446" t="s">
        <v>49</v>
      </c>
      <c r="D446" s="8">
        <f>INDEX(GDP_pc!$E:$ZZ, MATCH(A446, GDP_pc!$C:$C, 0), MATCH(B446, GDP_pc!$E$1:$ZZ$1, 0))</f>
        <v>917869913332.64856</v>
      </c>
      <c r="E446">
        <f>INDEX(CH4_Em!$E:$ZZ, MATCH(A446, CH4_Em!$C:$C, 0), MATCH(B446, CH4_Em!$E$1:$ZZ$1, 0))</f>
        <v>88.299899999999994</v>
      </c>
      <c r="F446">
        <f>INDEX(N2O_Em!$E:$ZZ, MATCH(A446, N2O_Em!$C:$C, 0), MATCH(B446, N2O_Em!$E$1:$ZZ$1, 0))</f>
        <v>44.108199999999997</v>
      </c>
      <c r="G446">
        <f>INDEX(CO2_Em!$E:$ZZ, MATCH(A446, CO2_Em!$C:$C, 0), MATCH(B446, CO2_Em!$E$1:$ZZ$1, 0))</f>
        <v>5.8411</v>
      </c>
      <c r="H446">
        <f>INDEX(Agri_VA!$E:$ZZ, MATCH(A446, Agri_VA!$C:$C, 0), MATCH(B446, Agri_VA!$E$1:$ZZ$1, 0))</f>
        <v>13.373974235072708</v>
      </c>
      <c r="I446" s="6">
        <f>INDEX('Agri_land '!$E:$ZZ, MATCH(A446, 'Agri_land '!$C:$C, 0), MATCH(B446, 'Agri_land '!$E$1:$ZZ$1, 0))</f>
        <v>27.091963064022256</v>
      </c>
      <c r="J446">
        <f>INDEX(Cereal_Yield!$E:$ZZ, MATCH(A446, Cereal_Yield!$C:$C, 0), MATCH(B446, Cereal_Yield!$E$1:$ZZ$1, 0))</f>
        <v>5086.8</v>
      </c>
    </row>
    <row r="447" spans="1:10" x14ac:dyDescent="0.3">
      <c r="A447" t="s">
        <v>23</v>
      </c>
      <c r="B447" s="4">
        <v>2013</v>
      </c>
      <c r="C447" t="s">
        <v>49</v>
      </c>
      <c r="D447" s="8">
        <f>INDEX(GDP_pc!$E:$ZZ, MATCH(A447, GDP_pc!$C:$C, 0), MATCH(B447, GDP_pc!$E$1:$ZZ$1, 0))</f>
        <v>912524136718.01819</v>
      </c>
      <c r="E447">
        <f>INDEX(CH4_Em!$E:$ZZ, MATCH(A447, CH4_Em!$C:$C, 0), MATCH(B447, CH4_Em!$E$1:$ZZ$1, 0))</f>
        <v>81.357900000000001</v>
      </c>
      <c r="F447">
        <f>INDEX(N2O_Em!$E:$ZZ, MATCH(A447, N2O_Em!$C:$C, 0), MATCH(B447, N2O_Em!$E$1:$ZZ$1, 0))</f>
        <v>42.0901</v>
      </c>
      <c r="G447">
        <f>INDEX(CO2_Em!$E:$ZZ, MATCH(A447, CO2_Em!$C:$C, 0), MATCH(B447, CO2_Em!$E$1:$ZZ$1, 0))</f>
        <v>5.0164</v>
      </c>
      <c r="H447">
        <f>INDEX(Agri_VA!$E:$ZZ, MATCH(A447, Agri_VA!$C:$C, 0), MATCH(B447, Agri_VA!$E$1:$ZZ$1, 0))</f>
        <v>13.356699162194873</v>
      </c>
      <c r="I447" s="6">
        <f>INDEX('Agri_land '!$E:$ZZ, MATCH(A447, 'Agri_land '!$C:$C, 0), MATCH(B447, 'Agri_land '!$E$1:$ZZ$1, 0))</f>
        <v>27.353814262332364</v>
      </c>
      <c r="J447">
        <f>INDEX(Cereal_Yield!$E:$ZZ, MATCH(A447, Cereal_Yield!$C:$C, 0), MATCH(B447, Cereal_Yield!$E$1:$ZZ$1, 0))</f>
        <v>5087</v>
      </c>
    </row>
    <row r="448" spans="1:10" x14ac:dyDescent="0.3">
      <c r="A448" t="s">
        <v>23</v>
      </c>
      <c r="B448" s="4">
        <v>2014</v>
      </c>
      <c r="C448" t="s">
        <v>49</v>
      </c>
      <c r="D448" s="8">
        <f>INDEX(GDP_pc!$E:$ZZ, MATCH(A448, GDP_pc!$C:$C, 0), MATCH(B448, GDP_pc!$E$1:$ZZ$1, 0))</f>
        <v>890814755533.53687</v>
      </c>
      <c r="E448">
        <f>INDEX(CH4_Em!$E:$ZZ, MATCH(A448, CH4_Em!$C:$C, 0), MATCH(B448, CH4_Em!$E$1:$ZZ$1, 0))</f>
        <v>84.648700000000005</v>
      </c>
      <c r="F448">
        <f>INDEX(N2O_Em!$E:$ZZ, MATCH(A448, N2O_Em!$C:$C, 0), MATCH(B448, N2O_Em!$E$1:$ZZ$1, 0))</f>
        <v>44.218800000000002</v>
      </c>
      <c r="G448">
        <f>INDEX(CO2_Em!$E:$ZZ, MATCH(A448, CO2_Em!$C:$C, 0), MATCH(B448, CO2_Em!$E$1:$ZZ$1, 0))</f>
        <v>5.1607000000000003</v>
      </c>
      <c r="H448">
        <f>INDEX(Agri_VA!$E:$ZZ, MATCH(A448, Agri_VA!$C:$C, 0), MATCH(B448, Agri_VA!$E$1:$ZZ$1, 0))</f>
        <v>13.336754999214595</v>
      </c>
      <c r="I448" s="6">
        <f>INDEX('Agri_land '!$E:$ZZ, MATCH(A448, 'Agri_land '!$C:$C, 0), MATCH(B448, 'Agri_land '!$E$1:$ZZ$1, 0))</f>
        <v>27.509141904822272</v>
      </c>
      <c r="J448">
        <f>INDEX(Cereal_Yield!$E:$ZZ, MATCH(A448, Cereal_Yield!$C:$C, 0), MATCH(B448, Cereal_Yield!$E$1:$ZZ$1, 0))</f>
        <v>5099.1000000000004</v>
      </c>
    </row>
    <row r="449" spans="1:10" x14ac:dyDescent="0.3">
      <c r="A449" t="s">
        <v>23</v>
      </c>
      <c r="B449" s="4">
        <v>2015</v>
      </c>
      <c r="C449" t="s">
        <v>49</v>
      </c>
      <c r="D449" s="8">
        <f>INDEX(GDP_pc!$E:$ZZ, MATCH(A449, GDP_pc!$C:$C, 0), MATCH(B449, GDP_pc!$E$1:$ZZ$1, 0))</f>
        <v>860854232686.21387</v>
      </c>
      <c r="E449">
        <f>INDEX(CH4_Em!$E:$ZZ, MATCH(A449, CH4_Em!$C:$C, 0), MATCH(B449, CH4_Em!$E$1:$ZZ$1, 0))</f>
        <v>85.364199999999997</v>
      </c>
      <c r="F449">
        <f>INDEX(N2O_Em!$E:$ZZ, MATCH(A449, N2O_Em!$C:$C, 0), MATCH(B449, N2O_Em!$E$1:$ZZ$1, 0))</f>
        <v>46.733899999999998</v>
      </c>
      <c r="G449">
        <f>INDEX(CO2_Em!$E:$ZZ, MATCH(A449, CO2_Em!$C:$C, 0), MATCH(B449, CO2_Em!$E$1:$ZZ$1, 0))</f>
        <v>5.8387000000000002</v>
      </c>
      <c r="H449">
        <f>INDEX(Agri_VA!$E:$ZZ, MATCH(A449, Agri_VA!$C:$C, 0), MATCH(B449, Agri_VA!$E$1:$ZZ$1, 0))</f>
        <v>13.492643557888595</v>
      </c>
      <c r="I449" s="6">
        <f>INDEX('Agri_land '!$E:$ZZ, MATCH(A449, 'Agri_land '!$C:$C, 0), MATCH(B449, 'Agri_land '!$E$1:$ZZ$1, 0))</f>
        <v>27.611207769402068</v>
      </c>
      <c r="J449">
        <f>INDEX(Cereal_Yield!$E:$ZZ, MATCH(A449, Cereal_Yield!$C:$C, 0), MATCH(B449, Cereal_Yield!$E$1:$ZZ$1, 0))</f>
        <v>5313.8</v>
      </c>
    </row>
    <row r="450" spans="1:10" x14ac:dyDescent="0.3">
      <c r="A450" t="s">
        <v>23</v>
      </c>
      <c r="B450" s="4">
        <v>2016</v>
      </c>
      <c r="C450" t="s">
        <v>49</v>
      </c>
      <c r="D450" s="8">
        <f>INDEX(GDP_pc!$E:$ZZ, MATCH(A450, GDP_pc!$C:$C, 0), MATCH(B450, GDP_pc!$E$1:$ZZ$1, 0))</f>
        <v>931877364037.69751</v>
      </c>
      <c r="E450">
        <f>INDEX(CH4_Em!$E:$ZZ, MATCH(A450, CH4_Em!$C:$C, 0), MATCH(B450, CH4_Em!$E$1:$ZZ$1, 0))</f>
        <v>83.021199999999993</v>
      </c>
      <c r="F450">
        <f>INDEX(N2O_Em!$E:$ZZ, MATCH(A450, N2O_Em!$C:$C, 0), MATCH(B450, N2O_Em!$E$1:$ZZ$1, 0))</f>
        <v>45.517800000000001</v>
      </c>
      <c r="G450">
        <f>INDEX(CO2_Em!$E:$ZZ, MATCH(A450, CO2_Em!$C:$C, 0), MATCH(B450, CO2_Em!$E$1:$ZZ$1, 0))</f>
        <v>5.4363999999999999</v>
      </c>
      <c r="H450">
        <f>INDEX(Agri_VA!$E:$ZZ, MATCH(A450, Agri_VA!$C:$C, 0), MATCH(B450, Agri_VA!$E$1:$ZZ$1, 0))</f>
        <v>13.478748547027134</v>
      </c>
      <c r="I450" s="6">
        <f>INDEX('Agri_land '!$E:$ZZ, MATCH(A450, 'Agri_land '!$C:$C, 0), MATCH(B450, 'Agri_land '!$E$1:$ZZ$1, 0))</f>
        <v>27.873058967712179</v>
      </c>
      <c r="J450">
        <f>INDEX(Cereal_Yield!$E:$ZZ, MATCH(A450, Cereal_Yield!$C:$C, 0), MATCH(B450, Cereal_Yield!$E$1:$ZZ$1, 0))</f>
        <v>5158.7</v>
      </c>
    </row>
    <row r="451" spans="1:10" x14ac:dyDescent="0.3">
      <c r="A451" t="s">
        <v>23</v>
      </c>
      <c r="B451" s="4">
        <v>2017</v>
      </c>
      <c r="C451" t="s">
        <v>49</v>
      </c>
      <c r="D451" s="8">
        <f>INDEX(GDP_pc!$E:$ZZ, MATCH(A451, GDP_pc!$C:$C, 0), MATCH(B451, GDP_pc!$E$1:$ZZ$1, 0))</f>
        <v>1015618744159.7339</v>
      </c>
      <c r="E451">
        <f>INDEX(CH4_Em!$E:$ZZ, MATCH(A451, CH4_Em!$C:$C, 0), MATCH(B451, CH4_Em!$E$1:$ZZ$1, 0))</f>
        <v>86.078400000000002</v>
      </c>
      <c r="F451">
        <f>INDEX(N2O_Em!$E:$ZZ, MATCH(A451, N2O_Em!$C:$C, 0), MATCH(B451, N2O_Em!$E$1:$ZZ$1, 0))</f>
        <v>49.9041</v>
      </c>
      <c r="G451">
        <f>INDEX(CO2_Em!$E:$ZZ, MATCH(A451, CO2_Em!$C:$C, 0), MATCH(B451, CO2_Em!$E$1:$ZZ$1, 0))</f>
        <v>5.7918000000000003</v>
      </c>
      <c r="H451">
        <f>INDEX(Agri_VA!$E:$ZZ, MATCH(A451, Agri_VA!$C:$C, 0), MATCH(B451, Agri_VA!$E$1:$ZZ$1, 0))</f>
        <v>13.156630846266115</v>
      </c>
      <c r="I451" s="6">
        <f>INDEX('Agri_land '!$E:$ZZ, MATCH(A451, 'Agri_land '!$C:$C, 0), MATCH(B451, 'Agri_land '!$E$1:$ZZ$1, 0))</f>
        <v>27.759893987757245</v>
      </c>
      <c r="J451">
        <f>INDEX(Cereal_Yield!$E:$ZZ, MATCH(A451, Cereal_Yield!$C:$C, 0), MATCH(B451, Cereal_Yield!$E$1:$ZZ$1, 0))</f>
        <v>5138.3999999999996</v>
      </c>
    </row>
    <row r="452" spans="1:10" x14ac:dyDescent="0.3">
      <c r="A452" t="s">
        <v>23</v>
      </c>
      <c r="B452" s="4">
        <v>2018</v>
      </c>
      <c r="C452" t="s">
        <v>49</v>
      </c>
      <c r="D452" s="8">
        <f>INDEX(GDP_pc!$E:$ZZ, MATCH(A452, GDP_pc!$C:$C, 0), MATCH(B452, GDP_pc!$E$1:$ZZ$1, 0))</f>
        <v>1042271532988.6317</v>
      </c>
      <c r="E452">
        <f>INDEX(CH4_Em!$E:$ZZ, MATCH(A452, CH4_Em!$C:$C, 0), MATCH(B452, CH4_Em!$E$1:$ZZ$1, 0))</f>
        <v>87.365099999999998</v>
      </c>
      <c r="F452">
        <f>INDEX(N2O_Em!$E:$ZZ, MATCH(A452, N2O_Em!$C:$C, 0), MATCH(B452, N2O_Em!$E$1:$ZZ$1, 0))</f>
        <v>50.726100000000002</v>
      </c>
      <c r="G452">
        <f>INDEX(CO2_Em!$E:$ZZ, MATCH(A452, CO2_Em!$C:$C, 0), MATCH(B452, CO2_Em!$E$1:$ZZ$1, 0))</f>
        <v>6.1571999999999996</v>
      </c>
      <c r="H452">
        <f>INDEX(Agri_VA!$E:$ZZ, MATCH(A452, Agri_VA!$C:$C, 0), MATCH(B452, Agri_VA!$E$1:$ZZ$1, 0))</f>
        <v>12.808497558690229</v>
      </c>
      <c r="I452" s="6">
        <f>INDEX('Agri_land '!$E:$ZZ, MATCH(A452, 'Agri_land '!$C:$C, 0), MATCH(B452, 'Agri_land '!$E$1:$ZZ$1, 0))</f>
        <v>28.41183444748096</v>
      </c>
      <c r="J452">
        <f>INDEX(Cereal_Yield!$E:$ZZ, MATCH(A452, Cereal_Yield!$C:$C, 0), MATCH(B452, Cereal_Yield!$E$1:$ZZ$1, 0))</f>
        <v>5227.8</v>
      </c>
    </row>
    <row r="453" spans="1:10" x14ac:dyDescent="0.3">
      <c r="A453" t="s">
        <v>23</v>
      </c>
      <c r="B453" s="4">
        <v>2019</v>
      </c>
      <c r="C453" t="s">
        <v>49</v>
      </c>
      <c r="D453" s="8">
        <f>INDEX(GDP_pc!$E:$ZZ, MATCH(A453, GDP_pc!$C:$C, 0), MATCH(B453, GDP_pc!$E$1:$ZZ$1, 0))</f>
        <v>1119099871350.1992</v>
      </c>
      <c r="E453">
        <f>INDEX(CH4_Em!$E:$ZZ, MATCH(A453, CH4_Em!$C:$C, 0), MATCH(B453, CH4_Em!$E$1:$ZZ$1, 0))</f>
        <v>85.889499999999998</v>
      </c>
      <c r="F453">
        <f>INDEX(N2O_Em!$E:$ZZ, MATCH(A453, N2O_Em!$C:$C, 0), MATCH(B453, N2O_Em!$E$1:$ZZ$1, 0))</f>
        <v>50.332700000000003</v>
      </c>
      <c r="G453">
        <f>INDEX(CO2_Em!$E:$ZZ, MATCH(A453, CO2_Em!$C:$C, 0), MATCH(B453, CO2_Em!$E$1:$ZZ$1, 0))</f>
        <v>5.9428000000000001</v>
      </c>
      <c r="H453">
        <f>INDEX(Agri_VA!$E:$ZZ, MATCH(A453, Agri_VA!$C:$C, 0), MATCH(B453, Agri_VA!$E$1:$ZZ$1, 0))</f>
        <v>12.712602657752232</v>
      </c>
      <c r="I453" s="6">
        <f>INDEX('Agri_land '!$E:$ZZ, MATCH(A453, 'Agri_land '!$C:$C, 0), MATCH(B453, 'Agri_land '!$E$1:$ZZ$1, 0))</f>
        <v>28.750329344203706</v>
      </c>
      <c r="J453">
        <f>INDEX(Cereal_Yield!$E:$ZZ, MATCH(A453, Cereal_Yield!$C:$C, 0), MATCH(B453, Cereal_Yield!$E$1:$ZZ$1, 0))</f>
        <v>5351.2</v>
      </c>
    </row>
    <row r="454" spans="1:10" x14ac:dyDescent="0.3">
      <c r="A454" t="s">
        <v>23</v>
      </c>
      <c r="B454" s="4">
        <v>2020</v>
      </c>
      <c r="C454" t="s">
        <v>49</v>
      </c>
      <c r="D454" s="8">
        <f>INDEX(GDP_pc!$E:$ZZ, MATCH(A454, GDP_pc!$C:$C, 0), MATCH(B454, GDP_pc!$E$1:$ZZ$1, 0))</f>
        <v>1059054842698.4821</v>
      </c>
      <c r="E454">
        <f>INDEX(CH4_Em!$E:$ZZ, MATCH(A454, CH4_Em!$C:$C, 0), MATCH(B454, CH4_Em!$E$1:$ZZ$1, 0))</f>
        <v>86.2864</v>
      </c>
      <c r="F454">
        <f>INDEX(N2O_Em!$E:$ZZ, MATCH(A454, N2O_Em!$C:$C, 0), MATCH(B454, N2O_Em!$E$1:$ZZ$1, 0))</f>
        <v>49.096400000000003</v>
      </c>
      <c r="G454">
        <f>INDEX(CO2_Em!$E:$ZZ, MATCH(A454, CO2_Em!$C:$C, 0), MATCH(B454, CO2_Em!$E$1:$ZZ$1, 0))</f>
        <v>5.5838000000000001</v>
      </c>
      <c r="H454">
        <f>INDEX(Agri_VA!$E:$ZZ, MATCH(A454, Agri_VA!$C:$C, 0), MATCH(B454, Agri_VA!$E$1:$ZZ$1, 0))</f>
        <v>13.698414279613836</v>
      </c>
      <c r="I454" s="6">
        <f>INDEX('Agri_land '!$E:$ZZ, MATCH(A454, 'Agri_land '!$C:$C, 0), MATCH(B454, 'Agri_land '!$E$1:$ZZ$1, 0))</f>
        <v>28.964990607285468</v>
      </c>
      <c r="J454">
        <f>INDEX(Cereal_Yield!$E:$ZZ, MATCH(A454, Cereal_Yield!$C:$C, 0), MATCH(B454, Cereal_Yield!$E$1:$ZZ$1, 0))</f>
        <v>5461.8</v>
      </c>
    </row>
    <row r="455" spans="1:10" x14ac:dyDescent="0.3">
      <c r="A455" t="s">
        <v>23</v>
      </c>
      <c r="B455" s="4">
        <v>2021</v>
      </c>
      <c r="C455" t="s">
        <v>49</v>
      </c>
      <c r="D455" s="8">
        <f>INDEX(GDP_pc!$E:$ZZ, MATCH(A455, GDP_pc!$C:$C, 0), MATCH(B455, GDP_pc!$E$1:$ZZ$1, 0))</f>
        <v>1186509691086.7307</v>
      </c>
      <c r="E455">
        <f>INDEX(CH4_Em!$E:$ZZ, MATCH(A455, CH4_Em!$C:$C, 0), MATCH(B455, CH4_Em!$E$1:$ZZ$1, 0))</f>
        <v>85.795699999999997</v>
      </c>
      <c r="F455">
        <f>INDEX(N2O_Em!$E:$ZZ, MATCH(A455, N2O_Em!$C:$C, 0), MATCH(B455, N2O_Em!$E$1:$ZZ$1, 0))</f>
        <v>49.5045</v>
      </c>
      <c r="G455">
        <f>INDEX(CO2_Em!$E:$ZZ, MATCH(A455, CO2_Em!$C:$C, 0), MATCH(B455, CO2_Em!$E$1:$ZZ$1, 0))</f>
        <v>5.8428000000000004</v>
      </c>
      <c r="H455">
        <f>INDEX(Agri_VA!$E:$ZZ, MATCH(A455, Agri_VA!$C:$C, 0), MATCH(B455, Agri_VA!$E$1:$ZZ$1, 0))</f>
        <v>13.280169137659634</v>
      </c>
      <c r="I455" s="6">
        <f>INDEX('Agri_land '!$E:$ZZ, MATCH(A455, 'Agri_land '!$C:$C, 0), MATCH(B455, 'Agri_land '!$E$1:$ZZ$1, 0))</f>
        <v>28.9558492042508</v>
      </c>
      <c r="J455">
        <f>INDEX(Cereal_Yield!$E:$ZZ, MATCH(A455, Cereal_Yield!$C:$C, 0), MATCH(B455, Cereal_Yield!$E$1:$ZZ$1, 0))</f>
        <v>5695.7</v>
      </c>
    </row>
    <row r="456" spans="1:10" x14ac:dyDescent="0.3">
      <c r="A456" t="s">
        <v>23</v>
      </c>
      <c r="B456" s="4">
        <v>2022</v>
      </c>
      <c r="C456" t="s">
        <v>49</v>
      </c>
      <c r="D456" s="8">
        <f>INDEX(GDP_pc!$E:$ZZ, MATCH(A456, GDP_pc!$C:$C, 0), MATCH(B456, GDP_pc!$E$1:$ZZ$1, 0))</f>
        <v>1319101183380.1516</v>
      </c>
      <c r="E456">
        <f>INDEX(CH4_Em!$E:$ZZ, MATCH(A456, CH4_Em!$C:$C, 0), MATCH(B456, CH4_Em!$E$1:$ZZ$1, 0))</f>
        <v>87.6006</v>
      </c>
      <c r="F456">
        <f>INDEX(N2O_Em!$E:$ZZ, MATCH(A456, N2O_Em!$C:$C, 0), MATCH(B456, N2O_Em!$E$1:$ZZ$1, 0))</f>
        <v>49.619799999999998</v>
      </c>
      <c r="G456">
        <f>INDEX(CO2_Em!$E:$ZZ, MATCH(A456, CO2_Em!$C:$C, 0), MATCH(B456, CO2_Em!$E$1:$ZZ$1, 0))</f>
        <v>4.8951000000000002</v>
      </c>
      <c r="H456">
        <f>INDEX(Agri_VA!$E:$ZZ, MATCH(A456, Agri_VA!$C:$C, 0), MATCH(B456, Agri_VA!$E$1:$ZZ$1, 0))</f>
        <v>12.399650163410755</v>
      </c>
      <c r="I456" s="6">
        <f>INDEX('Agri_land '!$E:$ZZ, MATCH(A456, 'Agri_land '!$C:$C, 0), MATCH(B456, 'Agri_land '!$E$1:$ZZ$1, 0))</f>
        <v>29.007383017418242</v>
      </c>
      <c r="J456">
        <f>INDEX(Cereal_Yield!$E:$ZZ, MATCH(A456, Cereal_Yield!$C:$C, 0), MATCH(B456, Cereal_Yield!$E$1:$ZZ$1, 0))</f>
        <v>5833.8</v>
      </c>
    </row>
    <row r="457" spans="1:10" x14ac:dyDescent="0.3">
      <c r="A457" t="s">
        <v>23</v>
      </c>
      <c r="B457" s="4">
        <v>2023</v>
      </c>
      <c r="C457" t="s">
        <v>49</v>
      </c>
      <c r="D457" s="8">
        <f>INDEX(GDP_pc!$E:$ZZ, MATCH(A457, GDP_pc!$C:$C, 0), MATCH(B457, GDP_pc!$E$1:$ZZ$1, 0))</f>
        <v>1371169301563.6216</v>
      </c>
      <c r="E457">
        <f>INDEX(CH4_Em!$E:$ZZ, MATCH(A457, CH4_Em!$C:$C, 0), MATCH(B457, CH4_Em!$E$1:$ZZ$1, 0))</f>
        <v>86.819299999999998</v>
      </c>
      <c r="F457">
        <f>INDEX(N2O_Em!$E:$ZZ, MATCH(A457, N2O_Em!$C:$C, 0), MATCH(B457, N2O_Em!$E$1:$ZZ$1, 0))</f>
        <v>49.494700000000002</v>
      </c>
      <c r="G457">
        <f>INDEX(CO2_Em!$E:$ZZ, MATCH(A457, CO2_Em!$C:$C, 0), MATCH(B457, CO2_Em!$E$1:$ZZ$1, 0))</f>
        <v>4.8246000000000002</v>
      </c>
      <c r="H457">
        <f>INDEX(Agri_VA!$E:$ZZ, MATCH(A457, Agri_VA!$C:$C, 0), MATCH(B457, Agri_VA!$E$1:$ZZ$1, 0))</f>
        <v>12.529421476958419</v>
      </c>
      <c r="I457" s="6">
        <f>INDEX('Agri_land '!$E:$ZZ, MATCH(A457, 'Agri_land '!$C:$C, 0), MATCH(B457, 'Agri_land '!$E$1:$ZZ$1, 0))</f>
        <v>29.125805755114804</v>
      </c>
      <c r="J457">
        <f>INDEX(Cereal_Yield!$E:$ZZ, MATCH(A457, Cereal_Yield!$C:$C, 0), MATCH(B457, Cereal_Yield!$E$1:$ZZ$1, 0))</f>
        <v>5828.8</v>
      </c>
    </row>
    <row r="458" spans="1:10" x14ac:dyDescent="0.3">
      <c r="A458" t="s">
        <v>24</v>
      </c>
      <c r="B458" s="4">
        <v>2000</v>
      </c>
      <c r="C458" t="s">
        <v>48</v>
      </c>
      <c r="D458" s="8">
        <f>INDEX(GDP_pc!$E:$ZZ, MATCH(A458, GDP_pc!$C:$C, 0), MATCH(B458, GDP_pc!$E$1:$ZZ$1, 0))</f>
        <v>109591707802.21602</v>
      </c>
      <c r="E458">
        <f>INDEX(CH4_Em!$E:$ZZ, MATCH(A458, CH4_Em!$C:$C, 0), MATCH(B458, CH4_Em!$E$1:$ZZ$1, 0))</f>
        <v>25.157800000000002</v>
      </c>
      <c r="F458">
        <f>INDEX(N2O_Em!$E:$ZZ, MATCH(A458, N2O_Em!$C:$C, 0), MATCH(B458, N2O_Em!$E$1:$ZZ$1, 0))</f>
        <v>15.6044</v>
      </c>
      <c r="G458">
        <f>INDEX(CO2_Em!$E:$ZZ, MATCH(A458, CO2_Em!$C:$C, 0), MATCH(B458, CO2_Em!$E$1:$ZZ$1, 0))</f>
        <v>1.5406</v>
      </c>
      <c r="H458">
        <f>INDEX(Agri_VA!$E:$ZZ, MATCH(A458, Agri_VA!$C:$C, 0), MATCH(B458, Agri_VA!$E$1:$ZZ$1, 0))</f>
        <v>9.0684193270381517</v>
      </c>
      <c r="I458" s="6">
        <f>INDEX('Agri_land '!$E:$ZZ, MATCH(A458, 'Agri_land '!$C:$C, 0), MATCH(B458, 'Agri_land '!$E$1:$ZZ$1, 0))</f>
        <v>38.608511996856507</v>
      </c>
      <c r="J458">
        <f>INDEX(Cereal_Yield!$E:$ZZ, MATCH(A458, Cereal_Yield!$C:$C, 0), MATCH(B458, Cereal_Yield!$E$1:$ZZ$1, 0))</f>
        <v>1835.1</v>
      </c>
    </row>
    <row r="459" spans="1:10" x14ac:dyDescent="0.3">
      <c r="A459" t="s">
        <v>24</v>
      </c>
      <c r="B459" s="4">
        <v>2001</v>
      </c>
      <c r="C459" t="s">
        <v>48</v>
      </c>
      <c r="D459" s="8">
        <f>INDEX(GDP_pc!$E:$ZZ, MATCH(A459, GDP_pc!$C:$C, 0), MATCH(B459, GDP_pc!$E$1:$ZZ$1, 0))</f>
        <v>126878750295.94432</v>
      </c>
      <c r="E459">
        <f>INDEX(CH4_Em!$E:$ZZ, MATCH(A459, CH4_Em!$C:$C, 0), MATCH(B459, CH4_Em!$E$1:$ZZ$1, 0))</f>
        <v>25.168399999999998</v>
      </c>
      <c r="F459">
        <f>INDEX(N2O_Em!$E:$ZZ, MATCH(A459, N2O_Em!$C:$C, 0), MATCH(B459, N2O_Em!$E$1:$ZZ$1, 0))</f>
        <v>15.7775</v>
      </c>
      <c r="G459">
        <f>INDEX(CO2_Em!$E:$ZZ, MATCH(A459, CO2_Em!$C:$C, 0), MATCH(B459, CO2_Em!$E$1:$ZZ$1, 0))</f>
        <v>1.4957</v>
      </c>
      <c r="H459">
        <f>INDEX(Agri_VA!$E:$ZZ, MATCH(A459, Agri_VA!$C:$C, 0), MATCH(B459, Agri_VA!$E$1:$ZZ$1, 0))</f>
        <v>8.3108420024659875</v>
      </c>
      <c r="I459" s="6">
        <f>INDEX('Agri_land '!$E:$ZZ, MATCH(A459, 'Agri_land '!$C:$C, 0), MATCH(B459, 'Agri_land '!$E$1:$ZZ$1, 0))</f>
        <v>39.185024190181487</v>
      </c>
      <c r="J459">
        <f>INDEX(Cereal_Yield!$E:$ZZ, MATCH(A459, Cereal_Yield!$C:$C, 0), MATCH(B459, Cereal_Yield!$E$1:$ZZ$1, 0))</f>
        <v>1932.6</v>
      </c>
    </row>
    <row r="460" spans="1:10" x14ac:dyDescent="0.3">
      <c r="A460" t="s">
        <v>24</v>
      </c>
      <c r="B460" s="4">
        <v>2002</v>
      </c>
      <c r="C460" t="s">
        <v>48</v>
      </c>
      <c r="D460" s="8">
        <f>INDEX(GDP_pc!$E:$ZZ, MATCH(A460, GDP_pc!$C:$C, 0), MATCH(B460, GDP_pc!$E$1:$ZZ$1, 0))</f>
        <v>128626917503.71953</v>
      </c>
      <c r="E460">
        <f>INDEX(CH4_Em!$E:$ZZ, MATCH(A460, CH4_Em!$C:$C, 0), MATCH(B460, CH4_Em!$E$1:$ZZ$1, 0))</f>
        <v>24.3721</v>
      </c>
      <c r="F460">
        <f>INDEX(N2O_Em!$E:$ZZ, MATCH(A460, N2O_Em!$C:$C, 0), MATCH(B460, N2O_Em!$E$1:$ZZ$1, 0))</f>
        <v>15.476100000000001</v>
      </c>
      <c r="G460">
        <f>INDEX(CO2_Em!$E:$ZZ, MATCH(A460, CO2_Em!$C:$C, 0), MATCH(B460, CO2_Em!$E$1:$ZZ$1, 0))</f>
        <v>1.49</v>
      </c>
      <c r="H460">
        <f>INDEX(Agri_VA!$E:$ZZ, MATCH(A460, Agri_VA!$C:$C, 0), MATCH(B460, Agri_VA!$E$1:$ZZ$1, 0))</f>
        <v>7.8255468974793825</v>
      </c>
      <c r="I460" s="6">
        <f>INDEX('Agri_land '!$E:$ZZ, MATCH(A460, 'Agri_land '!$C:$C, 0), MATCH(B460, 'Agri_land '!$E$1:$ZZ$1, 0))</f>
        <v>39.320710233551907</v>
      </c>
      <c r="J460">
        <f>INDEX(Cereal_Yield!$E:$ZZ, MATCH(A460, Cereal_Yield!$C:$C, 0), MATCH(B460, Cereal_Yield!$E$1:$ZZ$1, 0))</f>
        <v>2272.9</v>
      </c>
    </row>
    <row r="461" spans="1:10" x14ac:dyDescent="0.3">
      <c r="A461" t="s">
        <v>24</v>
      </c>
      <c r="B461" s="4">
        <v>2003</v>
      </c>
      <c r="C461" t="s">
        <v>48</v>
      </c>
      <c r="D461" s="8">
        <f>INDEX(GDP_pc!$E:$ZZ, MATCH(A461, GDP_pc!$C:$C, 0), MATCH(B461, GDP_pc!$E$1:$ZZ$1, 0))</f>
        <v>151911222119.48804</v>
      </c>
      <c r="E461">
        <f>INDEX(CH4_Em!$E:$ZZ, MATCH(A461, CH4_Em!$C:$C, 0), MATCH(B461, CH4_Em!$E$1:$ZZ$1, 0))</f>
        <v>24.5761</v>
      </c>
      <c r="F461">
        <f>INDEX(N2O_Em!$E:$ZZ, MATCH(A461, N2O_Em!$C:$C, 0), MATCH(B461, N2O_Em!$E$1:$ZZ$1, 0))</f>
        <v>16.029</v>
      </c>
      <c r="G461">
        <f>INDEX(CO2_Em!$E:$ZZ, MATCH(A461, CO2_Em!$C:$C, 0), MATCH(B461, CO2_Em!$E$1:$ZZ$1, 0))</f>
        <v>1.5629999999999999</v>
      </c>
      <c r="H461">
        <f>INDEX(Agri_VA!$E:$ZZ, MATCH(A461, Agri_VA!$C:$C, 0), MATCH(B461, Agri_VA!$E$1:$ZZ$1, 0))</f>
        <v>7.4510945612020079</v>
      </c>
      <c r="I461" s="6">
        <f>INDEX('Agri_land '!$E:$ZZ, MATCH(A461, 'Agri_land '!$C:$C, 0), MATCH(B461, 'Agri_land '!$E$1:$ZZ$1, 0))</f>
        <v>39.45639627692232</v>
      </c>
      <c r="J461">
        <f>INDEX(Cereal_Yield!$E:$ZZ, MATCH(A461, Cereal_Yield!$C:$C, 0), MATCH(B461, Cereal_Yield!$E$1:$ZZ$1, 0))</f>
        <v>2383.4</v>
      </c>
    </row>
    <row r="462" spans="1:10" x14ac:dyDescent="0.3">
      <c r="A462" t="s">
        <v>24</v>
      </c>
      <c r="B462" s="4">
        <v>2004</v>
      </c>
      <c r="C462" t="s">
        <v>48</v>
      </c>
      <c r="D462" s="8">
        <f>INDEX(GDP_pc!$E:$ZZ, MATCH(A462, GDP_pc!$C:$C, 0), MATCH(B462, GDP_pc!$E$1:$ZZ$1, 0))</f>
        <v>187754571247.66602</v>
      </c>
      <c r="E462">
        <f>INDEX(CH4_Em!$E:$ZZ, MATCH(A462, CH4_Em!$C:$C, 0), MATCH(B462, CH4_Em!$E$1:$ZZ$1, 0))</f>
        <v>24.793600000000001</v>
      </c>
      <c r="F462">
        <f>INDEX(N2O_Em!$E:$ZZ, MATCH(A462, N2O_Em!$C:$C, 0), MATCH(B462, N2O_Em!$E$1:$ZZ$1, 0))</f>
        <v>17.135999999999999</v>
      </c>
      <c r="G462">
        <f>INDEX(CO2_Em!$E:$ZZ, MATCH(A462, CO2_Em!$C:$C, 0), MATCH(B462, CO2_Em!$E$1:$ZZ$1, 0))</f>
        <v>1.7683</v>
      </c>
      <c r="H462">
        <f>INDEX(Agri_VA!$E:$ZZ, MATCH(A462, Agri_VA!$C:$C, 0), MATCH(B462, Agri_VA!$E$1:$ZZ$1, 0))</f>
        <v>6.8895784694582058</v>
      </c>
      <c r="I462" s="6">
        <f>INDEX('Agri_land '!$E:$ZZ, MATCH(A462, 'Agri_land '!$C:$C, 0), MATCH(B462, 'Agri_land '!$E$1:$ZZ$1, 0))</f>
        <v>39.592082320292739</v>
      </c>
      <c r="J462">
        <f>INDEX(Cereal_Yield!$E:$ZZ, MATCH(A462, Cereal_Yield!$C:$C, 0), MATCH(B462, Cereal_Yield!$E$1:$ZZ$1, 0))</f>
        <v>2417.1</v>
      </c>
    </row>
    <row r="463" spans="1:10" x14ac:dyDescent="0.3">
      <c r="A463" t="s">
        <v>24</v>
      </c>
      <c r="B463" s="4">
        <v>2005</v>
      </c>
      <c r="C463" t="s">
        <v>48</v>
      </c>
      <c r="D463" s="8">
        <f>INDEX(GDP_pc!$E:$ZZ, MATCH(A463, GDP_pc!$C:$C, 0), MATCH(B463, GDP_pc!$E$1:$ZZ$1, 0))</f>
        <v>224970371324.67029</v>
      </c>
      <c r="E463">
        <f>INDEX(CH4_Em!$E:$ZZ, MATCH(A463, CH4_Em!$C:$C, 0), MATCH(B463, CH4_Em!$E$1:$ZZ$1, 0))</f>
        <v>25.6508</v>
      </c>
      <c r="F463">
        <f>INDEX(N2O_Em!$E:$ZZ, MATCH(A463, N2O_Em!$C:$C, 0), MATCH(B463, N2O_Em!$E$1:$ZZ$1, 0))</f>
        <v>16.3688</v>
      </c>
      <c r="G463">
        <f>INDEX(CO2_Em!$E:$ZZ, MATCH(A463, CO2_Em!$C:$C, 0), MATCH(B463, CO2_Em!$E$1:$ZZ$1, 0))</f>
        <v>1.5547</v>
      </c>
      <c r="H463">
        <f>INDEX(Agri_VA!$E:$ZZ, MATCH(A463, Agri_VA!$C:$C, 0), MATCH(B463, Agri_VA!$E$1:$ZZ$1, 0))</f>
        <v>6.5013822090868461</v>
      </c>
      <c r="I463" s="6">
        <f>INDEX('Agri_land '!$E:$ZZ, MATCH(A463, 'Agri_land '!$C:$C, 0), MATCH(B463, 'Agri_land '!$E$1:$ZZ$1, 0))</f>
        <v>29.243719148309143</v>
      </c>
      <c r="J463">
        <f>INDEX(Cereal_Yield!$E:$ZZ, MATCH(A463, Cereal_Yield!$C:$C, 0), MATCH(B463, Cereal_Yield!$E$1:$ZZ$1, 0))</f>
        <v>2301.1999999999998</v>
      </c>
    </row>
    <row r="464" spans="1:10" x14ac:dyDescent="0.3">
      <c r="A464" t="s">
        <v>24</v>
      </c>
      <c r="B464" s="4">
        <v>2006</v>
      </c>
      <c r="C464" t="s">
        <v>48</v>
      </c>
      <c r="D464" s="8">
        <f>INDEX(GDP_pc!$E:$ZZ, MATCH(A464, GDP_pc!$C:$C, 0), MATCH(B464, GDP_pc!$E$1:$ZZ$1, 0))</f>
        <v>265602187403.64328</v>
      </c>
      <c r="E464">
        <f>INDEX(CH4_Em!$E:$ZZ, MATCH(A464, CH4_Em!$C:$C, 0), MATCH(B464, CH4_Em!$E$1:$ZZ$1, 0))</f>
        <v>26.2943</v>
      </c>
      <c r="F464">
        <f>INDEX(N2O_Em!$E:$ZZ, MATCH(A464, N2O_Em!$C:$C, 0), MATCH(B464, N2O_Em!$E$1:$ZZ$1, 0))</f>
        <v>17.6126</v>
      </c>
      <c r="G464">
        <f>INDEX(CO2_Em!$E:$ZZ, MATCH(A464, CO2_Em!$C:$C, 0), MATCH(B464, CO2_Em!$E$1:$ZZ$1, 0))</f>
        <v>1.8962000000000001</v>
      </c>
      <c r="H464">
        <f>INDEX(Agri_VA!$E:$ZZ, MATCH(A464, Agri_VA!$C:$C, 0), MATCH(B464, Agri_VA!$E$1:$ZZ$1, 0))</f>
        <v>7.1182112409593294</v>
      </c>
      <c r="I464" s="6">
        <f>INDEX('Agri_land '!$E:$ZZ, MATCH(A464, 'Agri_land '!$C:$C, 0), MATCH(B464, 'Agri_land '!$E$1:$ZZ$1, 0))</f>
        <v>29.37940519167956</v>
      </c>
      <c r="J464">
        <f>INDEX(Cereal_Yield!$E:$ZZ, MATCH(A464, Cereal_Yield!$C:$C, 0), MATCH(B464, Cereal_Yield!$E$1:$ZZ$1, 0))</f>
        <v>2391.8000000000002</v>
      </c>
    </row>
    <row r="465" spans="1:10" x14ac:dyDescent="0.3">
      <c r="A465" t="s">
        <v>24</v>
      </c>
      <c r="B465" s="4">
        <v>2007</v>
      </c>
      <c r="C465" t="s">
        <v>48</v>
      </c>
      <c r="D465" s="8">
        <f>INDEX(GDP_pc!$E:$ZZ, MATCH(A465, GDP_pc!$C:$C, 0), MATCH(B465, GDP_pc!$E$1:$ZZ$1, 0))</f>
        <v>349736591832.41791</v>
      </c>
      <c r="E465">
        <f>INDEX(CH4_Em!$E:$ZZ, MATCH(A465, CH4_Em!$C:$C, 0), MATCH(B465, CH4_Em!$E$1:$ZZ$1, 0))</f>
        <v>26.463100000000001</v>
      </c>
      <c r="F465">
        <f>INDEX(N2O_Em!$E:$ZZ, MATCH(A465, N2O_Em!$C:$C, 0), MATCH(B465, N2O_Em!$E$1:$ZZ$1, 0))</f>
        <v>17.066500000000001</v>
      </c>
      <c r="G465">
        <f>INDEX(CO2_Em!$E:$ZZ, MATCH(A465, CO2_Em!$C:$C, 0), MATCH(B465, CO2_Em!$E$1:$ZZ$1, 0))</f>
        <v>1.6395</v>
      </c>
      <c r="H465">
        <f>INDEX(Agri_VA!$E:$ZZ, MATCH(A465, Agri_VA!$C:$C, 0), MATCH(B465, Agri_VA!$E$1:$ZZ$1, 0))</f>
        <v>7.185568231474992</v>
      </c>
      <c r="I465" s="6">
        <f>INDEX('Agri_land '!$E:$ZZ, MATCH(A465, 'Agri_land '!$C:$C, 0), MATCH(B465, 'Agri_land '!$E$1:$ZZ$1, 0))</f>
        <v>29.515091235049979</v>
      </c>
      <c r="J465">
        <f>INDEX(Cereal_Yield!$E:$ZZ, MATCH(A465, Cereal_Yield!$C:$C, 0), MATCH(B465, Cereal_Yield!$E$1:$ZZ$1, 0))</f>
        <v>2454.3000000000002</v>
      </c>
    </row>
    <row r="466" spans="1:10" x14ac:dyDescent="0.3">
      <c r="A466" t="s">
        <v>24</v>
      </c>
      <c r="B466" s="4">
        <v>2008</v>
      </c>
      <c r="C466" t="s">
        <v>48</v>
      </c>
      <c r="D466" s="8">
        <f>INDEX(GDP_pc!$E:$ZZ, MATCH(A466, GDP_pc!$C:$C, 0), MATCH(B466, GDP_pc!$E$1:$ZZ$1, 0))</f>
        <v>406070949553.87506</v>
      </c>
      <c r="E466">
        <f>INDEX(CH4_Em!$E:$ZZ, MATCH(A466, CH4_Em!$C:$C, 0), MATCH(B466, CH4_Em!$E$1:$ZZ$1, 0))</f>
        <v>23.732500000000002</v>
      </c>
      <c r="F466">
        <f>INDEX(N2O_Em!$E:$ZZ, MATCH(A466, N2O_Em!$C:$C, 0), MATCH(B466, N2O_Em!$E$1:$ZZ$1, 0))</f>
        <v>17.0046</v>
      </c>
      <c r="G466">
        <f>INDEX(CO2_Em!$E:$ZZ, MATCH(A466, CO2_Em!$C:$C, 0), MATCH(B466, CO2_Em!$E$1:$ZZ$1, 0))</f>
        <v>1.8815</v>
      </c>
      <c r="H466">
        <f>INDEX(Agri_VA!$E:$ZZ, MATCH(A466, Agri_VA!$C:$C, 0), MATCH(B466, Agri_VA!$E$1:$ZZ$1, 0))</f>
        <v>6.1227725911111186</v>
      </c>
      <c r="I466" s="6">
        <f>INDEX('Agri_land '!$E:$ZZ, MATCH(A466, 'Agri_land '!$C:$C, 0), MATCH(B466, 'Agri_land '!$E$1:$ZZ$1, 0))</f>
        <v>28.662909207004102</v>
      </c>
      <c r="J466">
        <f>INDEX(Cereal_Yield!$E:$ZZ, MATCH(A466, Cereal_Yield!$C:$C, 0), MATCH(B466, Cereal_Yield!$E$1:$ZZ$1, 0))</f>
        <v>1720.9</v>
      </c>
    </row>
    <row r="467" spans="1:10" x14ac:dyDescent="0.3">
      <c r="A467" t="s">
        <v>24</v>
      </c>
      <c r="B467" s="4">
        <v>2009</v>
      </c>
      <c r="C467" t="s">
        <v>48</v>
      </c>
      <c r="D467" s="8">
        <f>INDEX(GDP_pc!$E:$ZZ, MATCH(A467, GDP_pc!$C:$C, 0), MATCH(B467, GDP_pc!$E$1:$ZZ$1, 0))</f>
        <v>414059094949.0625</v>
      </c>
      <c r="E467">
        <f>INDEX(CH4_Em!$E:$ZZ, MATCH(A467, CH4_Em!$C:$C, 0), MATCH(B467, CH4_Em!$E$1:$ZZ$1, 0))</f>
        <v>24.4603</v>
      </c>
      <c r="F467">
        <f>INDEX(N2O_Em!$E:$ZZ, MATCH(A467, N2O_Em!$C:$C, 0), MATCH(B467, N2O_Em!$E$1:$ZZ$1, 0))</f>
        <v>16.784300000000002</v>
      </c>
      <c r="G467">
        <f>INDEX(CO2_Em!$E:$ZZ, MATCH(A467, CO2_Em!$C:$C, 0), MATCH(B467, CO2_Em!$E$1:$ZZ$1, 0))</f>
        <v>1.7490000000000001</v>
      </c>
      <c r="H467">
        <f>INDEX(Agri_VA!$E:$ZZ, MATCH(A467, Agri_VA!$C:$C, 0), MATCH(B467, Agri_VA!$E$1:$ZZ$1, 0))</f>
        <v>6.9244896148628996</v>
      </c>
      <c r="I467" s="6">
        <f>INDEX('Agri_land '!$E:$ZZ, MATCH(A467, 'Agri_land '!$C:$C, 0), MATCH(B467, 'Agri_land '!$E$1:$ZZ$1, 0))</f>
        <v>28.663645963800683</v>
      </c>
      <c r="J467">
        <f>INDEX(Cereal_Yield!$E:$ZZ, MATCH(A467, Cereal_Yield!$C:$C, 0), MATCH(B467, Cereal_Yield!$E$1:$ZZ$1, 0))</f>
        <v>1997.2</v>
      </c>
    </row>
    <row r="468" spans="1:10" x14ac:dyDescent="0.3">
      <c r="A468" t="s">
        <v>24</v>
      </c>
      <c r="B468" s="4">
        <v>2010</v>
      </c>
      <c r="C468" t="s">
        <v>48</v>
      </c>
      <c r="D468" s="8">
        <f>INDEX(GDP_pc!$E:$ZZ, MATCH(A468, GDP_pc!$C:$C, 0), MATCH(B468, GDP_pc!$E$1:$ZZ$1, 0))</f>
        <v>487069570463.76825</v>
      </c>
      <c r="E468">
        <f>INDEX(CH4_Em!$E:$ZZ, MATCH(A468, CH4_Em!$C:$C, 0), MATCH(B468, CH4_Em!$E$1:$ZZ$1, 0))</f>
        <v>24.897200000000002</v>
      </c>
      <c r="F468">
        <f>INDEX(N2O_Em!$E:$ZZ, MATCH(A468, N2O_Em!$C:$C, 0), MATCH(B468, N2O_Em!$E$1:$ZZ$1, 0))</f>
        <v>16.804600000000001</v>
      </c>
      <c r="G468">
        <f>INDEX(CO2_Em!$E:$ZZ, MATCH(A468, CO2_Em!$C:$C, 0), MATCH(B468, CO2_Em!$E$1:$ZZ$1, 0))</f>
        <v>1.8254999999999999</v>
      </c>
      <c r="H468">
        <f>INDEX(Agri_VA!$E:$ZZ, MATCH(A468, Agri_VA!$C:$C, 0), MATCH(B468, Agri_VA!$E$1:$ZZ$1, 0))</f>
        <v>6.4993907255720114</v>
      </c>
      <c r="I468" s="6">
        <f>INDEX('Agri_land '!$E:$ZZ, MATCH(A468, 'Agri_land '!$C:$C, 0), MATCH(B468, 'Agri_land '!$E$1:$ZZ$1, 0))</f>
        <v>28.573516049018888</v>
      </c>
      <c r="J468">
        <f>INDEX(Cereal_Yield!$E:$ZZ, MATCH(A468, Cereal_Yield!$C:$C, 0), MATCH(B468, Cereal_Yield!$E$1:$ZZ$1, 0))</f>
        <v>2173.5</v>
      </c>
    </row>
    <row r="469" spans="1:10" x14ac:dyDescent="0.3">
      <c r="A469" t="s">
        <v>24</v>
      </c>
      <c r="B469" s="4">
        <v>2011</v>
      </c>
      <c r="C469" t="s">
        <v>48</v>
      </c>
      <c r="D469" s="8">
        <f>INDEX(GDP_pc!$E:$ZZ, MATCH(A469, GDP_pc!$C:$C, 0), MATCH(B469, GDP_pc!$E$1:$ZZ$1, 0))</f>
        <v>629082257472.36816</v>
      </c>
      <c r="E469">
        <f>INDEX(CH4_Em!$E:$ZZ, MATCH(A469, CH4_Em!$C:$C, 0), MATCH(B469, CH4_Em!$E$1:$ZZ$1, 0))</f>
        <v>24.491099999999999</v>
      </c>
      <c r="F469">
        <f>INDEX(N2O_Em!$E:$ZZ, MATCH(A469, N2O_Em!$C:$C, 0), MATCH(B469, N2O_Em!$E$1:$ZZ$1, 0))</f>
        <v>15.8142</v>
      </c>
      <c r="G469">
        <f>INDEX(CO2_Em!$E:$ZZ, MATCH(A469, CO2_Em!$C:$C, 0), MATCH(B469, CO2_Em!$E$1:$ZZ$1, 0))</f>
        <v>1.4561999999999999</v>
      </c>
      <c r="H469">
        <f>INDEX(Agri_VA!$E:$ZZ, MATCH(A469, Agri_VA!$C:$C, 0), MATCH(B469, Agri_VA!$E$1:$ZZ$1, 0))</f>
        <v>4.6421162045662916</v>
      </c>
      <c r="I469" s="6">
        <f>INDEX('Agri_land '!$E:$ZZ, MATCH(A469, 'Agri_land '!$C:$C, 0), MATCH(B469, 'Agri_land '!$E$1:$ZZ$1, 0))</f>
        <v>28.483386134237087</v>
      </c>
      <c r="J469">
        <f>INDEX(Cereal_Yield!$E:$ZZ, MATCH(A469, Cereal_Yield!$C:$C, 0), MATCH(B469, Cereal_Yield!$E$1:$ZZ$1, 0))</f>
        <v>1713.7</v>
      </c>
    </row>
    <row r="470" spans="1:10" x14ac:dyDescent="0.3">
      <c r="A470" t="s">
        <v>24</v>
      </c>
      <c r="B470" s="4">
        <v>2012</v>
      </c>
      <c r="C470" t="s">
        <v>48</v>
      </c>
      <c r="D470" s="8">
        <f>INDEX(GDP_pc!$E:$ZZ, MATCH(A470, GDP_pc!$C:$C, 0), MATCH(B470, GDP_pc!$E$1:$ZZ$1, 0))</f>
        <v>644019315003.53992</v>
      </c>
      <c r="E470">
        <f>INDEX(CH4_Em!$E:$ZZ, MATCH(A470, CH4_Em!$C:$C, 0), MATCH(B470, CH4_Em!$E$1:$ZZ$1, 0))</f>
        <v>25.029299999999999</v>
      </c>
      <c r="F470">
        <f>INDEX(N2O_Em!$E:$ZZ, MATCH(A470, N2O_Em!$C:$C, 0), MATCH(B470, N2O_Em!$E$1:$ZZ$1, 0))</f>
        <v>15.884399999999999</v>
      </c>
      <c r="G470">
        <f>INDEX(CO2_Em!$E:$ZZ, MATCH(A470, CO2_Em!$C:$C, 0), MATCH(B470, CO2_Em!$E$1:$ZZ$1, 0))</f>
        <v>1.4976</v>
      </c>
      <c r="H470">
        <f>INDEX(Agri_VA!$E:$ZZ, MATCH(A470, Agri_VA!$C:$C, 0), MATCH(B470, Agri_VA!$E$1:$ZZ$1, 0))</f>
        <v>6.7969371671065399</v>
      </c>
      <c r="I470" s="6">
        <f>INDEX('Agri_land '!$E:$ZZ, MATCH(A470, 'Agri_land '!$C:$C, 0), MATCH(B470, 'Agri_land '!$E$1:$ZZ$1, 0))</f>
        <v>28.393256219455292</v>
      </c>
      <c r="J470">
        <f>INDEX(Cereal_Yield!$E:$ZZ, MATCH(A470, Cereal_Yield!$C:$C, 0), MATCH(B470, Cereal_Yield!$E$1:$ZZ$1, 0))</f>
        <v>1745.4</v>
      </c>
    </row>
    <row r="471" spans="1:10" x14ac:dyDescent="0.3">
      <c r="A471" t="s">
        <v>24</v>
      </c>
      <c r="B471" s="4">
        <v>2013</v>
      </c>
      <c r="C471" t="s">
        <v>48</v>
      </c>
      <c r="D471" s="8">
        <f>INDEX(GDP_pc!$E:$ZZ, MATCH(A471, GDP_pc!$C:$C, 0), MATCH(B471, GDP_pc!$E$1:$ZZ$1, 0))</f>
        <v>500399839839.87671</v>
      </c>
      <c r="E471">
        <f>INDEX(CH4_Em!$E:$ZZ, MATCH(A471, CH4_Em!$C:$C, 0), MATCH(B471, CH4_Em!$E$1:$ZZ$1, 0))</f>
        <v>25.145600000000002</v>
      </c>
      <c r="F471">
        <f>INDEX(N2O_Em!$E:$ZZ, MATCH(A471, N2O_Em!$C:$C, 0), MATCH(B471, N2O_Em!$E$1:$ZZ$1, 0))</f>
        <v>14.999599999999999</v>
      </c>
      <c r="G471">
        <f>INDEX(CO2_Em!$E:$ZZ, MATCH(A471, CO2_Em!$C:$C, 0), MATCH(B471, CO2_Em!$E$1:$ZZ$1, 0))</f>
        <v>1.2628999999999999</v>
      </c>
      <c r="H471">
        <f>INDEX(Agri_VA!$E:$ZZ, MATCH(A471, Agri_VA!$C:$C, 0), MATCH(B471, Agri_VA!$E$1:$ZZ$1, 0))</f>
        <v>8.7749097727602585</v>
      </c>
      <c r="I471" s="6">
        <f>INDEX('Agri_land '!$E:$ZZ, MATCH(A471, 'Agri_land '!$C:$C, 0), MATCH(B471, 'Agri_land '!$E$1:$ZZ$1, 0))</f>
        <v>28.214101525086573</v>
      </c>
      <c r="J471">
        <f>INDEX(Cereal_Yield!$E:$ZZ, MATCH(A471, Cereal_Yield!$C:$C, 0), MATCH(B471, Cereal_Yield!$E$1:$ZZ$1, 0))</f>
        <v>1847.1</v>
      </c>
    </row>
    <row r="472" spans="1:10" x14ac:dyDescent="0.3">
      <c r="A472" t="s">
        <v>24</v>
      </c>
      <c r="B472" s="4">
        <v>2014</v>
      </c>
      <c r="C472" t="s">
        <v>48</v>
      </c>
      <c r="D472" s="8">
        <f>INDEX(GDP_pc!$E:$ZZ, MATCH(A472, GDP_pc!$C:$C, 0), MATCH(B472, GDP_pc!$E$1:$ZZ$1, 0))</f>
        <v>462284793280.82538</v>
      </c>
      <c r="E472">
        <f>INDEX(CH4_Em!$E:$ZZ, MATCH(A472, CH4_Em!$C:$C, 0), MATCH(B472, CH4_Em!$E$1:$ZZ$1, 0))</f>
        <v>18.111000000000001</v>
      </c>
      <c r="F472">
        <f>INDEX(N2O_Em!$E:$ZZ, MATCH(A472, N2O_Em!$C:$C, 0), MATCH(B472, N2O_Em!$E$1:$ZZ$1, 0))</f>
        <v>12.837</v>
      </c>
      <c r="G472">
        <f>INDEX(CO2_Em!$E:$ZZ, MATCH(A472, CO2_Em!$C:$C, 0), MATCH(B472, CO2_Em!$E$1:$ZZ$1, 0))</f>
        <v>1.4278999999999999</v>
      </c>
      <c r="H472">
        <f>INDEX(Agri_VA!$E:$ZZ, MATCH(A472, Agri_VA!$C:$C, 0), MATCH(B472, Agri_VA!$E$1:$ZZ$1, 0))</f>
        <v>9.378424156844261</v>
      </c>
      <c r="I472" s="6">
        <f>INDEX('Agri_land '!$E:$ZZ, MATCH(A472, 'Agri_land '!$C:$C, 0), MATCH(B472, 'Agri_land '!$E$1:$ZZ$1, 0))</f>
        <v>28.214101525086573</v>
      </c>
      <c r="J472">
        <f>INDEX(Cereal_Yield!$E:$ZZ, MATCH(A472, Cereal_Yield!$C:$C, 0), MATCH(B472, Cereal_Yield!$E$1:$ZZ$1, 0))</f>
        <v>2051.5</v>
      </c>
    </row>
    <row r="473" spans="1:10" x14ac:dyDescent="0.3">
      <c r="A473" t="s">
        <v>24</v>
      </c>
      <c r="B473" s="4">
        <v>2015</v>
      </c>
      <c r="C473" t="s">
        <v>48</v>
      </c>
      <c r="D473" s="8">
        <f>INDEX(GDP_pc!$E:$ZZ, MATCH(A473, GDP_pc!$C:$C, 0), MATCH(B473, GDP_pc!$E$1:$ZZ$1, 0))</f>
        <v>409191686496.67682</v>
      </c>
      <c r="E473">
        <f>INDEX(CH4_Em!$E:$ZZ, MATCH(A473, CH4_Em!$C:$C, 0), MATCH(B473, CH4_Em!$E$1:$ZZ$1, 0))</f>
        <v>19.4391</v>
      </c>
      <c r="F473">
        <f>INDEX(N2O_Em!$E:$ZZ, MATCH(A473, N2O_Em!$C:$C, 0), MATCH(B473, N2O_Em!$E$1:$ZZ$1, 0))</f>
        <v>12.27</v>
      </c>
      <c r="G473">
        <f>INDEX(CO2_Em!$E:$ZZ, MATCH(A473, CO2_Em!$C:$C, 0), MATCH(B473, CO2_Em!$E$1:$ZZ$1, 0))</f>
        <v>1.0666</v>
      </c>
      <c r="H473">
        <f>INDEX(Agri_VA!$E:$ZZ, MATCH(A473, Agri_VA!$C:$C, 0), MATCH(B473, Agri_VA!$E$1:$ZZ$1, 0))</f>
        <v>10.091601414112562</v>
      </c>
      <c r="I473" s="6">
        <f>INDEX('Agri_land '!$E:$ZZ, MATCH(A473, 'Agri_land '!$C:$C, 0), MATCH(B473, 'Agri_land '!$E$1:$ZZ$1, 0))</f>
        <v>28.214101525086573</v>
      </c>
      <c r="J473">
        <f>INDEX(Cereal_Yield!$E:$ZZ, MATCH(A473, Cereal_Yield!$C:$C, 0), MATCH(B473, Cereal_Yield!$E$1:$ZZ$1, 0))</f>
        <v>2231</v>
      </c>
    </row>
    <row r="474" spans="1:10" x14ac:dyDescent="0.3">
      <c r="A474" t="s">
        <v>24</v>
      </c>
      <c r="B474" s="4">
        <v>2016</v>
      </c>
      <c r="C474" t="s">
        <v>48</v>
      </c>
      <c r="D474" s="8">
        <f>INDEX(GDP_pc!$E:$ZZ, MATCH(A474, GDP_pc!$C:$C, 0), MATCH(B474, GDP_pc!$E$1:$ZZ$1, 0))</f>
        <v>478618064870.99939</v>
      </c>
      <c r="E474">
        <f>INDEX(CH4_Em!$E:$ZZ, MATCH(A474, CH4_Em!$C:$C, 0), MATCH(B474, CH4_Em!$E$1:$ZZ$1, 0))</f>
        <v>20.946899999999999</v>
      </c>
      <c r="F474">
        <f>INDEX(N2O_Em!$E:$ZZ, MATCH(A474, N2O_Em!$C:$C, 0), MATCH(B474, N2O_Em!$E$1:$ZZ$1, 0))</f>
        <v>14.1465</v>
      </c>
      <c r="G474">
        <f>INDEX(CO2_Em!$E:$ZZ, MATCH(A474, CO2_Em!$C:$C, 0), MATCH(B474, CO2_Em!$E$1:$ZZ$1, 0))</f>
        <v>1.4067000000000001</v>
      </c>
      <c r="H474">
        <f>INDEX(Agri_VA!$E:$ZZ, MATCH(A474, Agri_VA!$C:$C, 0), MATCH(B474, Agri_VA!$E$1:$ZZ$1, 0))</f>
        <v>8.4478802928174321</v>
      </c>
      <c r="I474" s="6">
        <f>INDEX('Agri_land '!$E:$ZZ, MATCH(A474, 'Agri_land '!$C:$C, 0), MATCH(B474, 'Agri_land '!$E$1:$ZZ$1, 0))</f>
        <v>28.214101525086573</v>
      </c>
      <c r="J474">
        <f>INDEX(Cereal_Yield!$E:$ZZ, MATCH(A474, Cereal_Yield!$C:$C, 0), MATCH(B474, Cereal_Yield!$E$1:$ZZ$1, 0))</f>
        <v>2653.3</v>
      </c>
    </row>
    <row r="475" spans="1:10" x14ac:dyDescent="0.3">
      <c r="A475" t="s">
        <v>24</v>
      </c>
      <c r="B475" s="4">
        <v>2017</v>
      </c>
      <c r="C475" t="s">
        <v>48</v>
      </c>
      <c r="D475" s="8">
        <f>INDEX(GDP_pc!$E:$ZZ, MATCH(A475, GDP_pc!$C:$C, 0), MATCH(B475, GDP_pc!$E$1:$ZZ$1, 0))</f>
        <v>510239893417.64484</v>
      </c>
      <c r="E475">
        <f>INDEX(CH4_Em!$E:$ZZ, MATCH(A475, CH4_Em!$C:$C, 0), MATCH(B475, CH4_Em!$E$1:$ZZ$1, 0))</f>
        <v>19.7272</v>
      </c>
      <c r="F475">
        <f>INDEX(N2O_Em!$E:$ZZ, MATCH(A475, N2O_Em!$C:$C, 0), MATCH(B475, N2O_Em!$E$1:$ZZ$1, 0))</f>
        <v>13.868399999999999</v>
      </c>
      <c r="G475">
        <f>INDEX(CO2_Em!$E:$ZZ, MATCH(A475, CO2_Em!$C:$C, 0), MATCH(B475, CO2_Em!$E$1:$ZZ$1, 0))</f>
        <v>1.5361</v>
      </c>
      <c r="H475">
        <f>INDEX(Agri_VA!$E:$ZZ, MATCH(A475, Agri_VA!$C:$C, 0), MATCH(B475, Agri_VA!$E$1:$ZZ$1, 0))</f>
        <v>8.4904492722764431</v>
      </c>
      <c r="I475" s="6">
        <f>INDEX('Agri_land '!$E:$ZZ, MATCH(A475, 'Agri_land '!$C:$C, 0), MATCH(B475, 'Agri_land '!$E$1:$ZZ$1, 0))</f>
        <v>28.619414483821267</v>
      </c>
      <c r="J475">
        <f>INDEX(Cereal_Yield!$E:$ZZ, MATCH(A475, Cereal_Yield!$C:$C, 0), MATCH(B475, Cereal_Yield!$E$1:$ZZ$1, 0))</f>
        <v>2531</v>
      </c>
    </row>
    <row r="476" spans="1:10" x14ac:dyDescent="0.3">
      <c r="A476" t="s">
        <v>24</v>
      </c>
      <c r="B476" s="4">
        <v>2018</v>
      </c>
      <c r="C476" t="s">
        <v>48</v>
      </c>
      <c r="D476" s="8">
        <f>INDEX(GDP_pc!$E:$ZZ, MATCH(A476, GDP_pc!$C:$C, 0), MATCH(B476, GDP_pc!$E$1:$ZZ$1, 0))</f>
        <v>411903303606.04413</v>
      </c>
      <c r="E476">
        <f>INDEX(CH4_Em!$E:$ZZ, MATCH(A476, CH4_Em!$C:$C, 0), MATCH(B476, CH4_Em!$E$1:$ZZ$1, 0))</f>
        <v>20.3611</v>
      </c>
      <c r="F476">
        <f>INDEX(N2O_Em!$E:$ZZ, MATCH(A476, N2O_Em!$C:$C, 0), MATCH(B476, N2O_Em!$E$1:$ZZ$1, 0))</f>
        <v>14.477399999999999</v>
      </c>
      <c r="G476">
        <f>INDEX(CO2_Em!$E:$ZZ, MATCH(A476, CO2_Em!$C:$C, 0), MATCH(B476, CO2_Em!$E$1:$ZZ$1, 0))</f>
        <v>1.6365000000000001</v>
      </c>
      <c r="H476">
        <f>INDEX(Agri_VA!$E:$ZZ, MATCH(A476, Agri_VA!$C:$C, 0), MATCH(B476, Agri_VA!$E$1:$ZZ$1, 0))</f>
        <v>9.6309202466080546</v>
      </c>
      <c r="I476" s="6">
        <f>INDEX('Agri_land '!$E:$ZZ, MATCH(A476, 'Agri_land '!$C:$C, 0), MATCH(B476, 'Agri_land '!$E$1:$ZZ$1, 0))</f>
        <v>28.915254237288135</v>
      </c>
      <c r="J476">
        <f>INDEX(Cereal_Yield!$E:$ZZ, MATCH(A476, Cereal_Yield!$C:$C, 0), MATCH(B476, Cereal_Yield!$E$1:$ZZ$1, 0))</f>
        <v>2657.3</v>
      </c>
    </row>
    <row r="477" spans="1:10" x14ac:dyDescent="0.3">
      <c r="A477" t="s">
        <v>24</v>
      </c>
      <c r="B477" s="4">
        <v>2019</v>
      </c>
      <c r="C477" t="s">
        <v>48</v>
      </c>
      <c r="D477" s="8">
        <f>INDEX(GDP_pc!$E:$ZZ, MATCH(A477, GDP_pc!$C:$C, 0), MATCH(B477, GDP_pc!$E$1:$ZZ$1, 0))</f>
        <v>347988400957.99915</v>
      </c>
      <c r="E477">
        <f>INDEX(CH4_Em!$E:$ZZ, MATCH(A477, CH4_Em!$C:$C, 0), MATCH(B477, CH4_Em!$E$1:$ZZ$1, 0))</f>
        <v>22.010200000000001</v>
      </c>
      <c r="F477">
        <f>INDEX(N2O_Em!$E:$ZZ, MATCH(A477, N2O_Em!$C:$C, 0), MATCH(B477, N2O_Em!$E$1:$ZZ$1, 0))</f>
        <v>14.549099999999999</v>
      </c>
      <c r="G477">
        <f>INDEX(CO2_Em!$E:$ZZ, MATCH(A477, CO2_Em!$C:$C, 0), MATCH(B477, CO2_Em!$E$1:$ZZ$1, 0))</f>
        <v>1.6267</v>
      </c>
      <c r="H477">
        <f>INDEX(Agri_VA!$E:$ZZ, MATCH(A477, Agri_VA!$C:$C, 0), MATCH(B477, Agri_VA!$E$1:$ZZ$1, 0))</f>
        <v>11.808101467688164</v>
      </c>
      <c r="I477" s="6">
        <f>INDEX('Agri_land '!$E:$ZZ, MATCH(A477, 'Agri_land '!$C:$C, 0), MATCH(B477, 'Agri_land '!$E$1:$ZZ$1, 0))</f>
        <v>28.960246533127886</v>
      </c>
      <c r="J477">
        <f>INDEX(Cereal_Yield!$E:$ZZ, MATCH(A477, Cereal_Yield!$C:$C, 0), MATCH(B477, Cereal_Yield!$E$1:$ZZ$1, 0))</f>
        <v>2653.7</v>
      </c>
    </row>
    <row r="478" spans="1:10" x14ac:dyDescent="0.3">
      <c r="A478" t="s">
        <v>24</v>
      </c>
      <c r="B478" s="4">
        <v>2020</v>
      </c>
      <c r="C478" t="s">
        <v>48</v>
      </c>
      <c r="D478" s="8">
        <f>INDEX(GDP_pc!$E:$ZZ, MATCH(A478, GDP_pc!$C:$C, 0), MATCH(B478, GDP_pc!$E$1:$ZZ$1, 0))</f>
        <v>280934329279.72278</v>
      </c>
      <c r="E478">
        <f>INDEX(CH4_Em!$E:$ZZ, MATCH(A478, CH4_Em!$C:$C, 0), MATCH(B478, CH4_Em!$E$1:$ZZ$1, 0))</f>
        <v>22.9604</v>
      </c>
      <c r="F478">
        <f>INDEX(N2O_Em!$E:$ZZ, MATCH(A478, N2O_Em!$C:$C, 0), MATCH(B478, N2O_Em!$E$1:$ZZ$1, 0))</f>
        <v>15.1747</v>
      </c>
      <c r="G478">
        <f>INDEX(CO2_Em!$E:$ZZ, MATCH(A478, CO2_Em!$C:$C, 0), MATCH(B478, CO2_Em!$E$1:$ZZ$1, 0))</f>
        <v>1.6263000000000001</v>
      </c>
      <c r="H478">
        <f>INDEX(Agri_VA!$E:$ZZ, MATCH(A478, Agri_VA!$C:$C, 0), MATCH(B478, Agri_VA!$E$1:$ZZ$1, 0))</f>
        <v>11.693350697970249</v>
      </c>
      <c r="I478" s="6">
        <f>INDEX('Agri_land '!$E:$ZZ, MATCH(A478, 'Agri_land '!$C:$C, 0), MATCH(B478, 'Agri_land '!$E$1:$ZZ$1, 0))</f>
        <v>28.984899845916797</v>
      </c>
      <c r="J478">
        <f>INDEX(Cereal_Yield!$E:$ZZ, MATCH(A478, Cereal_Yield!$C:$C, 0), MATCH(B478, Cereal_Yield!$E$1:$ZZ$1, 0))</f>
        <v>2618.8000000000002</v>
      </c>
    </row>
    <row r="479" spans="1:10" x14ac:dyDescent="0.3">
      <c r="A479" t="s">
        <v>24</v>
      </c>
      <c r="B479" s="4">
        <v>2021</v>
      </c>
      <c r="C479" t="s">
        <v>48</v>
      </c>
      <c r="D479" s="8">
        <f>INDEX(GDP_pc!$E:$ZZ, MATCH(A479, GDP_pc!$C:$C, 0), MATCH(B479, GDP_pc!$E$1:$ZZ$1, 0))</f>
        <v>407350685583.33545</v>
      </c>
      <c r="E479">
        <f>INDEX(CH4_Em!$E:$ZZ, MATCH(A479, CH4_Em!$C:$C, 0), MATCH(B479, CH4_Em!$E$1:$ZZ$1, 0))</f>
        <v>23.533000000000001</v>
      </c>
      <c r="F479">
        <f>INDEX(N2O_Em!$E:$ZZ, MATCH(A479, N2O_Em!$C:$C, 0), MATCH(B479, N2O_Em!$E$1:$ZZ$1, 0))</f>
        <v>16.039300000000001</v>
      </c>
      <c r="G479">
        <f>INDEX(CO2_Em!$E:$ZZ, MATCH(A479, CO2_Em!$C:$C, 0), MATCH(B479, CO2_Em!$E$1:$ZZ$1, 0))</f>
        <v>1.6054999999999999</v>
      </c>
      <c r="H479">
        <f>INDEX(Agri_VA!$E:$ZZ, MATCH(A479, Agri_VA!$C:$C, 0), MATCH(B479, Agri_VA!$E$1:$ZZ$1, 0))</f>
        <v>10.634485402727146</v>
      </c>
      <c r="I479" s="6">
        <f>INDEX('Agri_land '!$E:$ZZ, MATCH(A479, 'Agri_land '!$C:$C, 0), MATCH(B479, 'Agri_land '!$E$1:$ZZ$1, 0))</f>
        <v>29.008936825885979</v>
      </c>
      <c r="J479">
        <f>INDEX(Cereal_Yield!$E:$ZZ, MATCH(A479, Cereal_Yield!$C:$C, 0), MATCH(B479, Cereal_Yield!$E$1:$ZZ$1, 0))</f>
        <v>2301.5</v>
      </c>
    </row>
    <row r="480" spans="1:10" x14ac:dyDescent="0.3">
      <c r="A480" t="s">
        <v>24</v>
      </c>
      <c r="B480" s="4">
        <v>2022</v>
      </c>
      <c r="C480" t="s">
        <v>48</v>
      </c>
      <c r="D480" s="8">
        <f>INDEX(GDP_pc!$E:$ZZ, MATCH(A480, GDP_pc!$C:$C, 0), MATCH(B480, GDP_pc!$E$1:$ZZ$1, 0))</f>
        <v>422662261525.66516</v>
      </c>
      <c r="E480">
        <f>INDEX(CH4_Em!$E:$ZZ, MATCH(A480, CH4_Em!$C:$C, 0), MATCH(B480, CH4_Em!$E$1:$ZZ$1, 0))</f>
        <v>24.4404</v>
      </c>
      <c r="F480">
        <f>INDEX(N2O_Em!$E:$ZZ, MATCH(A480, N2O_Em!$C:$C, 0), MATCH(B480, N2O_Em!$E$1:$ZZ$1, 0))</f>
        <v>16.000299999999999</v>
      </c>
      <c r="G480">
        <f>INDEX(CO2_Em!$E:$ZZ, MATCH(A480, CO2_Em!$C:$C, 0), MATCH(B480, CO2_Em!$E$1:$ZZ$1, 0))</f>
        <v>1.5991</v>
      </c>
      <c r="H480">
        <f>INDEX(Agri_VA!$E:$ZZ, MATCH(A480, Agri_VA!$C:$C, 0), MATCH(B480, Agri_VA!$E$1:$ZZ$1, 0))</f>
        <v>10.695041770619452</v>
      </c>
      <c r="I480" s="6">
        <f>INDEX('Agri_land '!$E:$ZZ, MATCH(A480, 'Agri_land '!$C:$C, 0), MATCH(B480, 'Agri_land '!$E$1:$ZZ$1, 0))</f>
        <v>29.008936825885979</v>
      </c>
      <c r="J480">
        <f>INDEX(Cereal_Yield!$E:$ZZ, MATCH(A480, Cereal_Yield!$C:$C, 0), MATCH(B480, Cereal_Yield!$E$1:$ZZ$1, 0))</f>
        <v>2317.6</v>
      </c>
    </row>
    <row r="481" spans="1:10" x14ac:dyDescent="0.3">
      <c r="A481" t="s">
        <v>24</v>
      </c>
      <c r="B481" s="4">
        <v>2023</v>
      </c>
      <c r="C481" t="s">
        <v>48</v>
      </c>
      <c r="D481" s="8">
        <f>INDEX(GDP_pc!$E:$ZZ, MATCH(A481, GDP_pc!$C:$C, 0), MATCH(B481, GDP_pc!$E$1:$ZZ$1, 0))</f>
        <v>457510482317.48322</v>
      </c>
      <c r="E481">
        <f>INDEX(CH4_Em!$E:$ZZ, MATCH(A481, CH4_Em!$C:$C, 0), MATCH(B481, CH4_Em!$E$1:$ZZ$1, 0))</f>
        <v>23.507899999999999</v>
      </c>
      <c r="F481">
        <f>INDEX(N2O_Em!$E:$ZZ, MATCH(A481, N2O_Em!$C:$C, 0), MATCH(B481, N2O_Em!$E$1:$ZZ$1, 0))</f>
        <v>15.8353</v>
      </c>
      <c r="G481">
        <f>INDEX(CO2_Em!$E:$ZZ, MATCH(A481, CO2_Em!$C:$C, 0), MATCH(B481, CO2_Em!$E$1:$ZZ$1, 0))</f>
        <v>1.6233</v>
      </c>
      <c r="H481">
        <f>INDEX(Agri_VA!$E:$ZZ, MATCH(A481, Agri_VA!$C:$C, 0), MATCH(B481, Agri_VA!$E$1:$ZZ$1, 0))</f>
        <v>10.750872506582969</v>
      </c>
      <c r="I481" s="6">
        <f>INDEX('Agri_land '!$E:$ZZ, MATCH(A481, 'Agri_land '!$C:$C, 0), MATCH(B481, 'Agri_land '!$E$1:$ZZ$1, 0))</f>
        <v>29.008936825885979</v>
      </c>
      <c r="J481">
        <f>INDEX(Cereal_Yield!$E:$ZZ, MATCH(A481, Cereal_Yield!$C:$C, 0), MATCH(B481, Cereal_Yield!$E$1:$ZZ$1, 0))</f>
        <v>2420.4</v>
      </c>
    </row>
    <row r="482" spans="1:10" x14ac:dyDescent="0.3">
      <c r="A482" t="s">
        <v>25</v>
      </c>
      <c r="B482" s="4">
        <v>2000</v>
      </c>
      <c r="C482" t="s">
        <v>49</v>
      </c>
      <c r="D482" s="8">
        <f>INDEX(GDP_pc!$E:$ZZ, MATCH(A482, GDP_pc!$C:$C, 0), MATCH(B482, GDP_pc!$E$1:$ZZ$1, 0))</f>
        <v>100207610429.90924</v>
      </c>
      <c r="E482">
        <f>INDEX(CH4_Em!$E:$ZZ, MATCH(A482, CH4_Em!$C:$C, 0), MATCH(B482, CH4_Em!$E$1:$ZZ$1, 0))</f>
        <v>16.278700000000001</v>
      </c>
      <c r="F482">
        <f>INDEX(N2O_Em!$E:$ZZ, MATCH(A482, N2O_Em!$C:$C, 0), MATCH(B482, N2O_Em!$E$1:$ZZ$1, 0))</f>
        <v>8.5343</v>
      </c>
      <c r="G482">
        <f>INDEX(CO2_Em!$E:$ZZ, MATCH(A482, CO2_Em!$C:$C, 0), MATCH(B482, CO2_Em!$E$1:$ZZ$1, 0))</f>
        <v>0.1021</v>
      </c>
      <c r="H482">
        <f>INDEX(Agri_VA!$E:$ZZ, MATCH(A482, Agri_VA!$C:$C, 0), MATCH(B482, Agri_VA!$E$1:$ZZ$1, 0))</f>
        <v>2.5049290389004817</v>
      </c>
      <c r="I482" s="6">
        <f>INDEX('Agri_land '!$E:$ZZ, MATCH(A482, 'Agri_land '!$C:$C, 0), MATCH(B482, 'Agri_land '!$E$1:$ZZ$1, 0))</f>
        <v>63.814196545217015</v>
      </c>
      <c r="J482">
        <f>INDEX(Cereal_Yield!$E:$ZZ, MATCH(A482, Cereal_Yield!$C:$C, 0), MATCH(B482, Cereal_Yield!$E$1:$ZZ$1, 0))</f>
        <v>7795.7</v>
      </c>
    </row>
    <row r="483" spans="1:10" x14ac:dyDescent="0.3">
      <c r="A483" t="s">
        <v>25</v>
      </c>
      <c r="B483" s="4">
        <v>2001</v>
      </c>
      <c r="C483" t="s">
        <v>49</v>
      </c>
      <c r="D483" s="8">
        <f>INDEX(GDP_pc!$E:$ZZ, MATCH(A483, GDP_pc!$C:$C, 0), MATCH(B483, GDP_pc!$E$1:$ZZ$1, 0))</f>
        <v>109346669229.6954</v>
      </c>
      <c r="E483">
        <f>INDEX(CH4_Em!$E:$ZZ, MATCH(A483, CH4_Em!$C:$C, 0), MATCH(B483, CH4_Em!$E$1:$ZZ$1, 0))</f>
        <v>16.371700000000001</v>
      </c>
      <c r="F483">
        <f>INDEX(N2O_Em!$E:$ZZ, MATCH(A483, N2O_Em!$C:$C, 0), MATCH(B483, N2O_Em!$E$1:$ZZ$1, 0))</f>
        <v>8.5128000000000004</v>
      </c>
      <c r="G483">
        <f>INDEX(CO2_Em!$E:$ZZ, MATCH(A483, CO2_Em!$C:$C, 0), MATCH(B483, CO2_Em!$E$1:$ZZ$1, 0))</f>
        <v>9.11E-2</v>
      </c>
      <c r="H483">
        <f>INDEX(Agri_VA!$E:$ZZ, MATCH(A483, Agri_VA!$C:$C, 0), MATCH(B483, Agri_VA!$E$1:$ZZ$1, 0))</f>
        <v>1.9938598323222336</v>
      </c>
      <c r="I483" s="6">
        <f>INDEX('Agri_land '!$E:$ZZ, MATCH(A483, 'Agri_land '!$C:$C, 0), MATCH(B483, 'Agri_land '!$E$1:$ZZ$1, 0))</f>
        <v>64.015096530701115</v>
      </c>
      <c r="J483">
        <f>INDEX(Cereal_Yield!$E:$ZZ, MATCH(A483, Cereal_Yield!$C:$C, 0), MATCH(B483, Cereal_Yield!$E$1:$ZZ$1, 0))</f>
        <v>7580.9</v>
      </c>
    </row>
    <row r="484" spans="1:10" x14ac:dyDescent="0.3">
      <c r="A484" t="s">
        <v>25</v>
      </c>
      <c r="B484" s="4">
        <v>2002</v>
      </c>
      <c r="C484" t="s">
        <v>49</v>
      </c>
      <c r="D484" s="8">
        <f>INDEX(GDP_pc!$E:$ZZ, MATCH(A484, GDP_pc!$C:$C, 0), MATCH(B484, GDP_pc!$E$1:$ZZ$1, 0))</f>
        <v>128596035288.40102</v>
      </c>
      <c r="E484">
        <f>INDEX(CH4_Em!$E:$ZZ, MATCH(A484, CH4_Em!$C:$C, 0), MATCH(B484, CH4_Em!$E$1:$ZZ$1, 0))</f>
        <v>16.301200000000001</v>
      </c>
      <c r="F484">
        <f>INDEX(N2O_Em!$E:$ZZ, MATCH(A484, N2O_Em!$C:$C, 0), MATCH(B484, N2O_Em!$E$1:$ZZ$1, 0))</f>
        <v>8.5843000000000007</v>
      </c>
      <c r="G484">
        <f>INDEX(CO2_Em!$E:$ZZ, MATCH(A484, CO2_Em!$C:$C, 0), MATCH(B484, CO2_Em!$E$1:$ZZ$1, 0))</f>
        <v>9.11E-2</v>
      </c>
      <c r="H484">
        <f>INDEX(Agri_VA!$E:$ZZ, MATCH(A484, Agri_VA!$C:$C, 0), MATCH(B484, Agri_VA!$E$1:$ZZ$1, 0))</f>
        <v>1.7353084894094022</v>
      </c>
      <c r="I484" s="6">
        <f>INDEX('Agri_land '!$E:$ZZ, MATCH(A484, 'Agri_land '!$C:$C, 0), MATCH(B484, 'Agri_land '!$E$1:$ZZ$1, 0))</f>
        <v>63.478008419219044</v>
      </c>
      <c r="J484">
        <f>INDEX(Cereal_Yield!$E:$ZZ, MATCH(A484, Cereal_Yield!$C:$C, 0), MATCH(B484, Cereal_Yield!$E$1:$ZZ$1, 0))</f>
        <v>6567.1</v>
      </c>
    </row>
    <row r="485" spans="1:10" x14ac:dyDescent="0.3">
      <c r="A485" t="s">
        <v>25</v>
      </c>
      <c r="B485" s="4">
        <v>2003</v>
      </c>
      <c r="C485" t="s">
        <v>49</v>
      </c>
      <c r="D485" s="8">
        <f>INDEX(GDP_pc!$E:$ZZ, MATCH(A485, GDP_pc!$C:$C, 0), MATCH(B485, GDP_pc!$E$1:$ZZ$1, 0))</f>
        <v>164670771259.60202</v>
      </c>
      <c r="E485">
        <f>INDEX(CH4_Em!$E:$ZZ, MATCH(A485, CH4_Em!$C:$C, 0), MATCH(B485, CH4_Em!$E$1:$ZZ$1, 0))</f>
        <v>16.250699999999998</v>
      </c>
      <c r="F485">
        <f>INDEX(N2O_Em!$E:$ZZ, MATCH(A485, N2O_Em!$C:$C, 0), MATCH(B485, N2O_Em!$E$1:$ZZ$1, 0))</f>
        <v>8.4533000000000005</v>
      </c>
      <c r="G485">
        <f>INDEX(CO2_Em!$E:$ZZ, MATCH(A485, CO2_Em!$C:$C, 0), MATCH(B485, CO2_Em!$E$1:$ZZ$1, 0))</f>
        <v>0.1273</v>
      </c>
      <c r="H485">
        <f>INDEX(Agri_VA!$E:$ZZ, MATCH(A485, Agri_VA!$C:$C, 0), MATCH(B485, Agri_VA!$E$1:$ZZ$1, 0))</f>
        <v>1.4800038198380081</v>
      </c>
      <c r="I485" s="6">
        <f>INDEX('Agri_land '!$E:$ZZ, MATCH(A485, 'Agri_land '!$C:$C, 0), MATCH(B485, 'Agri_land '!$E$1:$ZZ$1, 0))</f>
        <v>63.434460734504285</v>
      </c>
      <c r="J485">
        <f>INDEX(Cereal_Yield!$E:$ZZ, MATCH(A485, Cereal_Yield!$C:$C, 0), MATCH(B485, Cereal_Yield!$E$1:$ZZ$1, 0))</f>
        <v>7100.7</v>
      </c>
    </row>
    <row r="486" spans="1:10" x14ac:dyDescent="0.3">
      <c r="A486" t="s">
        <v>25</v>
      </c>
      <c r="B486" s="4">
        <v>2004</v>
      </c>
      <c r="C486" t="s">
        <v>49</v>
      </c>
      <c r="D486" s="8">
        <f>INDEX(GDP_pc!$E:$ZZ, MATCH(A486, GDP_pc!$C:$C, 0), MATCH(B486, GDP_pc!$E$1:$ZZ$1, 0))</f>
        <v>194372115041.06497</v>
      </c>
      <c r="E486">
        <f>INDEX(CH4_Em!$E:$ZZ, MATCH(A486, CH4_Em!$C:$C, 0), MATCH(B486, CH4_Em!$E$1:$ZZ$1, 0))</f>
        <v>16.354399999999998</v>
      </c>
      <c r="F486">
        <f>INDEX(N2O_Em!$E:$ZZ, MATCH(A486, N2O_Em!$C:$C, 0), MATCH(B486, N2O_Em!$E$1:$ZZ$1, 0))</f>
        <v>8.4061000000000003</v>
      </c>
      <c r="G486">
        <f>INDEX(CO2_Em!$E:$ZZ, MATCH(A486, CO2_Em!$C:$C, 0), MATCH(B486, CO2_Em!$E$1:$ZZ$1, 0))</f>
        <v>8.4900000000000003E-2</v>
      </c>
      <c r="H486">
        <f>INDEX(Agri_VA!$E:$ZZ, MATCH(A486, Agri_VA!$C:$C, 0), MATCH(B486, Agri_VA!$E$1:$ZZ$1, 0))</f>
        <v>1.5740872720483574</v>
      </c>
      <c r="I486" s="6">
        <f>INDEX('Agri_land '!$E:$ZZ, MATCH(A486, 'Agri_land '!$C:$C, 0), MATCH(B486, 'Agri_land '!$E$1:$ZZ$1, 0))</f>
        <v>62.49092756568443</v>
      </c>
      <c r="J486">
        <f>INDEX(Cereal_Yield!$E:$ZZ, MATCH(A486, Cereal_Yield!$C:$C, 0), MATCH(B486, Cereal_Yield!$E$1:$ZZ$1, 0))</f>
        <v>8077.9</v>
      </c>
    </row>
    <row r="487" spans="1:10" x14ac:dyDescent="0.3">
      <c r="A487" t="s">
        <v>25</v>
      </c>
      <c r="B487" s="4">
        <v>2005</v>
      </c>
      <c r="C487" t="s">
        <v>49</v>
      </c>
      <c r="D487" s="8">
        <f>INDEX(GDP_pc!$E:$ZZ, MATCH(A487, GDP_pc!$C:$C, 0), MATCH(B487, GDP_pc!$E$1:$ZZ$1, 0))</f>
        <v>211876989655.90652</v>
      </c>
      <c r="E487">
        <f>INDEX(CH4_Em!$E:$ZZ, MATCH(A487, CH4_Em!$C:$C, 0), MATCH(B487, CH4_Em!$E$1:$ZZ$1, 0))</f>
        <v>16.03</v>
      </c>
      <c r="F487">
        <f>INDEX(N2O_Em!$E:$ZZ, MATCH(A487, N2O_Em!$C:$C, 0), MATCH(B487, N2O_Em!$E$1:$ZZ$1, 0))</f>
        <v>8.2619000000000007</v>
      </c>
      <c r="G487">
        <f>INDEX(CO2_Em!$E:$ZZ, MATCH(A487, CO2_Em!$C:$C, 0), MATCH(B487, CO2_Em!$E$1:$ZZ$1, 0))</f>
        <v>5.3400000000000003E-2</v>
      </c>
      <c r="H487">
        <f>INDEX(Agri_VA!$E:$ZZ, MATCH(A487, Agri_VA!$C:$C, 0), MATCH(B487, Agri_VA!$E$1:$ZZ$1, 0))</f>
        <v>1.0335496655109384</v>
      </c>
      <c r="I487" s="6">
        <f>INDEX('Agri_land '!$E:$ZZ, MATCH(A487, 'Agri_land '!$C:$C, 0), MATCH(B487, 'Agri_land '!$E$1:$ZZ$1, 0))</f>
        <v>62.447379880969663</v>
      </c>
      <c r="J487">
        <f>INDEX(Cereal_Yield!$E:$ZZ, MATCH(A487, Cereal_Yield!$C:$C, 0), MATCH(B487, Cereal_Yield!$E$1:$ZZ$1, 0))</f>
        <v>6904.7</v>
      </c>
    </row>
    <row r="488" spans="1:10" x14ac:dyDescent="0.3">
      <c r="A488" t="s">
        <v>25</v>
      </c>
      <c r="B488" s="4">
        <v>2006</v>
      </c>
      <c r="C488" t="s">
        <v>49</v>
      </c>
      <c r="D488" s="8">
        <f>INDEX(GDP_pc!$E:$ZZ, MATCH(A488, GDP_pc!$C:$C, 0), MATCH(B488, GDP_pc!$E$1:$ZZ$1, 0))</f>
        <v>232180617162.2785</v>
      </c>
      <c r="E488">
        <f>INDEX(CH4_Em!$E:$ZZ, MATCH(A488, CH4_Em!$C:$C, 0), MATCH(B488, CH4_Em!$E$1:$ZZ$1, 0))</f>
        <v>16.000900000000001</v>
      </c>
      <c r="F488">
        <f>INDEX(N2O_Em!$E:$ZZ, MATCH(A488, N2O_Em!$C:$C, 0), MATCH(B488, N2O_Em!$E$1:$ZZ$1, 0))</f>
        <v>8.2286999999999999</v>
      </c>
      <c r="G488">
        <f>INDEX(CO2_Em!$E:$ZZ, MATCH(A488, CO2_Em!$C:$C, 0), MATCH(B488, CO2_Em!$E$1:$ZZ$1, 0))</f>
        <v>7.9500000000000001E-2</v>
      </c>
      <c r="H488">
        <f>INDEX(Agri_VA!$E:$ZZ, MATCH(A488, Agri_VA!$C:$C, 0), MATCH(B488, Agri_VA!$E$1:$ZZ$1, 0))</f>
        <v>0.92115271885553074</v>
      </c>
      <c r="I488" s="6">
        <f>INDEX('Agri_land '!$E:$ZZ, MATCH(A488, 'Agri_land '!$C:$C, 0), MATCH(B488, 'Agri_land '!$E$1:$ZZ$1, 0))</f>
        <v>61.837712294962991</v>
      </c>
      <c r="J488">
        <f>INDEX(Cereal_Yield!$E:$ZZ, MATCH(A488, Cereal_Yield!$C:$C, 0), MATCH(B488, Cereal_Yield!$E$1:$ZZ$1, 0))</f>
        <v>7465.2</v>
      </c>
    </row>
    <row r="489" spans="1:10" x14ac:dyDescent="0.3">
      <c r="A489" t="s">
        <v>25</v>
      </c>
      <c r="B489" s="4">
        <v>2007</v>
      </c>
      <c r="C489" t="s">
        <v>49</v>
      </c>
      <c r="D489" s="8">
        <f>INDEX(GDP_pc!$E:$ZZ, MATCH(A489, GDP_pc!$C:$C, 0), MATCH(B489, GDP_pc!$E$1:$ZZ$1, 0))</f>
        <v>270079279419.50046</v>
      </c>
      <c r="E489">
        <f>INDEX(CH4_Em!$E:$ZZ, MATCH(A489, CH4_Em!$C:$C, 0), MATCH(B489, CH4_Em!$E$1:$ZZ$1, 0))</f>
        <v>15.7613</v>
      </c>
      <c r="F489">
        <f>INDEX(N2O_Em!$E:$ZZ, MATCH(A489, N2O_Em!$C:$C, 0), MATCH(B489, N2O_Em!$E$1:$ZZ$1, 0))</f>
        <v>7.9855999999999998</v>
      </c>
      <c r="G489">
        <f>INDEX(CO2_Em!$E:$ZZ, MATCH(A489, CO2_Em!$C:$C, 0), MATCH(B489, CO2_Em!$E$1:$ZZ$1, 0))</f>
        <v>5.0900000000000001E-2</v>
      </c>
      <c r="H489">
        <f>INDEX(Agri_VA!$E:$ZZ, MATCH(A489, Agri_VA!$C:$C, 0), MATCH(B489, Agri_VA!$E$1:$ZZ$1, 0))</f>
        <v>1.0432228655128166</v>
      </c>
      <c r="I489" s="6">
        <f>INDEX('Agri_land '!$E:$ZZ, MATCH(A489, 'Agri_land '!$C:$C, 0), MATCH(B489, 'Agri_land '!$E$1:$ZZ$1, 0))</f>
        <v>62.069966613441721</v>
      </c>
      <c r="J489">
        <f>INDEX(Cereal_Yield!$E:$ZZ, MATCH(A489, Cereal_Yield!$C:$C, 0), MATCH(B489, Cereal_Yield!$E$1:$ZZ$1, 0))</f>
        <v>7188.8</v>
      </c>
    </row>
    <row r="490" spans="1:10" x14ac:dyDescent="0.3">
      <c r="A490" t="s">
        <v>25</v>
      </c>
      <c r="B490" s="4">
        <v>2008</v>
      </c>
      <c r="C490" t="s">
        <v>49</v>
      </c>
      <c r="D490" s="8">
        <f>INDEX(GDP_pc!$E:$ZZ, MATCH(A490, GDP_pc!$C:$C, 0), MATCH(B490, GDP_pc!$E$1:$ZZ$1, 0))</f>
        <v>275447471451.06323</v>
      </c>
      <c r="E490">
        <f>INDEX(CH4_Em!$E:$ZZ, MATCH(A490, CH4_Em!$C:$C, 0), MATCH(B490, CH4_Em!$E$1:$ZZ$1, 0))</f>
        <v>15.6595</v>
      </c>
      <c r="F490">
        <f>INDEX(N2O_Em!$E:$ZZ, MATCH(A490, N2O_Em!$C:$C, 0), MATCH(B490, N2O_Em!$E$1:$ZZ$1, 0))</f>
        <v>7.8720999999999997</v>
      </c>
      <c r="G490">
        <f>INDEX(CO2_Em!$E:$ZZ, MATCH(A490, CO2_Em!$C:$C, 0), MATCH(B490, CO2_Em!$E$1:$ZZ$1, 0))</f>
        <v>8.9700000000000002E-2</v>
      </c>
      <c r="H490">
        <f>INDEX(Agri_VA!$E:$ZZ, MATCH(A490, Agri_VA!$C:$C, 0), MATCH(B490, Agri_VA!$E$1:$ZZ$1, 0))</f>
        <v>0.85002864355273533</v>
      </c>
      <c r="I490" s="6">
        <f>INDEX('Agri_land '!$E:$ZZ, MATCH(A490, 'Agri_land '!$C:$C, 0), MATCH(B490, 'Agri_land '!$E$1:$ZZ$1, 0))</f>
        <v>67.194077514878785</v>
      </c>
      <c r="J490">
        <f>INDEX(Cereal_Yield!$E:$ZZ, MATCH(A490, Cereal_Yield!$C:$C, 0), MATCH(B490, Cereal_Yield!$E$1:$ZZ$1, 0))</f>
        <v>7644.9</v>
      </c>
    </row>
    <row r="491" spans="1:10" x14ac:dyDescent="0.3">
      <c r="A491" t="s">
        <v>25</v>
      </c>
      <c r="B491" s="4">
        <v>2009</v>
      </c>
      <c r="C491" t="s">
        <v>49</v>
      </c>
      <c r="D491" s="8">
        <f>INDEX(GDP_pc!$E:$ZZ, MATCH(A491, GDP_pc!$C:$C, 0), MATCH(B491, GDP_pc!$E$1:$ZZ$1, 0))</f>
        <v>236443115853.69476</v>
      </c>
      <c r="E491">
        <f>INDEX(CH4_Em!$E:$ZZ, MATCH(A491, CH4_Em!$C:$C, 0), MATCH(B491, CH4_Em!$E$1:$ZZ$1, 0))</f>
        <v>15.5831</v>
      </c>
      <c r="F491">
        <f>INDEX(N2O_Em!$E:$ZZ, MATCH(A491, N2O_Em!$C:$C, 0), MATCH(B491, N2O_Em!$E$1:$ZZ$1, 0))</f>
        <v>8.2281999999999993</v>
      </c>
      <c r="G491">
        <f>INDEX(CO2_Em!$E:$ZZ, MATCH(A491, CO2_Em!$C:$C, 0), MATCH(B491, CO2_Em!$E$1:$ZZ$1, 0))</f>
        <v>0.1142</v>
      </c>
      <c r="H491">
        <f>INDEX(Agri_VA!$E:$ZZ, MATCH(A491, Agri_VA!$C:$C, 0), MATCH(B491, Agri_VA!$E$1:$ZZ$1, 0))</f>
        <v>0.55795634812100003</v>
      </c>
      <c r="I491" s="6">
        <f>INDEX('Agri_land '!$E:$ZZ, MATCH(A491, 'Agri_land '!$C:$C, 0), MATCH(B491, 'Agri_land '!$E$1:$ZZ$1, 0))</f>
        <v>66.684859921614176</v>
      </c>
      <c r="J491">
        <f>INDEX(Cereal_Yield!$E:$ZZ, MATCH(A491, Cereal_Yield!$C:$C, 0), MATCH(B491, Cereal_Yield!$E$1:$ZZ$1, 0))</f>
        <v>6887.1</v>
      </c>
    </row>
    <row r="492" spans="1:10" x14ac:dyDescent="0.3">
      <c r="A492" t="s">
        <v>25</v>
      </c>
      <c r="B492" s="4">
        <v>2010</v>
      </c>
      <c r="C492" t="s">
        <v>49</v>
      </c>
      <c r="D492" s="8">
        <f>INDEX(GDP_pc!$E:$ZZ, MATCH(A492, GDP_pc!$C:$C, 0), MATCH(B492, GDP_pc!$E$1:$ZZ$1, 0))</f>
        <v>221732824603.48376</v>
      </c>
      <c r="E492">
        <f>INDEX(CH4_Em!$E:$ZZ, MATCH(A492, CH4_Em!$C:$C, 0), MATCH(B492, CH4_Em!$E$1:$ZZ$1, 0))</f>
        <v>15.118</v>
      </c>
      <c r="F492">
        <f>INDEX(N2O_Em!$E:$ZZ, MATCH(A492, N2O_Em!$C:$C, 0), MATCH(B492, N2O_Em!$E$1:$ZZ$1, 0))</f>
        <v>7.9968000000000004</v>
      </c>
      <c r="G492">
        <f>INDEX(CO2_Em!$E:$ZZ, MATCH(A492, CO2_Em!$C:$C, 0), MATCH(B492, CO2_Em!$E$1:$ZZ$1, 0))</f>
        <v>9.0700000000000003E-2</v>
      </c>
      <c r="H492">
        <f>INDEX(Agri_VA!$E:$ZZ, MATCH(A492, Agri_VA!$C:$C, 0), MATCH(B492, Agri_VA!$E$1:$ZZ$1, 0))</f>
        <v>0.95542997104966565</v>
      </c>
      <c r="I492" s="6">
        <f>INDEX('Agri_land '!$E:$ZZ, MATCH(A492, 'Agri_land '!$C:$C, 0), MATCH(B492, 'Agri_land '!$E$1:$ZZ$1, 0))</f>
        <v>66.308607925678615</v>
      </c>
      <c r="J492">
        <f>INDEX(Cereal_Yield!$E:$ZZ, MATCH(A492, Cereal_Yield!$C:$C, 0), MATCH(B492, Cereal_Yield!$E$1:$ZZ$1, 0))</f>
        <v>7456.3</v>
      </c>
    </row>
    <row r="493" spans="1:10" x14ac:dyDescent="0.3">
      <c r="A493" t="s">
        <v>25</v>
      </c>
      <c r="B493" s="4">
        <v>2011</v>
      </c>
      <c r="C493" t="s">
        <v>49</v>
      </c>
      <c r="D493" s="8">
        <f>INDEX(GDP_pc!$E:$ZZ, MATCH(A493, GDP_pc!$C:$C, 0), MATCH(B493, GDP_pc!$E$1:$ZZ$1, 0))</f>
        <v>240975871046.64444</v>
      </c>
      <c r="E493">
        <f>INDEX(CH4_Em!$E:$ZZ, MATCH(A493, CH4_Em!$C:$C, 0), MATCH(B493, CH4_Em!$E$1:$ZZ$1, 0))</f>
        <v>15.055400000000001</v>
      </c>
      <c r="F493">
        <f>INDEX(N2O_Em!$E:$ZZ, MATCH(A493, N2O_Em!$C:$C, 0), MATCH(B493, N2O_Em!$E$1:$ZZ$1, 0))</f>
        <v>7.6698000000000004</v>
      </c>
      <c r="G493">
        <f>INDEX(CO2_Em!$E:$ZZ, MATCH(A493, CO2_Em!$C:$C, 0), MATCH(B493, CO2_Em!$E$1:$ZZ$1, 0))</f>
        <v>0.1198</v>
      </c>
      <c r="H493">
        <f>INDEX(Agri_VA!$E:$ZZ, MATCH(A493, Agri_VA!$C:$C, 0), MATCH(B493, Agri_VA!$E$1:$ZZ$1, 0))</f>
        <v>1.2048116913305689</v>
      </c>
      <c r="I493" s="6">
        <f>INDEX('Agri_land '!$E:$ZZ, MATCH(A493, 'Agri_land '!$C:$C, 0), MATCH(B493, 'Agri_land '!$E$1:$ZZ$1, 0))</f>
        <v>66.119901291914658</v>
      </c>
      <c r="J493">
        <f>INDEX(Cereal_Yield!$E:$ZZ, MATCH(A493, Cereal_Yield!$C:$C, 0), MATCH(B493, Cereal_Yield!$E$1:$ZZ$1, 0))</f>
        <v>8441.5</v>
      </c>
    </row>
    <row r="494" spans="1:10" x14ac:dyDescent="0.3">
      <c r="A494" t="s">
        <v>25</v>
      </c>
      <c r="B494" s="4">
        <v>2012</v>
      </c>
      <c r="C494" t="s">
        <v>49</v>
      </c>
      <c r="D494" s="8">
        <f>INDEX(GDP_pc!$E:$ZZ, MATCH(A494, GDP_pc!$C:$C, 0), MATCH(B494, GDP_pc!$E$1:$ZZ$1, 0))</f>
        <v>226921827888.13715</v>
      </c>
      <c r="E494">
        <f>INDEX(CH4_Em!$E:$ZZ, MATCH(A494, CH4_Em!$C:$C, 0), MATCH(B494, CH4_Em!$E$1:$ZZ$1, 0))</f>
        <v>15.7257</v>
      </c>
      <c r="F494">
        <f>INDEX(N2O_Em!$E:$ZZ, MATCH(A494, N2O_Em!$C:$C, 0), MATCH(B494, N2O_Em!$E$1:$ZZ$1, 0))</f>
        <v>8.0662000000000003</v>
      </c>
      <c r="G494">
        <f>INDEX(CO2_Em!$E:$ZZ, MATCH(A494, CO2_Em!$C:$C, 0), MATCH(B494, CO2_Em!$E$1:$ZZ$1, 0))</f>
        <v>9.06E-2</v>
      </c>
      <c r="H494">
        <f>INDEX(Agri_VA!$E:$ZZ, MATCH(A494, Agri_VA!$C:$C, 0), MATCH(B494, Agri_VA!$E$1:$ZZ$1, 0))</f>
        <v>0.98628534243733035</v>
      </c>
      <c r="I494" s="6">
        <f>INDEX('Agri_land '!$E:$ZZ, MATCH(A494, 'Agri_land '!$C:$C, 0), MATCH(B494, 'Agri_land '!$E$1:$ZZ$1, 0))</f>
        <v>65.800551604006387</v>
      </c>
      <c r="J494">
        <f>INDEX(Cereal_Yield!$E:$ZZ, MATCH(A494, Cereal_Yield!$C:$C, 0), MATCH(B494, Cereal_Yield!$E$1:$ZZ$1, 0))</f>
        <v>6741.2</v>
      </c>
    </row>
    <row r="495" spans="1:10" x14ac:dyDescent="0.3">
      <c r="A495" t="s">
        <v>25</v>
      </c>
      <c r="B495" s="4">
        <v>2013</v>
      </c>
      <c r="C495" t="s">
        <v>49</v>
      </c>
      <c r="D495" s="8">
        <f>INDEX(GDP_pc!$E:$ZZ, MATCH(A495, GDP_pc!$C:$C, 0), MATCH(B495, GDP_pc!$E$1:$ZZ$1, 0))</f>
        <v>242924245718.75598</v>
      </c>
      <c r="E495">
        <f>INDEX(CH4_Em!$E:$ZZ, MATCH(A495, CH4_Em!$C:$C, 0), MATCH(B495, CH4_Em!$E$1:$ZZ$1, 0))</f>
        <v>15.9794</v>
      </c>
      <c r="F495">
        <f>INDEX(N2O_Em!$E:$ZZ, MATCH(A495, N2O_Em!$C:$C, 0), MATCH(B495, N2O_Em!$E$1:$ZZ$1, 0))</f>
        <v>8.1868999999999996</v>
      </c>
      <c r="G495">
        <f>INDEX(CO2_Em!$E:$ZZ, MATCH(A495, CO2_Em!$C:$C, 0), MATCH(B495, CO2_Em!$E$1:$ZZ$1, 0))</f>
        <v>0.13569999999999999</v>
      </c>
      <c r="H495">
        <f>INDEX(Agri_VA!$E:$ZZ, MATCH(A495, Agri_VA!$C:$C, 0), MATCH(B495, Agri_VA!$E$1:$ZZ$1, 0))</f>
        <v>1.0700053041784918</v>
      </c>
      <c r="I495" s="6">
        <f>INDEX('Agri_land '!$E:$ZZ, MATCH(A495, 'Agri_land '!$C:$C, 0), MATCH(B495, 'Agri_land '!$E$1:$ZZ$1, 0))</f>
        <v>64.987661489330819</v>
      </c>
      <c r="J495">
        <f>INDEX(Cereal_Yield!$E:$ZZ, MATCH(A495, Cereal_Yield!$C:$C, 0), MATCH(B495, Cereal_Yield!$E$1:$ZZ$1, 0))</f>
        <v>7802.1</v>
      </c>
    </row>
    <row r="496" spans="1:10" x14ac:dyDescent="0.3">
      <c r="A496" t="s">
        <v>25</v>
      </c>
      <c r="B496" s="4">
        <v>2014</v>
      </c>
      <c r="C496" t="s">
        <v>49</v>
      </c>
      <c r="D496" s="8">
        <f>INDEX(GDP_pc!$E:$ZZ, MATCH(A496, GDP_pc!$C:$C, 0), MATCH(B496, GDP_pc!$E$1:$ZZ$1, 0))</f>
        <v>266490442124.30887</v>
      </c>
      <c r="E496">
        <f>INDEX(CH4_Em!$E:$ZZ, MATCH(A496, CH4_Em!$C:$C, 0), MATCH(B496, CH4_Em!$E$1:$ZZ$1, 0))</f>
        <v>16.117899999999999</v>
      </c>
      <c r="F496">
        <f>INDEX(N2O_Em!$E:$ZZ, MATCH(A496, N2O_Em!$C:$C, 0), MATCH(B496, N2O_Em!$E$1:$ZZ$1, 0))</f>
        <v>8.1747999999999994</v>
      </c>
      <c r="G496">
        <f>INDEX(CO2_Em!$E:$ZZ, MATCH(A496, CO2_Em!$C:$C, 0), MATCH(B496, CO2_Em!$E$1:$ZZ$1, 0))</f>
        <v>0.13550000000000001</v>
      </c>
      <c r="H496">
        <f>INDEX(Agri_VA!$E:$ZZ, MATCH(A496, Agri_VA!$C:$C, 0), MATCH(B496, Agri_VA!$E$1:$ZZ$1, 0))</f>
        <v>1.2173247501294524</v>
      </c>
      <c r="I496" s="6">
        <f>INDEX('Agri_land '!$E:$ZZ, MATCH(A496, 'Agri_land '!$C:$C, 0), MATCH(B496, 'Agri_land '!$E$1:$ZZ$1, 0))</f>
        <v>64.827986645376683</v>
      </c>
      <c r="J496">
        <f>INDEX(Cereal_Yield!$E:$ZZ, MATCH(A496, Cereal_Yield!$C:$C, 0), MATCH(B496, Cereal_Yield!$E$1:$ZZ$1, 0))</f>
        <v>8471.4</v>
      </c>
    </row>
    <row r="497" spans="1:10" x14ac:dyDescent="0.3">
      <c r="A497" t="s">
        <v>25</v>
      </c>
      <c r="B497" s="4">
        <v>2015</v>
      </c>
      <c r="C497" t="s">
        <v>49</v>
      </c>
      <c r="D497" s="8">
        <f>INDEX(GDP_pc!$E:$ZZ, MATCH(A497, GDP_pc!$C:$C, 0), MATCH(B497, GDP_pc!$E$1:$ZZ$1, 0))</f>
        <v>302101388556.27057</v>
      </c>
      <c r="E497">
        <f>INDEX(CH4_Em!$E:$ZZ, MATCH(A497, CH4_Em!$C:$C, 0), MATCH(B497, CH4_Em!$E$1:$ZZ$1, 0))</f>
        <v>16.3963</v>
      </c>
      <c r="F497">
        <f>INDEX(N2O_Em!$E:$ZZ, MATCH(A497, N2O_Em!$C:$C, 0), MATCH(B497, N2O_Em!$E$1:$ZZ$1, 0))</f>
        <v>8.2568999999999999</v>
      </c>
      <c r="G497">
        <f>INDEX(CO2_Em!$E:$ZZ, MATCH(A497, CO2_Em!$C:$C, 0), MATCH(B497, CO2_Em!$E$1:$ZZ$1, 0))</f>
        <v>0.1532</v>
      </c>
      <c r="H497">
        <f>INDEX(Agri_VA!$E:$ZZ, MATCH(A497, Agri_VA!$C:$C, 0), MATCH(B497, Agri_VA!$E$1:$ZZ$1, 0))</f>
        <v>0.86869465225802045</v>
      </c>
      <c r="I497" s="6">
        <f>INDEX('Agri_land '!$E:$ZZ, MATCH(A497, 'Agri_land '!$C:$C, 0), MATCH(B497, 'Agri_land '!$E$1:$ZZ$1, 0))</f>
        <v>64.305414428799537</v>
      </c>
      <c r="J497">
        <f>INDEX(Cereal_Yield!$E:$ZZ, MATCH(A497, Cereal_Yield!$C:$C, 0), MATCH(B497, Cereal_Yield!$E$1:$ZZ$1, 0))</f>
        <v>9008.2000000000007</v>
      </c>
    </row>
    <row r="498" spans="1:10" x14ac:dyDescent="0.3">
      <c r="A498" t="s">
        <v>25</v>
      </c>
      <c r="B498" s="4">
        <v>2016</v>
      </c>
      <c r="C498" t="s">
        <v>49</v>
      </c>
      <c r="D498" s="8">
        <f>INDEX(GDP_pc!$E:$ZZ, MATCH(A498, GDP_pc!$C:$C, 0), MATCH(B498, GDP_pc!$E$1:$ZZ$1, 0))</f>
        <v>305431252708.74823</v>
      </c>
      <c r="E498">
        <f>INDEX(CH4_Em!$E:$ZZ, MATCH(A498, CH4_Em!$C:$C, 0), MATCH(B498, CH4_Em!$E$1:$ZZ$1, 0))</f>
        <v>17.046500000000002</v>
      </c>
      <c r="F498">
        <f>INDEX(N2O_Em!$E:$ZZ, MATCH(A498, N2O_Em!$C:$C, 0), MATCH(B498, N2O_Em!$E$1:$ZZ$1, 0))</f>
        <v>8.5206</v>
      </c>
      <c r="G498">
        <f>INDEX(CO2_Em!$E:$ZZ, MATCH(A498, CO2_Em!$C:$C, 0), MATCH(B498, CO2_Em!$E$1:$ZZ$1, 0))</f>
        <v>0.1515</v>
      </c>
      <c r="H498">
        <f>INDEX(Agri_VA!$E:$ZZ, MATCH(A498, Agri_VA!$C:$C, 0), MATCH(B498, Agri_VA!$E$1:$ZZ$1, 0))</f>
        <v>0.92594133156335867</v>
      </c>
      <c r="I498" s="6">
        <f>INDEX('Agri_land '!$E:$ZZ, MATCH(A498, 'Agri_land '!$C:$C, 0), MATCH(B498, 'Agri_land '!$E$1:$ZZ$1, 0))</f>
        <v>64.755407170852081</v>
      </c>
      <c r="J498">
        <f>INDEX(Cereal_Yield!$E:$ZZ, MATCH(A498, Cereal_Yield!$C:$C, 0), MATCH(B498, Cereal_Yield!$E$1:$ZZ$1, 0))</f>
        <v>8222.7999999999993</v>
      </c>
    </row>
    <row r="499" spans="1:10" x14ac:dyDescent="0.3">
      <c r="A499" t="s">
        <v>25</v>
      </c>
      <c r="B499" s="4">
        <v>2017</v>
      </c>
      <c r="C499" t="s">
        <v>49</v>
      </c>
      <c r="D499" s="8">
        <f>INDEX(GDP_pc!$E:$ZZ, MATCH(A499, GDP_pc!$C:$C, 0), MATCH(B499, GDP_pc!$E$1:$ZZ$1, 0))</f>
        <v>348355212568.51471</v>
      </c>
      <c r="E499">
        <f>INDEX(CH4_Em!$E:$ZZ, MATCH(A499, CH4_Em!$C:$C, 0), MATCH(B499, CH4_Em!$E$1:$ZZ$1, 0))</f>
        <v>17.351500000000001</v>
      </c>
      <c r="F499">
        <f>INDEX(N2O_Em!$E:$ZZ, MATCH(A499, N2O_Em!$C:$C, 0), MATCH(B499, N2O_Em!$E$1:$ZZ$1, 0))</f>
        <v>8.7270000000000003</v>
      </c>
      <c r="G499">
        <f>INDEX(CO2_Em!$E:$ZZ, MATCH(A499, CO2_Em!$C:$C, 0), MATCH(B499, CO2_Em!$E$1:$ZZ$1, 0))</f>
        <v>0.16700000000000001</v>
      </c>
      <c r="H499">
        <f>INDEX(Agri_VA!$E:$ZZ, MATCH(A499, Agri_VA!$C:$C, 0), MATCH(B499, Agri_VA!$E$1:$ZZ$1, 0))</f>
        <v>1.1198159091188644</v>
      </c>
      <c r="I499" s="6">
        <f>INDEX('Agri_land '!$E:$ZZ, MATCH(A499, 'Agri_land '!$C:$C, 0), MATCH(B499, 'Agri_land '!$E$1:$ZZ$1, 0))</f>
        <v>65.161852228189872</v>
      </c>
      <c r="J499">
        <f>INDEX(Cereal_Yield!$E:$ZZ, MATCH(A499, Cereal_Yield!$C:$C, 0), MATCH(B499, Cereal_Yield!$E$1:$ZZ$1, 0))</f>
        <v>8783.6</v>
      </c>
    </row>
    <row r="500" spans="1:10" x14ac:dyDescent="0.3">
      <c r="A500" t="s">
        <v>25</v>
      </c>
      <c r="B500" s="4">
        <v>2018</v>
      </c>
      <c r="C500" t="s">
        <v>49</v>
      </c>
      <c r="D500" s="8">
        <f>INDEX(GDP_pc!$E:$ZZ, MATCH(A500, GDP_pc!$C:$C, 0), MATCH(B500, GDP_pc!$E$1:$ZZ$1, 0))</f>
        <v>395780319816.60284</v>
      </c>
      <c r="E500">
        <f>INDEX(CH4_Em!$E:$ZZ, MATCH(A500, CH4_Em!$C:$C, 0), MATCH(B500, CH4_Em!$E$1:$ZZ$1, 0))</f>
        <v>15.5296</v>
      </c>
      <c r="F500">
        <f>INDEX(N2O_Em!$E:$ZZ, MATCH(A500, N2O_Em!$C:$C, 0), MATCH(B500, N2O_Em!$E$1:$ZZ$1, 0))</f>
        <v>8.3583999999999996</v>
      </c>
      <c r="G500">
        <f>INDEX(CO2_Em!$E:$ZZ, MATCH(A500, CO2_Em!$C:$C, 0), MATCH(B500, CO2_Em!$E$1:$ZZ$1, 0))</f>
        <v>0.1648</v>
      </c>
      <c r="H500">
        <f>INDEX(Agri_VA!$E:$ZZ, MATCH(A500, Agri_VA!$C:$C, 0), MATCH(B500, Agri_VA!$E$1:$ZZ$1, 0))</f>
        <v>0.9281689818797928</v>
      </c>
      <c r="I500" s="6">
        <f>INDEX('Agri_land '!$E:$ZZ, MATCH(A500, 'Agri_land '!$C:$C, 0), MATCH(B500, 'Agri_land '!$E$1:$ZZ$1, 0))</f>
        <v>65.553781390622731</v>
      </c>
      <c r="J500">
        <f>INDEX(Cereal_Yield!$E:$ZZ, MATCH(A500, Cereal_Yield!$C:$C, 0), MATCH(B500, Cereal_Yield!$E$1:$ZZ$1, 0))</f>
        <v>6839.5</v>
      </c>
    </row>
    <row r="501" spans="1:10" x14ac:dyDescent="0.3">
      <c r="A501" t="s">
        <v>25</v>
      </c>
      <c r="B501" s="4">
        <v>2019</v>
      </c>
      <c r="C501" t="s">
        <v>49</v>
      </c>
      <c r="D501" s="8">
        <f>INDEX(GDP_pc!$E:$ZZ, MATCH(A501, GDP_pc!$C:$C, 0), MATCH(B501, GDP_pc!$E$1:$ZZ$1, 0))</f>
        <v>407211793800.71307</v>
      </c>
      <c r="E501">
        <f>INDEX(CH4_Em!$E:$ZZ, MATCH(A501, CH4_Em!$C:$C, 0), MATCH(B501, CH4_Em!$E$1:$ZZ$1, 0))</f>
        <v>15.5657</v>
      </c>
      <c r="F501">
        <f>INDEX(N2O_Em!$E:$ZZ, MATCH(A501, N2O_Em!$C:$C, 0), MATCH(B501, N2O_Em!$E$1:$ZZ$1, 0))</f>
        <v>8.2011000000000003</v>
      </c>
      <c r="G501">
        <f>INDEX(CO2_Em!$E:$ZZ, MATCH(A501, CO2_Em!$C:$C, 0), MATCH(B501, CO2_Em!$E$1:$ZZ$1, 0))</f>
        <v>0.17380000000000001</v>
      </c>
      <c r="H501">
        <f>INDEX(Agri_VA!$E:$ZZ, MATCH(A501, Agri_VA!$C:$C, 0), MATCH(B501, Agri_VA!$E$1:$ZZ$1, 0))</f>
        <v>0.95389661611983356</v>
      </c>
      <c r="I501" s="6">
        <f>INDEX('Agri_land '!$E:$ZZ, MATCH(A501, 'Agri_land '!$C:$C, 0), MATCH(B501, 'Agri_land '!$E$1:$ZZ$1, 0))</f>
        <v>65.6699085498621</v>
      </c>
      <c r="J501">
        <f>INDEX(Cereal_Yield!$E:$ZZ, MATCH(A501, Cereal_Yield!$C:$C, 0), MATCH(B501, Cereal_Yield!$E$1:$ZZ$1, 0))</f>
        <v>8505.2000000000007</v>
      </c>
    </row>
    <row r="502" spans="1:10" x14ac:dyDescent="0.3">
      <c r="A502" t="s">
        <v>25</v>
      </c>
      <c r="B502" s="4">
        <v>2020</v>
      </c>
      <c r="C502" t="s">
        <v>49</v>
      </c>
      <c r="D502" s="8">
        <f>INDEX(GDP_pc!$E:$ZZ, MATCH(A502, GDP_pc!$C:$C, 0), MATCH(B502, GDP_pc!$E$1:$ZZ$1, 0))</f>
        <v>436009027818.94751</v>
      </c>
      <c r="E502">
        <f>INDEX(CH4_Em!$E:$ZZ, MATCH(A502, CH4_Em!$C:$C, 0), MATCH(B502, CH4_Em!$E$1:$ZZ$1, 0))</f>
        <v>15.583</v>
      </c>
      <c r="F502">
        <f>INDEX(N2O_Em!$E:$ZZ, MATCH(A502, N2O_Em!$C:$C, 0), MATCH(B502, N2O_Em!$E$1:$ZZ$1, 0))</f>
        <v>8.2850999999999999</v>
      </c>
      <c r="G502">
        <f>INDEX(CO2_Em!$E:$ZZ, MATCH(A502, CO2_Em!$C:$C, 0), MATCH(B502, CO2_Em!$E$1:$ZZ$1, 0))</f>
        <v>0.18390000000000001</v>
      </c>
      <c r="H502">
        <f>INDEX(Agri_VA!$E:$ZZ, MATCH(A502, Agri_VA!$C:$C, 0), MATCH(B502, Agri_VA!$E$1:$ZZ$1, 0))</f>
        <v>1.0089723593295619</v>
      </c>
      <c r="I502" s="6">
        <f>INDEX('Agri_land '!$E:$ZZ, MATCH(A502, 'Agri_land '!$C:$C, 0), MATCH(B502, 'Agri_land '!$E$1:$ZZ$1, 0))</f>
        <v>65.495717811003047</v>
      </c>
      <c r="J502">
        <f>INDEX(Cereal_Yield!$E:$ZZ, MATCH(A502, Cereal_Yield!$C:$C, 0), MATCH(B502, Cereal_Yield!$E$1:$ZZ$1, 0))</f>
        <v>7124.8</v>
      </c>
    </row>
    <row r="503" spans="1:10" x14ac:dyDescent="0.3">
      <c r="A503" t="s">
        <v>25</v>
      </c>
      <c r="B503" s="4">
        <v>2021</v>
      </c>
      <c r="C503" t="s">
        <v>49</v>
      </c>
      <c r="D503" s="8">
        <f>INDEX(GDP_pc!$E:$ZZ, MATCH(A503, GDP_pc!$C:$C, 0), MATCH(B503, GDP_pc!$E$1:$ZZ$1, 0))</f>
        <v>530394123829.76282</v>
      </c>
      <c r="E503">
        <f>INDEX(CH4_Em!$E:$ZZ, MATCH(A503, CH4_Em!$C:$C, 0), MATCH(B503, CH4_Em!$E$1:$ZZ$1, 0))</f>
        <v>15.916</v>
      </c>
      <c r="F503">
        <f>INDEX(N2O_Em!$E:$ZZ, MATCH(A503, N2O_Em!$C:$C, 0), MATCH(B503, N2O_Em!$E$1:$ZZ$1, 0))</f>
        <v>8.2789999999999999</v>
      </c>
      <c r="G503">
        <f>INDEX(CO2_Em!$E:$ZZ, MATCH(A503, CO2_Em!$C:$C, 0), MATCH(B503, CO2_Em!$E$1:$ZZ$1, 0))</f>
        <v>0.1731</v>
      </c>
      <c r="H503">
        <f>INDEX(Agri_VA!$E:$ZZ, MATCH(A503, Agri_VA!$C:$C, 0), MATCH(B503, Agri_VA!$E$1:$ZZ$1, 0))</f>
        <v>1.0331244030498687</v>
      </c>
      <c r="I503" s="6">
        <f>INDEX('Agri_land '!$E:$ZZ, MATCH(A503, 'Agri_land '!$C:$C, 0), MATCH(B503, 'Agri_land '!$E$1:$ZZ$1, 0))</f>
        <v>62.955436202641891</v>
      </c>
      <c r="J503">
        <f>INDEX(Cereal_Yield!$E:$ZZ, MATCH(A503, Cereal_Yield!$C:$C, 0), MATCH(B503, Cereal_Yield!$E$1:$ZZ$1, 0))</f>
        <v>8606.5</v>
      </c>
    </row>
    <row r="504" spans="1:10" x14ac:dyDescent="0.3">
      <c r="A504" t="s">
        <v>25</v>
      </c>
      <c r="B504" s="4">
        <v>2022</v>
      </c>
      <c r="C504" t="s">
        <v>49</v>
      </c>
      <c r="D504" s="8">
        <f>INDEX(GDP_pc!$E:$ZZ, MATCH(A504, GDP_pc!$C:$C, 0), MATCH(B504, GDP_pc!$E$1:$ZZ$1, 0))</f>
        <v>548341794599.08966</v>
      </c>
      <c r="E504">
        <f>INDEX(CH4_Em!$E:$ZZ, MATCH(A504, CH4_Em!$C:$C, 0), MATCH(B504, CH4_Em!$E$1:$ZZ$1, 0))</f>
        <v>15.728400000000001</v>
      </c>
      <c r="F504">
        <f>INDEX(N2O_Em!$E:$ZZ, MATCH(A504, N2O_Em!$C:$C, 0), MATCH(B504, N2O_Em!$E$1:$ZZ$1, 0))</f>
        <v>7.9781000000000004</v>
      </c>
      <c r="G504">
        <f>INDEX(CO2_Em!$E:$ZZ, MATCH(A504, CO2_Em!$C:$C, 0), MATCH(B504, CO2_Em!$E$1:$ZZ$1, 0))</f>
        <v>0.1489</v>
      </c>
      <c r="H504">
        <f>INDEX(Agri_VA!$E:$ZZ, MATCH(A504, Agri_VA!$C:$C, 0), MATCH(B504, Agri_VA!$E$1:$ZZ$1, 0))</f>
        <v>1.172815303261239</v>
      </c>
      <c r="I504" s="6">
        <f>INDEX('Agri_land '!$E:$ZZ, MATCH(A504, 'Agri_land '!$C:$C, 0), MATCH(B504, 'Agri_land '!$E$1:$ZZ$1, 0))</f>
        <v>63.11511104659602</v>
      </c>
      <c r="J504">
        <f>INDEX(Cereal_Yield!$E:$ZZ, MATCH(A504, Cereal_Yield!$C:$C, 0), MATCH(B504, Cereal_Yield!$E$1:$ZZ$1, 0))</f>
        <v>8701.5</v>
      </c>
    </row>
    <row r="505" spans="1:10" x14ac:dyDescent="0.3">
      <c r="A505" t="s">
        <v>25</v>
      </c>
      <c r="B505" s="4">
        <v>2023</v>
      </c>
      <c r="C505" t="s">
        <v>49</v>
      </c>
      <c r="D505" s="8">
        <f>INDEX(GDP_pc!$E:$ZZ, MATCH(A505, GDP_pc!$C:$C, 0), MATCH(B505, GDP_pc!$E$1:$ZZ$1, 0))</f>
        <v>567372737459.11584</v>
      </c>
      <c r="E505">
        <f>INDEX(CH4_Em!$E:$ZZ, MATCH(A505, CH4_Em!$C:$C, 0), MATCH(B505, CH4_Em!$E$1:$ZZ$1, 0))</f>
        <v>15.584199999999999</v>
      </c>
      <c r="F505">
        <f>INDEX(N2O_Em!$E:$ZZ, MATCH(A505, N2O_Em!$C:$C, 0), MATCH(B505, N2O_Em!$E$1:$ZZ$1, 0))</f>
        <v>7.8563999999999998</v>
      </c>
      <c r="G505">
        <f>INDEX(CO2_Em!$E:$ZZ, MATCH(A505, CO2_Em!$C:$C, 0), MATCH(B505, CO2_Em!$E$1:$ZZ$1, 0))</f>
        <v>0.14879999999999999</v>
      </c>
      <c r="H505">
        <f>INDEX(Agri_VA!$E:$ZZ, MATCH(A505, Agri_VA!$C:$C, 0), MATCH(B505, Agri_VA!$E$1:$ZZ$1, 0))</f>
        <v>0.84691071016440123</v>
      </c>
      <c r="I505" s="6">
        <f>INDEX('Agri_land '!$E:$ZZ, MATCH(A505, 'Agri_land '!$C:$C, 0), MATCH(B505, 'Agri_land '!$E$1:$ZZ$1, 0))</f>
        <v>60.807083756713595</v>
      </c>
      <c r="J505">
        <f>INDEX(Cereal_Yield!$E:$ZZ, MATCH(A505, Cereal_Yield!$C:$C, 0), MATCH(B505, Cereal_Yield!$E$1:$ZZ$1, 0))</f>
        <v>6977.8</v>
      </c>
    </row>
    <row r="506" spans="1:10" x14ac:dyDescent="0.3">
      <c r="A506" t="s">
        <v>26</v>
      </c>
      <c r="B506" s="4">
        <v>2000</v>
      </c>
      <c r="C506" t="s">
        <v>49</v>
      </c>
      <c r="D506" s="8">
        <f>INDEX(GDP_pc!$E:$ZZ, MATCH(A506, GDP_pc!$C:$C, 0), MATCH(B506, GDP_pc!$E$1:$ZZ$1, 0))</f>
        <v>1149661363439.375</v>
      </c>
      <c r="E506">
        <f>INDEX(CH4_Em!$E:$ZZ, MATCH(A506, CH4_Em!$C:$C, 0), MATCH(B506, CH4_Em!$E$1:$ZZ$1, 0))</f>
        <v>24.778700000000001</v>
      </c>
      <c r="F506">
        <f>INDEX(N2O_Em!$E:$ZZ, MATCH(A506, N2O_Em!$C:$C, 0), MATCH(B506, N2O_Em!$E$1:$ZZ$1, 0))</f>
        <v>11.2485</v>
      </c>
      <c r="G506">
        <f>INDEX(CO2_Em!$E:$ZZ, MATCH(A506, CO2_Em!$C:$C, 0), MATCH(B506, CO2_Em!$E$1:$ZZ$1, 0))</f>
        <v>1.2141999999999999</v>
      </c>
      <c r="H506">
        <f>INDEX(Agri_VA!$E:$ZZ, MATCH(A506, Agri_VA!$C:$C, 0), MATCH(B506, Agri_VA!$E$1:$ZZ$1, 0))</f>
        <v>2.5576339299271287</v>
      </c>
      <c r="I506" s="6">
        <f>INDEX('Agri_land '!$E:$ZZ, MATCH(A506, 'Agri_land '!$C:$C, 0), MATCH(B506, 'Agri_land '!$E$1:$ZZ$1, 0))</f>
        <v>52.878079792234487</v>
      </c>
      <c r="J506">
        <f>INDEX(Cereal_Yield!$E:$ZZ, MATCH(A506, Cereal_Yield!$C:$C, 0), MATCH(B506, Cereal_Yield!$E$1:$ZZ$1, 0))</f>
        <v>4993.8999999999996</v>
      </c>
    </row>
    <row r="507" spans="1:10" x14ac:dyDescent="0.3">
      <c r="A507" t="s">
        <v>26</v>
      </c>
      <c r="B507" s="4">
        <v>2001</v>
      </c>
      <c r="C507" t="s">
        <v>49</v>
      </c>
      <c r="D507" s="8">
        <f>INDEX(GDP_pc!$E:$ZZ, MATCH(A507, GDP_pc!$C:$C, 0), MATCH(B507, GDP_pc!$E$1:$ZZ$1, 0))</f>
        <v>1172041488805.8677</v>
      </c>
      <c r="E507">
        <f>INDEX(CH4_Em!$E:$ZZ, MATCH(A507, CH4_Em!$C:$C, 0), MATCH(B507, CH4_Em!$E$1:$ZZ$1, 0))</f>
        <v>21.689</v>
      </c>
      <c r="F507">
        <f>INDEX(N2O_Em!$E:$ZZ, MATCH(A507, N2O_Em!$C:$C, 0), MATCH(B507, N2O_Em!$E$1:$ZZ$1, 0))</f>
        <v>10.4764</v>
      </c>
      <c r="G507">
        <f>INDEX(CO2_Em!$E:$ZZ, MATCH(A507, CO2_Em!$C:$C, 0), MATCH(B507, CO2_Em!$E$1:$ZZ$1, 0))</f>
        <v>1.2194</v>
      </c>
      <c r="H507">
        <f>INDEX(Agri_VA!$E:$ZZ, MATCH(A507, Agri_VA!$C:$C, 0), MATCH(B507, Agri_VA!$E$1:$ZZ$1, 0))</f>
        <v>2.4818910807855983</v>
      </c>
      <c r="I507" s="6">
        <f>INDEX('Agri_land '!$E:$ZZ, MATCH(A507, 'Agri_land '!$C:$C, 0), MATCH(B507, 'Agri_land '!$E$1:$ZZ$1, 0))</f>
        <v>52.421563787121514</v>
      </c>
      <c r="J507">
        <f>INDEX(Cereal_Yield!$E:$ZZ, MATCH(A507, Cereal_Yield!$C:$C, 0), MATCH(B507, Cereal_Yield!$E$1:$ZZ$1, 0))</f>
        <v>4821.3999999999996</v>
      </c>
    </row>
    <row r="508" spans="1:10" x14ac:dyDescent="0.3">
      <c r="A508" t="s">
        <v>26</v>
      </c>
      <c r="B508" s="4">
        <v>2002</v>
      </c>
      <c r="C508" t="s">
        <v>49</v>
      </c>
      <c r="D508" s="8">
        <f>INDEX(GDP_pc!$E:$ZZ, MATCH(A508, GDP_pc!$C:$C, 0), MATCH(B508, GDP_pc!$E$1:$ZZ$1, 0))</f>
        <v>1281746271196.0415</v>
      </c>
      <c r="E508">
        <f>INDEX(CH4_Em!$E:$ZZ, MATCH(A508, CH4_Em!$C:$C, 0), MATCH(B508, CH4_Em!$E$1:$ZZ$1, 0))</f>
        <v>23.1084</v>
      </c>
      <c r="F508">
        <f>INDEX(N2O_Em!$E:$ZZ, MATCH(A508, N2O_Em!$C:$C, 0), MATCH(B508, N2O_Em!$E$1:$ZZ$1, 0))</f>
        <v>10.733499999999999</v>
      </c>
      <c r="G508">
        <f>INDEX(CO2_Em!$E:$ZZ, MATCH(A508, CO2_Em!$C:$C, 0), MATCH(B508, CO2_Em!$E$1:$ZZ$1, 0))</f>
        <v>1.1854</v>
      </c>
      <c r="H508">
        <f>INDEX(Agri_VA!$E:$ZZ, MATCH(A508, Agri_VA!$C:$C, 0), MATCH(B508, Agri_VA!$E$1:$ZZ$1, 0))</f>
        <v>2.3653244214425686</v>
      </c>
      <c r="I508" s="6">
        <f>INDEX('Agri_land '!$E:$ZZ, MATCH(A508, 'Agri_land '!$C:$C, 0), MATCH(B508, 'Agri_land '!$E$1:$ZZ$1, 0))</f>
        <v>51.647177378448383</v>
      </c>
      <c r="J508">
        <f>INDEX(Cereal_Yield!$E:$ZZ, MATCH(A508, Cereal_Yield!$C:$C, 0), MATCH(B508, Cereal_Yield!$E$1:$ZZ$1, 0))</f>
        <v>4959.2</v>
      </c>
    </row>
    <row r="509" spans="1:10" x14ac:dyDescent="0.3">
      <c r="A509" t="s">
        <v>26</v>
      </c>
      <c r="B509" s="4">
        <v>2003</v>
      </c>
      <c r="C509" t="s">
        <v>49</v>
      </c>
      <c r="D509" s="8">
        <f>INDEX(GDP_pc!$E:$ZZ, MATCH(A509, GDP_pc!$C:$C, 0), MATCH(B509, GDP_pc!$E$1:$ZZ$1, 0))</f>
        <v>1582930016538.8203</v>
      </c>
      <c r="E509">
        <f>INDEX(CH4_Em!$E:$ZZ, MATCH(A509, CH4_Em!$C:$C, 0), MATCH(B509, CH4_Em!$E$1:$ZZ$1, 0))</f>
        <v>22.798400000000001</v>
      </c>
      <c r="F509">
        <f>INDEX(N2O_Em!$E:$ZZ, MATCH(A509, N2O_Em!$C:$C, 0), MATCH(B509, N2O_Em!$E$1:$ZZ$1, 0))</f>
        <v>10.277799999999999</v>
      </c>
      <c r="G509">
        <f>INDEX(CO2_Em!$E:$ZZ, MATCH(A509, CO2_Em!$C:$C, 0), MATCH(B509, CO2_Em!$E$1:$ZZ$1, 0))</f>
        <v>1.1288</v>
      </c>
      <c r="H509">
        <f>INDEX(Agri_VA!$E:$ZZ, MATCH(A509, Agri_VA!$C:$C, 0), MATCH(B509, Agri_VA!$E$1:$ZZ$1, 0))</f>
        <v>2.352381687397187</v>
      </c>
      <c r="I509" s="6">
        <f>INDEX('Agri_land '!$E:$ZZ, MATCH(A509, 'Agri_land '!$C:$C, 0), MATCH(B509, 'Agri_land '!$E$1:$ZZ$1, 0))</f>
        <v>50.409511764586533</v>
      </c>
      <c r="J509">
        <f>INDEX(Cereal_Yield!$E:$ZZ, MATCH(A509, Cereal_Yield!$C:$C, 0), MATCH(B509, Cereal_Yield!$E$1:$ZZ$1, 0))</f>
        <v>4307.2</v>
      </c>
    </row>
    <row r="510" spans="1:10" x14ac:dyDescent="0.3">
      <c r="A510" t="s">
        <v>26</v>
      </c>
      <c r="B510" s="4">
        <v>2004</v>
      </c>
      <c r="C510" t="s">
        <v>49</v>
      </c>
      <c r="D510" s="8">
        <f>INDEX(GDP_pc!$E:$ZZ, MATCH(A510, GDP_pc!$C:$C, 0), MATCH(B510, GDP_pc!$E$1:$ZZ$1, 0))</f>
        <v>1812808753294.7537</v>
      </c>
      <c r="E510">
        <f>INDEX(CH4_Em!$E:$ZZ, MATCH(A510, CH4_Em!$C:$C, 0), MATCH(B510, CH4_Em!$E$1:$ZZ$1, 0))</f>
        <v>22.777999999999999</v>
      </c>
      <c r="F510">
        <f>INDEX(N2O_Em!$E:$ZZ, MATCH(A510, N2O_Em!$C:$C, 0), MATCH(B510, N2O_Em!$E$1:$ZZ$1, 0))</f>
        <v>10.1494</v>
      </c>
      <c r="G510">
        <f>INDEX(CO2_Em!$E:$ZZ, MATCH(A510, CO2_Em!$C:$C, 0), MATCH(B510, CO2_Em!$E$1:$ZZ$1, 0))</f>
        <v>0.96430000000000005</v>
      </c>
      <c r="H510">
        <f>INDEX(Agri_VA!$E:$ZZ, MATCH(A510, Agri_VA!$C:$C, 0), MATCH(B510, Agri_VA!$E$1:$ZZ$1, 0))</f>
        <v>2.3422962759550479</v>
      </c>
      <c r="I510" s="6">
        <f>INDEX('Agri_land '!$E:$ZZ, MATCH(A510, 'Agri_land '!$C:$C, 0), MATCH(B510, 'Agri_land '!$E$1:$ZZ$1, 0))</f>
        <v>50.328353363677557</v>
      </c>
      <c r="J510">
        <f>INDEX(Cereal_Yield!$E:$ZZ, MATCH(A510, Cereal_Yield!$C:$C, 0), MATCH(B510, Cereal_Yield!$E$1:$ZZ$1, 0))</f>
        <v>5444.4</v>
      </c>
    </row>
    <row r="511" spans="1:10" x14ac:dyDescent="0.3">
      <c r="A511" t="s">
        <v>26</v>
      </c>
      <c r="B511" s="4">
        <v>2005</v>
      </c>
      <c r="C511" t="s">
        <v>49</v>
      </c>
      <c r="D511" s="8">
        <f>INDEX(GDP_pc!$E:$ZZ, MATCH(A511, GDP_pc!$C:$C, 0), MATCH(B511, GDP_pc!$E$1:$ZZ$1, 0))</f>
        <v>1864982261286.8474</v>
      </c>
      <c r="E511">
        <f>INDEX(CH4_Em!$E:$ZZ, MATCH(A511, CH4_Em!$C:$C, 0), MATCH(B511, CH4_Em!$E$1:$ZZ$1, 0))</f>
        <v>22.235800000000001</v>
      </c>
      <c r="F511">
        <f>INDEX(N2O_Em!$E:$ZZ, MATCH(A511, N2O_Em!$C:$C, 0), MATCH(B511, N2O_Em!$E$1:$ZZ$1, 0))</f>
        <v>9.7396999999999991</v>
      </c>
      <c r="G511">
        <f>INDEX(CO2_Em!$E:$ZZ, MATCH(A511, CO2_Em!$C:$C, 0), MATCH(B511, CO2_Em!$E$1:$ZZ$1, 0))</f>
        <v>0.92710000000000004</v>
      </c>
      <c r="H511">
        <f>INDEX(Agri_VA!$E:$ZZ, MATCH(A511, Agri_VA!$C:$C, 0), MATCH(B511, Agri_VA!$E$1:$ZZ$1, 0))</f>
        <v>2.0300611090946798</v>
      </c>
      <c r="I511" s="6">
        <f>INDEX('Agri_land '!$E:$ZZ, MATCH(A511, 'Agri_land '!$C:$C, 0), MATCH(B511, 'Agri_land '!$E$1:$ZZ$1, 0))</f>
        <v>49.831258158110089</v>
      </c>
      <c r="J511">
        <f>INDEX(Cereal_Yield!$E:$ZZ, MATCH(A511, Cereal_Yield!$C:$C, 0), MATCH(B511, Cereal_Yield!$E$1:$ZZ$1, 0))</f>
        <v>5361.4</v>
      </c>
    </row>
    <row r="512" spans="1:10" x14ac:dyDescent="0.3">
      <c r="A512" t="s">
        <v>26</v>
      </c>
      <c r="B512" s="4">
        <v>2006</v>
      </c>
      <c r="C512" t="s">
        <v>49</v>
      </c>
      <c r="D512" s="8">
        <f>INDEX(GDP_pc!$E:$ZZ, MATCH(A512, GDP_pc!$C:$C, 0), MATCH(B512, GDP_pc!$E$1:$ZZ$1, 0))</f>
        <v>1958563654385.6443</v>
      </c>
      <c r="E512">
        <f>INDEX(CH4_Em!$E:$ZZ, MATCH(A512, CH4_Em!$C:$C, 0), MATCH(B512, CH4_Em!$E$1:$ZZ$1, 0))</f>
        <v>21.911300000000001</v>
      </c>
      <c r="F512">
        <f>INDEX(N2O_Em!$E:$ZZ, MATCH(A512, N2O_Em!$C:$C, 0), MATCH(B512, N2O_Em!$E$1:$ZZ$1, 0))</f>
        <v>9.9784000000000006</v>
      </c>
      <c r="G512">
        <f>INDEX(CO2_Em!$E:$ZZ, MATCH(A512, CO2_Em!$C:$C, 0), MATCH(B512, CO2_Em!$E$1:$ZZ$1, 0))</f>
        <v>0.93079999999999996</v>
      </c>
      <c r="H512">
        <f>INDEX(Agri_VA!$E:$ZZ, MATCH(A512, Agri_VA!$C:$C, 0), MATCH(B512, Agri_VA!$E$1:$ZZ$1, 0))</f>
        <v>1.9415856841896877</v>
      </c>
      <c r="I512" s="6">
        <f>INDEX('Agri_land '!$E:$ZZ, MATCH(A512, 'Agri_land '!$C:$C, 0), MATCH(B512, 'Agri_land '!$E$1:$ZZ$1, 0))</f>
        <v>48.028865337923293</v>
      </c>
      <c r="J512">
        <f>INDEX(Cereal_Yield!$E:$ZZ, MATCH(A512, Cereal_Yield!$C:$C, 0), MATCH(B512, Cereal_Yield!$E$1:$ZZ$1, 0))</f>
        <v>5316.1</v>
      </c>
    </row>
    <row r="513" spans="1:10" x14ac:dyDescent="0.3">
      <c r="A513" t="s">
        <v>26</v>
      </c>
      <c r="B513" s="4">
        <v>2007</v>
      </c>
      <c r="C513" t="s">
        <v>49</v>
      </c>
      <c r="D513" s="8">
        <f>INDEX(GDP_pc!$E:$ZZ, MATCH(A513, GDP_pc!$C:$C, 0), MATCH(B513, GDP_pc!$E$1:$ZZ$1, 0))</f>
        <v>2222524108127.6543</v>
      </c>
      <c r="E513">
        <f>INDEX(CH4_Em!$E:$ZZ, MATCH(A513, CH4_Em!$C:$C, 0), MATCH(B513, CH4_Em!$E$1:$ZZ$1, 0))</f>
        <v>22.035499999999999</v>
      </c>
      <c r="F513">
        <f>INDEX(N2O_Em!$E:$ZZ, MATCH(A513, N2O_Em!$C:$C, 0), MATCH(B513, N2O_Em!$E$1:$ZZ$1, 0))</f>
        <v>10.0237</v>
      </c>
      <c r="G513">
        <f>INDEX(CO2_Em!$E:$ZZ, MATCH(A513, CO2_Em!$C:$C, 0), MATCH(B513, CO2_Em!$E$1:$ZZ$1, 0))</f>
        <v>0.96699999999999997</v>
      </c>
      <c r="H513">
        <f>INDEX(Agri_VA!$E:$ZZ, MATCH(A513, Agri_VA!$C:$C, 0), MATCH(B513, Agri_VA!$E$1:$ZZ$1, 0))</f>
        <v>1.8941496792437882</v>
      </c>
      <c r="I513" s="6">
        <f>INDEX('Agri_land '!$E:$ZZ, MATCH(A513, 'Agri_land '!$C:$C, 0), MATCH(B513, 'Agri_land '!$E$1:$ZZ$1, 0))</f>
        <v>47.890219736370462</v>
      </c>
      <c r="J513">
        <f>INDEX(Cereal_Yield!$E:$ZZ, MATCH(A513, Cereal_Yield!$C:$C, 0), MATCH(B513, Cereal_Yield!$E$1:$ZZ$1, 0))</f>
        <v>5174</v>
      </c>
    </row>
    <row r="514" spans="1:10" x14ac:dyDescent="0.3">
      <c r="A514" t="s">
        <v>26</v>
      </c>
      <c r="B514" s="4">
        <v>2008</v>
      </c>
      <c r="C514" t="s">
        <v>49</v>
      </c>
      <c r="D514" s="8">
        <f>INDEX(GDP_pc!$E:$ZZ, MATCH(A514, GDP_pc!$C:$C, 0), MATCH(B514, GDP_pc!$E$1:$ZZ$1, 0))</f>
        <v>2417508414187.187</v>
      </c>
      <c r="E514">
        <f>INDEX(CH4_Em!$E:$ZZ, MATCH(A514, CH4_Em!$C:$C, 0), MATCH(B514, CH4_Em!$E$1:$ZZ$1, 0))</f>
        <v>22.812999999999999</v>
      </c>
      <c r="F514">
        <f>INDEX(N2O_Em!$E:$ZZ, MATCH(A514, N2O_Em!$C:$C, 0), MATCH(B514, N2O_Em!$E$1:$ZZ$1, 0))</f>
        <v>9.7306000000000008</v>
      </c>
      <c r="G514">
        <f>INDEX(CO2_Em!$E:$ZZ, MATCH(A514, CO2_Em!$C:$C, 0), MATCH(B514, CO2_Em!$E$1:$ZZ$1, 0))</f>
        <v>0.81769999999999998</v>
      </c>
      <c r="H514">
        <f>INDEX(Agri_VA!$E:$ZZ, MATCH(A514, Agri_VA!$C:$C, 0), MATCH(B514, Agri_VA!$E$1:$ZZ$1, 0))</f>
        <v>1.8730089355916597</v>
      </c>
      <c r="I514" s="6">
        <f>INDEX('Agri_land '!$E:$ZZ, MATCH(A514, 'Agri_land '!$C:$C, 0), MATCH(B514, 'Agri_land '!$E$1:$ZZ$1, 0))</f>
        <v>48.888468067550846</v>
      </c>
      <c r="J514">
        <f>INDEX(Cereal_Yield!$E:$ZZ, MATCH(A514, Cereal_Yield!$C:$C, 0), MATCH(B514, Cereal_Yield!$E$1:$ZZ$1, 0))</f>
        <v>5353</v>
      </c>
    </row>
    <row r="515" spans="1:10" x14ac:dyDescent="0.3">
      <c r="A515" t="s">
        <v>26</v>
      </c>
      <c r="B515" s="4">
        <v>2009</v>
      </c>
      <c r="C515" t="s">
        <v>49</v>
      </c>
      <c r="D515" s="8">
        <f>INDEX(GDP_pc!$E:$ZZ, MATCH(A515, GDP_pc!$C:$C, 0), MATCH(B515, GDP_pc!$E$1:$ZZ$1, 0))</f>
        <v>2209484319012.6548</v>
      </c>
      <c r="E515">
        <f>INDEX(CH4_Em!$E:$ZZ, MATCH(A515, CH4_Em!$C:$C, 0), MATCH(B515, CH4_Em!$E$1:$ZZ$1, 0))</f>
        <v>22.7041</v>
      </c>
      <c r="F515">
        <f>INDEX(N2O_Em!$E:$ZZ, MATCH(A515, N2O_Em!$C:$C, 0), MATCH(B515, N2O_Em!$E$1:$ZZ$1, 0))</f>
        <v>9.4517000000000007</v>
      </c>
      <c r="G515">
        <f>INDEX(CO2_Em!$E:$ZZ, MATCH(A515, CO2_Em!$C:$C, 0), MATCH(B515, CO2_Em!$E$1:$ZZ$1, 0))</f>
        <v>0.87949999999999995</v>
      </c>
      <c r="H515">
        <f>INDEX(Agri_VA!$E:$ZZ, MATCH(A515, Agri_VA!$C:$C, 0), MATCH(B515, Agri_VA!$E$1:$ZZ$1, 0))</f>
        <v>1.8020817788295587</v>
      </c>
      <c r="I515" s="6">
        <f>INDEX('Agri_land '!$E:$ZZ, MATCH(A515, 'Agri_land '!$C:$C, 0), MATCH(B515, 'Agri_land '!$E$1:$ZZ$1, 0))</f>
        <v>47.282884369568308</v>
      </c>
      <c r="J515">
        <f>INDEX(Cereal_Yield!$E:$ZZ, MATCH(A515, Cereal_Yield!$C:$C, 0), MATCH(B515, Cereal_Yield!$E$1:$ZZ$1, 0))</f>
        <v>5086.8999999999996</v>
      </c>
    </row>
    <row r="516" spans="1:10" x14ac:dyDescent="0.3">
      <c r="A516" t="s">
        <v>26</v>
      </c>
      <c r="B516" s="4">
        <v>2010</v>
      </c>
      <c r="C516" t="s">
        <v>49</v>
      </c>
      <c r="D516" s="8">
        <f>INDEX(GDP_pc!$E:$ZZ, MATCH(A516, GDP_pc!$C:$C, 0), MATCH(B516, GDP_pc!$E$1:$ZZ$1, 0))</f>
        <v>2144936254535.0042</v>
      </c>
      <c r="E516">
        <f>INDEX(CH4_Em!$E:$ZZ, MATCH(A516, CH4_Em!$C:$C, 0), MATCH(B516, CH4_Em!$E$1:$ZZ$1, 0))</f>
        <v>23.039100000000001</v>
      </c>
      <c r="F516">
        <f>INDEX(N2O_Em!$E:$ZZ, MATCH(A516, N2O_Em!$C:$C, 0), MATCH(B516, N2O_Em!$E$1:$ZZ$1, 0))</f>
        <v>9.3989999999999991</v>
      </c>
      <c r="G516">
        <f>INDEX(CO2_Em!$E:$ZZ, MATCH(A516, CO2_Em!$C:$C, 0), MATCH(B516, CO2_Em!$E$1:$ZZ$1, 0))</f>
        <v>0.93079999999999996</v>
      </c>
      <c r="H516">
        <f>INDEX(Agri_VA!$E:$ZZ, MATCH(A516, Agri_VA!$C:$C, 0), MATCH(B516, Agri_VA!$E$1:$ZZ$1, 0))</f>
        <v>1.7692817313224611</v>
      </c>
      <c r="I516" s="6">
        <f>INDEX('Agri_land '!$E:$ZZ, MATCH(A516, 'Agri_land '!$C:$C, 0), MATCH(B516, 'Agri_land '!$E$1:$ZZ$1, 0))</f>
        <v>48.45088902264996</v>
      </c>
      <c r="J516">
        <f>INDEX(Cereal_Yield!$E:$ZZ, MATCH(A516, Cereal_Yield!$C:$C, 0), MATCH(B516, Cereal_Yield!$E$1:$ZZ$1, 0))</f>
        <v>5322.5</v>
      </c>
    </row>
    <row r="517" spans="1:10" x14ac:dyDescent="0.3">
      <c r="A517" t="s">
        <v>26</v>
      </c>
      <c r="B517" s="4">
        <v>2011</v>
      </c>
      <c r="C517" t="s">
        <v>49</v>
      </c>
      <c r="D517" s="8">
        <f>INDEX(GDP_pc!$E:$ZZ, MATCH(A517, GDP_pc!$C:$C, 0), MATCH(B517, GDP_pc!$E$1:$ZZ$1, 0))</f>
        <v>2306974020278.2148</v>
      </c>
      <c r="E517">
        <f>INDEX(CH4_Em!$E:$ZZ, MATCH(A517, CH4_Em!$C:$C, 0), MATCH(B517, CH4_Em!$E$1:$ZZ$1, 0))</f>
        <v>22.327100000000002</v>
      </c>
      <c r="F517">
        <f>INDEX(N2O_Em!$E:$ZZ, MATCH(A517, N2O_Em!$C:$C, 0), MATCH(B517, N2O_Em!$E$1:$ZZ$1, 0))</f>
        <v>9.2798999999999996</v>
      </c>
      <c r="G517">
        <f>INDEX(CO2_Em!$E:$ZZ, MATCH(A517, CO2_Em!$C:$C, 0), MATCH(B517, CO2_Em!$E$1:$ZZ$1, 0))</f>
        <v>0.83650000000000002</v>
      </c>
      <c r="H517">
        <f>INDEX(Agri_VA!$E:$ZZ, MATCH(A517, Agri_VA!$C:$C, 0), MATCH(B517, Agri_VA!$E$1:$ZZ$1, 0))</f>
        <v>1.8491009388291828</v>
      </c>
      <c r="I517" s="6">
        <f>INDEX('Agri_land '!$E:$ZZ, MATCH(A517, 'Agri_land '!$C:$C, 0), MATCH(B517, 'Agri_land '!$E$1:$ZZ$1, 0))</f>
        <v>46.843952684652265</v>
      </c>
      <c r="J517">
        <f>INDEX(Cereal_Yield!$E:$ZZ, MATCH(A517, Cereal_Yield!$C:$C, 0), MATCH(B517, Cereal_Yield!$E$1:$ZZ$1, 0))</f>
        <v>5677.2</v>
      </c>
    </row>
    <row r="518" spans="1:10" x14ac:dyDescent="0.3">
      <c r="A518" t="s">
        <v>26</v>
      </c>
      <c r="B518" s="4">
        <v>2012</v>
      </c>
      <c r="C518" t="s">
        <v>49</v>
      </c>
      <c r="D518" s="8">
        <f>INDEX(GDP_pc!$E:$ZZ, MATCH(A518, GDP_pc!$C:$C, 0), MATCH(B518, GDP_pc!$E$1:$ZZ$1, 0))</f>
        <v>2097929495121.6802</v>
      </c>
      <c r="E518">
        <f>INDEX(CH4_Em!$E:$ZZ, MATCH(A518, CH4_Em!$C:$C, 0), MATCH(B518, CH4_Em!$E$1:$ZZ$1, 0))</f>
        <v>22.5139</v>
      </c>
      <c r="F518">
        <f>INDEX(N2O_Em!$E:$ZZ, MATCH(A518, N2O_Em!$C:$C, 0), MATCH(B518, N2O_Em!$E$1:$ZZ$1, 0))</f>
        <v>9.3735999999999997</v>
      </c>
      <c r="G518">
        <f>INDEX(CO2_Em!$E:$ZZ, MATCH(A518, CO2_Em!$C:$C, 0), MATCH(B518, CO2_Em!$E$1:$ZZ$1, 0))</f>
        <v>0.89939999999999998</v>
      </c>
      <c r="H518">
        <f>INDEX(Agri_VA!$E:$ZZ, MATCH(A518, Agri_VA!$C:$C, 0), MATCH(B518, Agri_VA!$E$1:$ZZ$1, 0))</f>
        <v>1.9088694122751659</v>
      </c>
      <c r="I518" s="6">
        <f>INDEX('Agri_land '!$E:$ZZ, MATCH(A518, 'Agri_land '!$C:$C, 0), MATCH(B518, 'Agri_land '!$E$1:$ZZ$1, 0))</f>
        <v>46.425986919971052</v>
      </c>
      <c r="J518">
        <f>INDEX(Cereal_Yield!$E:$ZZ, MATCH(A518, Cereal_Yield!$C:$C, 0), MATCH(B518, Cereal_Yield!$E$1:$ZZ$1, 0))</f>
        <v>5315.1</v>
      </c>
    </row>
    <row r="519" spans="1:10" x14ac:dyDescent="0.3">
      <c r="A519" t="s">
        <v>26</v>
      </c>
      <c r="B519" s="4">
        <v>2013</v>
      </c>
      <c r="C519" t="s">
        <v>49</v>
      </c>
      <c r="D519" s="8">
        <f>INDEX(GDP_pc!$E:$ZZ, MATCH(A519, GDP_pc!$C:$C, 0), MATCH(B519, GDP_pc!$E$1:$ZZ$1, 0))</f>
        <v>2153225581941.457</v>
      </c>
      <c r="E519">
        <f>INDEX(CH4_Em!$E:$ZZ, MATCH(A519, CH4_Em!$C:$C, 0), MATCH(B519, CH4_Em!$E$1:$ZZ$1, 0))</f>
        <v>22.1614</v>
      </c>
      <c r="F519">
        <f>INDEX(N2O_Em!$E:$ZZ, MATCH(A519, N2O_Em!$C:$C, 0), MATCH(B519, N2O_Em!$E$1:$ZZ$1, 0))</f>
        <v>9.3285999999999998</v>
      </c>
      <c r="G519">
        <f>INDEX(CO2_Em!$E:$ZZ, MATCH(A519, CO2_Em!$C:$C, 0), MATCH(B519, CO2_Em!$E$1:$ZZ$1, 0))</f>
        <v>0.92500000000000004</v>
      </c>
      <c r="H519">
        <f>INDEX(Agri_VA!$E:$ZZ, MATCH(A519, Agri_VA!$C:$C, 0), MATCH(B519, Agri_VA!$E$1:$ZZ$1, 0))</f>
        <v>2.0577936663733349</v>
      </c>
      <c r="I519" s="6">
        <f>INDEX('Agri_land '!$E:$ZZ, MATCH(A519, 'Agri_land '!$C:$C, 0), MATCH(B519, 'Agri_land '!$E$1:$ZZ$1, 0))</f>
        <v>46.091208516221535</v>
      </c>
      <c r="J519">
        <f>INDEX(Cereal_Yield!$E:$ZZ, MATCH(A519, Cereal_Yield!$C:$C, 0), MATCH(B519, Cereal_Yield!$E$1:$ZZ$1, 0))</f>
        <v>5264.6</v>
      </c>
    </row>
    <row r="520" spans="1:10" x14ac:dyDescent="0.3">
      <c r="A520" t="s">
        <v>26</v>
      </c>
      <c r="B520" s="4">
        <v>2014</v>
      </c>
      <c r="C520" t="s">
        <v>49</v>
      </c>
      <c r="D520" s="8">
        <f>INDEX(GDP_pc!$E:$ZZ, MATCH(A520, GDP_pc!$C:$C, 0), MATCH(B520, GDP_pc!$E$1:$ZZ$1, 0))</f>
        <v>2173255507985.8354</v>
      </c>
      <c r="E520">
        <f>INDEX(CH4_Em!$E:$ZZ, MATCH(A520, CH4_Em!$C:$C, 0), MATCH(B520, CH4_Em!$E$1:$ZZ$1, 0))</f>
        <v>21.730899999999998</v>
      </c>
      <c r="F520">
        <f>INDEX(N2O_Em!$E:$ZZ, MATCH(A520, N2O_Em!$C:$C, 0), MATCH(B520, N2O_Em!$E$1:$ZZ$1, 0))</f>
        <v>9.266</v>
      </c>
      <c r="G520">
        <f>INDEX(CO2_Em!$E:$ZZ, MATCH(A520, CO2_Em!$C:$C, 0), MATCH(B520, CO2_Em!$E$1:$ZZ$1, 0))</f>
        <v>0.86899999999999999</v>
      </c>
      <c r="H520">
        <f>INDEX(Agri_VA!$E:$ZZ, MATCH(A520, Agri_VA!$C:$C, 0), MATCH(B520, Agri_VA!$E$1:$ZZ$1, 0))</f>
        <v>1.9084821312589071</v>
      </c>
      <c r="I520" s="6">
        <f>INDEX('Agri_land '!$E:$ZZ, MATCH(A520, 'Agri_land '!$C:$C, 0), MATCH(B520, 'Agri_land '!$E$1:$ZZ$1, 0))</f>
        <v>44.508619698496545</v>
      </c>
      <c r="J520">
        <f>INDEX(Cereal_Yield!$E:$ZZ, MATCH(A520, Cereal_Yield!$C:$C, 0), MATCH(B520, Cereal_Yield!$E$1:$ZZ$1, 0))</f>
        <v>5717.5</v>
      </c>
    </row>
    <row r="521" spans="1:10" x14ac:dyDescent="0.3">
      <c r="A521" t="s">
        <v>26</v>
      </c>
      <c r="B521" s="4">
        <v>2015</v>
      </c>
      <c r="C521" t="s">
        <v>49</v>
      </c>
      <c r="D521" s="8">
        <f>INDEX(GDP_pc!$E:$ZZ, MATCH(A521, GDP_pc!$C:$C, 0), MATCH(B521, GDP_pc!$E$1:$ZZ$1, 0))</f>
        <v>1845428048839.1006</v>
      </c>
      <c r="E521">
        <f>INDEX(CH4_Em!$E:$ZZ, MATCH(A521, CH4_Em!$C:$C, 0), MATCH(B521, CH4_Em!$E$1:$ZZ$1, 0))</f>
        <v>21.754100000000001</v>
      </c>
      <c r="F521">
        <f>INDEX(N2O_Em!$E:$ZZ, MATCH(A521, N2O_Em!$C:$C, 0), MATCH(B521, N2O_Em!$E$1:$ZZ$1, 0))</f>
        <v>9.3783999999999992</v>
      </c>
      <c r="G521">
        <f>INDEX(CO2_Em!$E:$ZZ, MATCH(A521, CO2_Em!$C:$C, 0), MATCH(B521, CO2_Em!$E$1:$ZZ$1, 0))</f>
        <v>0.95330000000000004</v>
      </c>
      <c r="H521">
        <f>INDEX(Agri_VA!$E:$ZZ, MATCH(A521, Agri_VA!$C:$C, 0), MATCH(B521, Agri_VA!$E$1:$ZZ$1, 0))</f>
        <v>1.9915255281784876</v>
      </c>
      <c r="I521" s="6">
        <f>INDEX('Agri_land '!$E:$ZZ, MATCH(A521, 'Agri_land '!$C:$C, 0), MATCH(B521, 'Agri_land '!$E$1:$ZZ$1, 0))</f>
        <v>43.774812490277895</v>
      </c>
      <c r="J521">
        <f>INDEX(Cereal_Yield!$E:$ZZ, MATCH(A521, Cereal_Yield!$C:$C, 0), MATCH(B521, Cereal_Yield!$E$1:$ZZ$1, 0))</f>
        <v>5402.2</v>
      </c>
    </row>
    <row r="522" spans="1:10" x14ac:dyDescent="0.3">
      <c r="A522" t="s">
        <v>26</v>
      </c>
      <c r="B522" s="4">
        <v>2016</v>
      </c>
      <c r="C522" t="s">
        <v>49</v>
      </c>
      <c r="D522" s="8">
        <f>INDEX(GDP_pc!$E:$ZZ, MATCH(A522, GDP_pc!$C:$C, 0), MATCH(B522, GDP_pc!$E$1:$ZZ$1, 0))</f>
        <v>1887111188176.9307</v>
      </c>
      <c r="E522">
        <f>INDEX(CH4_Em!$E:$ZZ, MATCH(A522, CH4_Em!$C:$C, 0), MATCH(B522, CH4_Em!$E$1:$ZZ$1, 0))</f>
        <v>22.111599999999999</v>
      </c>
      <c r="F522">
        <f>INDEX(N2O_Em!$E:$ZZ, MATCH(A522, N2O_Em!$C:$C, 0), MATCH(B522, N2O_Em!$E$1:$ZZ$1, 0))</f>
        <v>9.4547000000000008</v>
      </c>
      <c r="G522">
        <f>INDEX(CO2_Em!$E:$ZZ, MATCH(A522, CO2_Em!$C:$C, 0), MATCH(B522, CO2_Em!$E$1:$ZZ$1, 0))</f>
        <v>0.88470000000000004</v>
      </c>
      <c r="H522">
        <f>INDEX(Agri_VA!$E:$ZZ, MATCH(A522, Agri_VA!$C:$C, 0), MATCH(B522, Agri_VA!$E$1:$ZZ$1, 0))</f>
        <v>1.8491524830210069</v>
      </c>
      <c r="I522" s="6">
        <f>INDEX('Agri_land '!$E:$ZZ, MATCH(A522, 'Agri_land '!$C:$C, 0), MATCH(B522, 'Agri_land '!$E$1:$ZZ$1, 0))</f>
        <v>43.325059685240667</v>
      </c>
      <c r="J522">
        <f>INDEX(Cereal_Yield!$E:$ZZ, MATCH(A522, Cereal_Yield!$C:$C, 0), MATCH(B522, Cereal_Yield!$E$1:$ZZ$1, 0))</f>
        <v>5599</v>
      </c>
    </row>
    <row r="523" spans="1:10" x14ac:dyDescent="0.3">
      <c r="A523" t="s">
        <v>26</v>
      </c>
      <c r="B523" s="4">
        <v>2017</v>
      </c>
      <c r="C523" t="s">
        <v>49</v>
      </c>
      <c r="D523" s="8">
        <f>INDEX(GDP_pc!$E:$ZZ, MATCH(A523, GDP_pc!$C:$C, 0), MATCH(B523, GDP_pc!$E$1:$ZZ$1, 0))</f>
        <v>1970720904584.7092</v>
      </c>
      <c r="E523">
        <f>INDEX(CH4_Em!$E:$ZZ, MATCH(A523, CH4_Em!$C:$C, 0), MATCH(B523, CH4_Em!$E$1:$ZZ$1, 0))</f>
        <v>22.1356</v>
      </c>
      <c r="F523">
        <f>INDEX(N2O_Em!$E:$ZZ, MATCH(A523, N2O_Em!$C:$C, 0), MATCH(B523, N2O_Em!$E$1:$ZZ$1, 0))</f>
        <v>9.3620999999999999</v>
      </c>
      <c r="G523">
        <f>INDEX(CO2_Em!$E:$ZZ, MATCH(A523, CO2_Em!$C:$C, 0), MATCH(B523, CO2_Em!$E$1:$ZZ$1, 0))</f>
        <v>0.8821</v>
      </c>
      <c r="H523">
        <f>INDEX(Agri_VA!$E:$ZZ, MATCH(A523, Agri_VA!$C:$C, 0), MATCH(B523, Agri_VA!$E$1:$ZZ$1, 0))</f>
        <v>1.8934326477664287</v>
      </c>
      <c r="I523" s="6">
        <f>INDEX('Agri_land '!$E:$ZZ, MATCH(A523, 'Agri_land '!$C:$C, 0), MATCH(B523, 'Agri_land '!$E$1:$ZZ$1, 0))</f>
        <v>43.374329597792496</v>
      </c>
      <c r="J523">
        <f>INDEX(Cereal_Yield!$E:$ZZ, MATCH(A523, Cereal_Yield!$C:$C, 0), MATCH(B523, Cereal_Yield!$E$1:$ZZ$1, 0))</f>
        <v>5174.8</v>
      </c>
    </row>
    <row r="524" spans="1:10" x14ac:dyDescent="0.3">
      <c r="A524" t="s">
        <v>26</v>
      </c>
      <c r="B524" s="4">
        <v>2018</v>
      </c>
      <c r="C524" t="s">
        <v>49</v>
      </c>
      <c r="D524" s="8">
        <f>INDEX(GDP_pc!$E:$ZZ, MATCH(A524, GDP_pc!$C:$C, 0), MATCH(B524, GDP_pc!$E$1:$ZZ$1, 0))</f>
        <v>2099435266458.665</v>
      </c>
      <c r="E524">
        <f>INDEX(CH4_Em!$E:$ZZ, MATCH(A524, CH4_Em!$C:$C, 0), MATCH(B524, CH4_Em!$E$1:$ZZ$1, 0))</f>
        <v>22.816400000000002</v>
      </c>
      <c r="F524">
        <f>INDEX(N2O_Em!$E:$ZZ, MATCH(A524, N2O_Em!$C:$C, 0), MATCH(B524, N2O_Em!$E$1:$ZZ$1, 0))</f>
        <v>9.5074000000000005</v>
      </c>
      <c r="G524">
        <f>INDEX(CO2_Em!$E:$ZZ, MATCH(A524, CO2_Em!$C:$C, 0), MATCH(B524, CO2_Em!$E$1:$ZZ$1, 0))</f>
        <v>0.84179999999999999</v>
      </c>
      <c r="H524">
        <f>INDEX(Agri_VA!$E:$ZZ, MATCH(A524, Agri_VA!$C:$C, 0), MATCH(B524, Agri_VA!$E$1:$ZZ$1, 0))</f>
        <v>1.8575561256162585</v>
      </c>
      <c r="I524" s="6">
        <f>INDEX('Agri_land '!$E:$ZZ, MATCH(A524, 'Agri_land '!$C:$C, 0), MATCH(B524, 'Agri_land '!$E$1:$ZZ$1, 0))</f>
        <v>41.948748469825979</v>
      </c>
      <c r="J524">
        <f>INDEX(Cereal_Yield!$E:$ZZ, MATCH(A524, Cereal_Yield!$C:$C, 0), MATCH(B524, Cereal_Yield!$E$1:$ZZ$1, 0))</f>
        <v>5350.8</v>
      </c>
    </row>
    <row r="525" spans="1:10" x14ac:dyDescent="0.3">
      <c r="A525" t="s">
        <v>26</v>
      </c>
      <c r="B525" s="4">
        <v>2019</v>
      </c>
      <c r="C525" t="s">
        <v>49</v>
      </c>
      <c r="D525" s="8">
        <f>INDEX(GDP_pc!$E:$ZZ, MATCH(A525, GDP_pc!$C:$C, 0), MATCH(B525, GDP_pc!$E$1:$ZZ$1, 0))</f>
        <v>2019606796583.5261</v>
      </c>
      <c r="E525">
        <f>INDEX(CH4_Em!$E:$ZZ, MATCH(A525, CH4_Em!$C:$C, 0), MATCH(B525, CH4_Em!$E$1:$ZZ$1, 0))</f>
        <v>22.7972</v>
      </c>
      <c r="F525">
        <f>INDEX(N2O_Em!$E:$ZZ, MATCH(A525, N2O_Em!$C:$C, 0), MATCH(B525, N2O_Em!$E$1:$ZZ$1, 0))</f>
        <v>9.2871000000000006</v>
      </c>
      <c r="G525">
        <f>INDEX(CO2_Em!$E:$ZZ, MATCH(A525, CO2_Em!$C:$C, 0), MATCH(B525, CO2_Em!$E$1:$ZZ$1, 0))</f>
        <v>0.83550000000000002</v>
      </c>
      <c r="H525">
        <f>INDEX(Agri_VA!$E:$ZZ, MATCH(A525, Agri_VA!$C:$C, 0), MATCH(B525, Agri_VA!$E$1:$ZZ$1, 0))</f>
        <v>1.8186687987384944</v>
      </c>
      <c r="I525" s="6">
        <f>INDEX('Agri_land '!$E:$ZZ, MATCH(A525, 'Agri_land '!$C:$C, 0), MATCH(B525, 'Agri_land '!$E$1:$ZZ$1, 0))</f>
        <v>44.369995637721196</v>
      </c>
      <c r="J525">
        <f>INDEX(Cereal_Yield!$E:$ZZ, MATCH(A525, Cereal_Yield!$C:$C, 0), MATCH(B525, Cereal_Yield!$E$1:$ZZ$1, 0))</f>
        <v>5336.2</v>
      </c>
    </row>
    <row r="526" spans="1:10" x14ac:dyDescent="0.3">
      <c r="A526" t="s">
        <v>26</v>
      </c>
      <c r="B526" s="4">
        <v>2020</v>
      </c>
      <c r="C526" t="s">
        <v>49</v>
      </c>
      <c r="D526" s="8">
        <f>INDEX(GDP_pc!$E:$ZZ, MATCH(A526, GDP_pc!$C:$C, 0), MATCH(B526, GDP_pc!$E$1:$ZZ$1, 0))</f>
        <v>1907481094079.2271</v>
      </c>
      <c r="E526">
        <f>INDEX(CH4_Em!$E:$ZZ, MATCH(A526, CH4_Em!$C:$C, 0), MATCH(B526, CH4_Em!$E$1:$ZZ$1, 0))</f>
        <v>22.913699999999999</v>
      </c>
      <c r="F526">
        <f>INDEX(N2O_Em!$E:$ZZ, MATCH(A526, N2O_Em!$C:$C, 0), MATCH(B526, N2O_Em!$E$1:$ZZ$1, 0))</f>
        <v>9.4939</v>
      </c>
      <c r="G526">
        <f>INDEX(CO2_Em!$E:$ZZ, MATCH(A526, CO2_Em!$C:$C, 0), MATCH(B526, CO2_Em!$E$1:$ZZ$1, 0))</f>
        <v>0.90300000000000002</v>
      </c>
      <c r="H526">
        <f>INDEX(Agri_VA!$E:$ZZ, MATCH(A526, Agri_VA!$C:$C, 0), MATCH(B526, Agri_VA!$E$1:$ZZ$1, 0))</f>
        <v>1.9280162015611984</v>
      </c>
      <c r="I526" s="6">
        <f>INDEX('Agri_land '!$E:$ZZ, MATCH(A526, 'Agri_land '!$C:$C, 0), MATCH(B526, 'Agri_land '!$E$1:$ZZ$1, 0))</f>
        <v>42.332263616904001</v>
      </c>
      <c r="J526">
        <f>INDEX(Cereal_Yield!$E:$ZZ, MATCH(A526, Cereal_Yield!$C:$C, 0), MATCH(B526, Cereal_Yield!$E$1:$ZZ$1, 0))</f>
        <v>5626.5</v>
      </c>
    </row>
    <row r="527" spans="1:10" x14ac:dyDescent="0.3">
      <c r="A527" t="s">
        <v>26</v>
      </c>
      <c r="B527" s="4">
        <v>2021</v>
      </c>
      <c r="C527" t="s">
        <v>49</v>
      </c>
      <c r="D527" s="8">
        <f>INDEX(GDP_pc!$E:$ZZ, MATCH(A527, GDP_pc!$C:$C, 0), MATCH(B527, GDP_pc!$E$1:$ZZ$1, 0))</f>
        <v>2179207773596.0891</v>
      </c>
      <c r="E527">
        <f>INDEX(CH4_Em!$E:$ZZ, MATCH(A527, CH4_Em!$C:$C, 0), MATCH(B527, CH4_Em!$E$1:$ZZ$1, 0))</f>
        <v>22.5396</v>
      </c>
      <c r="F527">
        <f>INDEX(N2O_Em!$E:$ZZ, MATCH(A527, N2O_Em!$C:$C, 0), MATCH(B527, N2O_Em!$E$1:$ZZ$1, 0))</f>
        <v>8.4651999999999994</v>
      </c>
      <c r="G527">
        <f>INDEX(CO2_Em!$E:$ZZ, MATCH(A527, CO2_Em!$C:$C, 0), MATCH(B527, CO2_Em!$E$1:$ZZ$1, 0))</f>
        <v>0.62109999999999999</v>
      </c>
      <c r="H527">
        <f>INDEX(Agri_VA!$E:$ZZ, MATCH(A527, Agri_VA!$C:$C, 0), MATCH(B527, Agri_VA!$E$1:$ZZ$1, 0))</f>
        <v>1.8333929079470723</v>
      </c>
      <c r="I527" s="6">
        <f>INDEX('Agri_land '!$E:$ZZ, MATCH(A527, 'Agri_land '!$C:$C, 0), MATCH(B527, 'Agri_land '!$E$1:$ZZ$1, 0))</f>
        <v>41.942231593043353</v>
      </c>
      <c r="J527">
        <f>INDEX(Cereal_Yield!$E:$ZZ, MATCH(A527, Cereal_Yield!$C:$C, 0), MATCH(B527, Cereal_Yield!$E$1:$ZZ$1, 0))</f>
        <v>5562.8</v>
      </c>
    </row>
    <row r="528" spans="1:10" x14ac:dyDescent="0.3">
      <c r="A528" t="s">
        <v>26</v>
      </c>
      <c r="B528" s="4">
        <v>2022</v>
      </c>
      <c r="C528" t="s">
        <v>49</v>
      </c>
      <c r="D528" s="8">
        <f>INDEX(GDP_pc!$E:$ZZ, MATCH(A528, GDP_pc!$C:$C, 0), MATCH(B528, GDP_pc!$E$1:$ZZ$1, 0))</f>
        <v>2104067630319.4634</v>
      </c>
      <c r="E528">
        <f>INDEX(CH4_Em!$E:$ZZ, MATCH(A528, CH4_Em!$C:$C, 0), MATCH(B528, CH4_Em!$E$1:$ZZ$1, 0))</f>
        <v>22.142199999999999</v>
      </c>
      <c r="F528">
        <f>INDEX(N2O_Em!$E:$ZZ, MATCH(A528, N2O_Em!$C:$C, 0), MATCH(B528, N2O_Em!$E$1:$ZZ$1, 0))</f>
        <v>8.3254999999999999</v>
      </c>
      <c r="G528">
        <f>INDEX(CO2_Em!$E:$ZZ, MATCH(A528, CO2_Em!$C:$C, 0), MATCH(B528, CO2_Em!$E$1:$ZZ$1, 0))</f>
        <v>0.61919999999999997</v>
      </c>
      <c r="H528">
        <f>INDEX(Agri_VA!$E:$ZZ, MATCH(A528, Agri_VA!$C:$C, 0), MATCH(B528, Agri_VA!$E$1:$ZZ$1, 0))</f>
        <v>1.890371751256686</v>
      </c>
      <c r="I528" s="6">
        <f>INDEX('Agri_land '!$E:$ZZ, MATCH(A528, 'Agri_land '!$C:$C, 0), MATCH(B528, 'Agri_land '!$E$1:$ZZ$1, 0))</f>
        <v>43.963147572027594</v>
      </c>
      <c r="J528">
        <f>INDEX(Cereal_Yield!$E:$ZZ, MATCH(A528, Cereal_Yield!$C:$C, 0), MATCH(B528, Cereal_Yield!$E$1:$ZZ$1, 0))</f>
        <v>4750</v>
      </c>
    </row>
    <row r="529" spans="1:10" x14ac:dyDescent="0.3">
      <c r="A529" t="s">
        <v>26</v>
      </c>
      <c r="B529" s="4">
        <v>2023</v>
      </c>
      <c r="C529" t="s">
        <v>49</v>
      </c>
      <c r="D529" s="8">
        <f>INDEX(GDP_pc!$E:$ZZ, MATCH(A529, GDP_pc!$C:$C, 0), MATCH(B529, GDP_pc!$E$1:$ZZ$1, 0))</f>
        <v>2316727999333.1782</v>
      </c>
      <c r="E529">
        <f>INDEX(CH4_Em!$E:$ZZ, MATCH(A529, CH4_Em!$C:$C, 0), MATCH(B529, CH4_Em!$E$1:$ZZ$1, 0))</f>
        <v>21.972300000000001</v>
      </c>
      <c r="F529">
        <f>INDEX(N2O_Em!$E:$ZZ, MATCH(A529, N2O_Em!$C:$C, 0), MATCH(B529, N2O_Em!$E$1:$ZZ$1, 0))</f>
        <v>8.1694999999999993</v>
      </c>
      <c r="G529">
        <f>INDEX(CO2_Em!$E:$ZZ, MATCH(A529, CO2_Em!$C:$C, 0), MATCH(B529, CO2_Em!$E$1:$ZZ$1, 0))</f>
        <v>0.57289999999999996</v>
      </c>
      <c r="H529">
        <f>INDEX(Agri_VA!$E:$ZZ, MATCH(A529, Agri_VA!$C:$C, 0), MATCH(B529, Agri_VA!$E$1:$ZZ$1, 0))</f>
        <v>1.8597576955156898</v>
      </c>
      <c r="I529" s="6">
        <f>INDEX('Agri_land '!$E:$ZZ, MATCH(A529, 'Agri_land '!$C:$C, 0), MATCH(B529, 'Agri_land '!$E$1:$ZZ$1, 0))</f>
        <v>44.256583930745293</v>
      </c>
      <c r="J529">
        <f>INDEX(Cereal_Yield!$E:$ZZ, MATCH(A529, Cereal_Yield!$C:$C, 0), MATCH(B529, Cereal_Yield!$E$1:$ZZ$1, 0))</f>
        <v>5059.3999999999996</v>
      </c>
    </row>
    <row r="530" spans="1:10" x14ac:dyDescent="0.3">
      <c r="A530" t="s">
        <v>28</v>
      </c>
      <c r="B530" s="4">
        <v>2000</v>
      </c>
      <c r="C530" t="s">
        <v>49</v>
      </c>
      <c r="D530" s="8">
        <f>INDEX(GDP_pc!$E:$ZZ, MATCH(A530, GDP_pc!$C:$C, 0), MATCH(B530, GDP_pc!$E$1:$ZZ$1, 0))</f>
        <v>7761252607.1842413</v>
      </c>
      <c r="E530">
        <f>INDEX(CH4_Em!$E:$ZZ, MATCH(A530, CH4_Em!$C:$C, 0), MATCH(B530, CH4_Em!$E$1:$ZZ$1, 0))</f>
        <v>1.0783</v>
      </c>
      <c r="F530">
        <f>INDEX(N2O_Em!$E:$ZZ, MATCH(A530, N2O_Em!$C:$C, 0), MATCH(B530, N2O_Em!$E$1:$ZZ$1, 0))</f>
        <v>1.4367000000000001</v>
      </c>
      <c r="G530">
        <f>INDEX(CO2_Em!$E:$ZZ, MATCH(A530, CO2_Em!$C:$C, 0), MATCH(B530, CO2_Em!$E$1:$ZZ$1, 0))</f>
        <v>6.59E-2</v>
      </c>
      <c r="H530">
        <f>INDEX(Agri_VA!$E:$ZZ, MATCH(A530, Agri_VA!$C:$C, 0), MATCH(B530, Agri_VA!$E$1:$ZZ$1, 0))</f>
        <v>4.5495785956352988</v>
      </c>
      <c r="I530" s="6">
        <f>INDEX('Agri_land '!$E:$ZZ, MATCH(A530, 'Agri_land '!$C:$C, 0), MATCH(B530, 'Agri_land '!$E$1:$ZZ$1, 0))</f>
        <v>25.519469040770083</v>
      </c>
      <c r="J530">
        <f>INDEX(Cereal_Yield!$E:$ZZ, MATCH(A530, Cereal_Yield!$C:$C, 0), MATCH(B530, Cereal_Yield!$E$1:$ZZ$1, 0))</f>
        <v>2199</v>
      </c>
    </row>
    <row r="531" spans="1:10" x14ac:dyDescent="0.3">
      <c r="A531" t="s">
        <v>28</v>
      </c>
      <c r="B531" s="4">
        <v>2001</v>
      </c>
      <c r="C531" t="s">
        <v>49</v>
      </c>
      <c r="D531" s="8">
        <f>INDEX(GDP_pc!$E:$ZZ, MATCH(A531, GDP_pc!$C:$C, 0), MATCH(B531, GDP_pc!$E$1:$ZZ$1, 0))</f>
        <v>8190888739.6462955</v>
      </c>
      <c r="E531">
        <f>INDEX(CH4_Em!$E:$ZZ, MATCH(A531, CH4_Em!$C:$C, 0), MATCH(B531, CH4_Em!$E$1:$ZZ$1, 0))</f>
        <v>1.0771999999999999</v>
      </c>
      <c r="F531">
        <f>INDEX(N2O_Em!$E:$ZZ, MATCH(A531, N2O_Em!$C:$C, 0), MATCH(B531, N2O_Em!$E$1:$ZZ$1, 0))</f>
        <v>1.4928999999999999</v>
      </c>
      <c r="G531">
        <f>INDEX(CO2_Em!$E:$ZZ, MATCH(A531, CO2_Em!$C:$C, 0), MATCH(B531, CO2_Em!$E$1:$ZZ$1, 0))</f>
        <v>9.4600000000000004E-2</v>
      </c>
      <c r="H531">
        <f>INDEX(Agri_VA!$E:$ZZ, MATCH(A531, Agri_VA!$C:$C, 0), MATCH(B531, Agri_VA!$E$1:$ZZ$1, 0))</f>
        <v>4.4809872993574524</v>
      </c>
      <c r="I531" s="6">
        <f>INDEX('Agri_land '!$E:$ZZ, MATCH(A531, 'Agri_land '!$C:$C, 0), MATCH(B531, 'Agri_land '!$E$1:$ZZ$1, 0))</f>
        <v>25.406977678499686</v>
      </c>
      <c r="J531">
        <f>INDEX(Cereal_Yield!$E:$ZZ, MATCH(A531, Cereal_Yield!$C:$C, 0), MATCH(B531, Cereal_Yield!$E$1:$ZZ$1, 0))</f>
        <v>2091.5</v>
      </c>
    </row>
    <row r="532" spans="1:10" x14ac:dyDescent="0.3">
      <c r="A532" t="s">
        <v>28</v>
      </c>
      <c r="B532" s="4">
        <v>2002</v>
      </c>
      <c r="C532" t="s">
        <v>49</v>
      </c>
      <c r="D532" s="8">
        <f>INDEX(GDP_pc!$E:$ZZ, MATCH(A532, GDP_pc!$C:$C, 0), MATCH(B532, GDP_pc!$E$1:$ZZ$1, 0))</f>
        <v>9249030241.0186443</v>
      </c>
      <c r="E532">
        <f>INDEX(CH4_Em!$E:$ZZ, MATCH(A532, CH4_Em!$C:$C, 0), MATCH(B532, CH4_Em!$E$1:$ZZ$1, 0))</f>
        <v>1.1214</v>
      </c>
      <c r="F532">
        <f>INDEX(N2O_Em!$E:$ZZ, MATCH(A532, N2O_Em!$C:$C, 0), MATCH(B532, N2O_Em!$E$1:$ZZ$1, 0))</f>
        <v>1.4997</v>
      </c>
      <c r="G532">
        <f>INDEX(CO2_Em!$E:$ZZ, MATCH(A532, CO2_Em!$C:$C, 0), MATCH(B532, CO2_Em!$E$1:$ZZ$1, 0))</f>
        <v>8.5599999999999996E-2</v>
      </c>
      <c r="H532">
        <f>INDEX(Agri_VA!$E:$ZZ, MATCH(A532, Agri_VA!$C:$C, 0), MATCH(B532, Agri_VA!$E$1:$ZZ$1, 0))</f>
        <v>4.6276498390315863</v>
      </c>
      <c r="I532" s="6">
        <f>INDEX('Agri_land '!$E:$ZZ, MATCH(A532, 'Agri_land '!$C:$C, 0), MATCH(B532, 'Agri_land '!$E$1:$ZZ$1, 0))</f>
        <v>25.631960403040484</v>
      </c>
      <c r="J532">
        <f>INDEX(Cereal_Yield!$E:$ZZ, MATCH(A532, Cereal_Yield!$C:$C, 0), MATCH(B532, Cereal_Yield!$E$1:$ZZ$1, 0))</f>
        <v>2478.3000000000002</v>
      </c>
    </row>
    <row r="533" spans="1:10" x14ac:dyDescent="0.3">
      <c r="A533" t="s">
        <v>28</v>
      </c>
      <c r="B533" s="4">
        <v>2003</v>
      </c>
      <c r="C533" t="s">
        <v>49</v>
      </c>
      <c r="D533" s="8">
        <f>INDEX(GDP_pc!$E:$ZZ, MATCH(A533, GDP_pc!$C:$C, 0), MATCH(B533, GDP_pc!$E$1:$ZZ$1, 0))</f>
        <v>11244337719.837658</v>
      </c>
      <c r="E533">
        <f>INDEX(CH4_Em!$E:$ZZ, MATCH(A533, CH4_Em!$C:$C, 0), MATCH(B533, CH4_Em!$E$1:$ZZ$1, 0))</f>
        <v>1.1374</v>
      </c>
      <c r="F533">
        <f>INDEX(N2O_Em!$E:$ZZ, MATCH(A533, N2O_Em!$C:$C, 0), MATCH(B533, N2O_Em!$E$1:$ZZ$1, 0))</f>
        <v>1.5042</v>
      </c>
      <c r="G533">
        <f>INDEX(CO2_Em!$E:$ZZ, MATCH(A533, CO2_Em!$C:$C, 0), MATCH(B533, CO2_Em!$E$1:$ZZ$1, 0))</f>
        <v>8.7099999999999997E-2</v>
      </c>
      <c r="H533">
        <f>INDEX(Agri_VA!$E:$ZZ, MATCH(A533, Agri_VA!$C:$C, 0), MATCH(B533, Agri_VA!$E$1:$ZZ$1, 0))</f>
        <v>4.1024105273991873</v>
      </c>
      <c r="I533" s="6">
        <f>INDEX('Agri_land '!$E:$ZZ, MATCH(A533, 'Agri_land '!$C:$C, 0), MATCH(B533, 'Agri_land '!$E$1:$ZZ$1, 0))</f>
        <v>25.423047873109745</v>
      </c>
      <c r="J533">
        <f>INDEX(Cereal_Yield!$E:$ZZ, MATCH(A533, Cereal_Yield!$C:$C, 0), MATCH(B533, Cereal_Yield!$E$1:$ZZ$1, 0))</f>
        <v>2176</v>
      </c>
    </row>
    <row r="534" spans="1:10" x14ac:dyDescent="0.3">
      <c r="A534" t="s">
        <v>28</v>
      </c>
      <c r="B534" s="4">
        <v>2004</v>
      </c>
      <c r="C534" t="s">
        <v>49</v>
      </c>
      <c r="D534" s="8">
        <f>INDEX(GDP_pc!$E:$ZZ, MATCH(A534, GDP_pc!$C:$C, 0), MATCH(B534, GDP_pc!$E$1:$ZZ$1, 0))</f>
        <v>13827070378.561207</v>
      </c>
      <c r="E534">
        <f>INDEX(CH4_Em!$E:$ZZ, MATCH(A534, CH4_Em!$C:$C, 0), MATCH(B534, CH4_Em!$E$1:$ZZ$1, 0))</f>
        <v>1.1343000000000001</v>
      </c>
      <c r="F534">
        <f>INDEX(N2O_Em!$E:$ZZ, MATCH(A534, N2O_Em!$C:$C, 0), MATCH(B534, N2O_Em!$E$1:$ZZ$1, 0))</f>
        <v>1.514</v>
      </c>
      <c r="G534">
        <f>INDEX(CO2_Em!$E:$ZZ, MATCH(A534, CO2_Em!$C:$C, 0), MATCH(B534, CO2_Em!$E$1:$ZZ$1, 0))</f>
        <v>8.1799999999999998E-2</v>
      </c>
      <c r="H534">
        <f>INDEX(Agri_VA!$E:$ZZ, MATCH(A534, Agri_VA!$C:$C, 0), MATCH(B534, Agri_VA!$E$1:$ZZ$1, 0))</f>
        <v>4.365045801204249</v>
      </c>
      <c r="I534" s="6">
        <f>INDEX('Agri_land '!$E:$ZZ, MATCH(A534, 'Agri_land '!$C:$C, 0), MATCH(B534, 'Agri_land '!$E$1:$ZZ$1, 0))</f>
        <v>26.38725954971315</v>
      </c>
      <c r="J534">
        <f>INDEX(Cereal_Yield!$E:$ZZ, MATCH(A534, Cereal_Yield!$C:$C, 0), MATCH(B534, Cereal_Yield!$E$1:$ZZ$1, 0))</f>
        <v>2426.1999999999998</v>
      </c>
    </row>
    <row r="535" spans="1:10" x14ac:dyDescent="0.3">
      <c r="A535" t="s">
        <v>28</v>
      </c>
      <c r="B535" s="4">
        <v>2005</v>
      </c>
      <c r="C535" t="s">
        <v>49</v>
      </c>
      <c r="D535" s="8">
        <f>INDEX(GDP_pc!$E:$ZZ, MATCH(A535, GDP_pc!$C:$C, 0), MATCH(B535, GDP_pc!$E$1:$ZZ$1, 0))</f>
        <v>16306935905.413815</v>
      </c>
      <c r="E535">
        <f>INDEX(CH4_Em!$E:$ZZ, MATCH(A535, CH4_Em!$C:$C, 0), MATCH(B535, CH4_Em!$E$1:$ZZ$1, 0))</f>
        <v>1.1193</v>
      </c>
      <c r="F535">
        <f>INDEX(N2O_Em!$E:$ZZ, MATCH(A535, N2O_Em!$C:$C, 0), MATCH(B535, N2O_Em!$E$1:$ZZ$1, 0))</f>
        <v>1.5359</v>
      </c>
      <c r="G535">
        <f>INDEX(CO2_Em!$E:$ZZ, MATCH(A535, CO2_Em!$C:$C, 0), MATCH(B535, CO2_Em!$E$1:$ZZ$1, 0))</f>
        <v>6.3299999999999995E-2</v>
      </c>
      <c r="H535">
        <f>INDEX(Agri_VA!$E:$ZZ, MATCH(A535, Agri_VA!$C:$C, 0), MATCH(B535, Agri_VA!$E$1:$ZZ$1, 0))</f>
        <v>3.8677370172369301</v>
      </c>
      <c r="I535" s="6">
        <f>INDEX('Agri_land '!$E:$ZZ, MATCH(A535, 'Agri_land '!$C:$C, 0), MATCH(B535, 'Agri_land '!$E$1:$ZZ$1, 0))</f>
        <v>27.865717453838368</v>
      </c>
      <c r="J535">
        <f>INDEX(Cereal_Yield!$E:$ZZ, MATCH(A535, Cereal_Yield!$C:$C, 0), MATCH(B535, Cereal_Yield!$E$1:$ZZ$1, 0))</f>
        <v>2802.9</v>
      </c>
    </row>
    <row r="536" spans="1:10" x14ac:dyDescent="0.3">
      <c r="A536" t="s">
        <v>28</v>
      </c>
      <c r="B536" s="4">
        <v>2006</v>
      </c>
      <c r="C536" t="s">
        <v>49</v>
      </c>
      <c r="D536" s="8">
        <f>INDEX(GDP_pc!$E:$ZZ, MATCH(A536, GDP_pc!$C:$C, 0), MATCH(B536, GDP_pc!$E$1:$ZZ$1, 0))</f>
        <v>20434922247.303738</v>
      </c>
      <c r="E536">
        <f>INDEX(CH4_Em!$E:$ZZ, MATCH(A536, CH4_Em!$C:$C, 0), MATCH(B536, CH4_Em!$E$1:$ZZ$1, 0))</f>
        <v>1.1556999999999999</v>
      </c>
      <c r="F536">
        <f>INDEX(N2O_Em!$E:$ZZ, MATCH(A536, N2O_Em!$C:$C, 0), MATCH(B536, N2O_Em!$E$1:$ZZ$1, 0))</f>
        <v>1.5668</v>
      </c>
      <c r="G536">
        <f>INDEX(CO2_Em!$E:$ZZ, MATCH(A536, CO2_Em!$C:$C, 0), MATCH(B536, CO2_Em!$E$1:$ZZ$1, 0))</f>
        <v>8.1500000000000003E-2</v>
      </c>
      <c r="H536">
        <f>INDEX(Agri_VA!$E:$ZZ, MATCH(A536, Agri_VA!$C:$C, 0), MATCH(B536, Agri_VA!$E$1:$ZZ$1, 0))</f>
        <v>3.4231519280958653</v>
      </c>
      <c r="I536" s="6">
        <f>INDEX('Agri_land '!$E:$ZZ, MATCH(A536, 'Agri_land '!$C:$C, 0), MATCH(B536, 'Agri_land '!$E$1:$ZZ$1, 0))</f>
        <v>29.81021100165523</v>
      </c>
      <c r="J536">
        <f>INDEX(Cereal_Yield!$E:$ZZ, MATCH(A536, Cereal_Yield!$C:$C, 0), MATCH(B536, Cereal_Yield!$E$1:$ZZ$1, 0))</f>
        <v>2264</v>
      </c>
    </row>
    <row r="537" spans="1:10" x14ac:dyDescent="0.3">
      <c r="A537" t="s">
        <v>28</v>
      </c>
      <c r="B537" s="4">
        <v>2007</v>
      </c>
      <c r="C537" t="s">
        <v>49</v>
      </c>
      <c r="D537" s="8">
        <f>INDEX(GDP_pc!$E:$ZZ, MATCH(A537, GDP_pc!$C:$C, 0), MATCH(B537, GDP_pc!$E$1:$ZZ$1, 0))</f>
        <v>29420499247.708931</v>
      </c>
      <c r="E537">
        <f>INDEX(CH4_Em!$E:$ZZ, MATCH(A537, CH4_Em!$C:$C, 0), MATCH(B537, CH4_Em!$E$1:$ZZ$1, 0))</f>
        <v>1.1208</v>
      </c>
      <c r="F537">
        <f>INDEX(N2O_Em!$E:$ZZ, MATCH(A537, N2O_Em!$C:$C, 0), MATCH(B537, N2O_Em!$E$1:$ZZ$1, 0))</f>
        <v>1.6374</v>
      </c>
      <c r="G537">
        <f>INDEX(CO2_Em!$E:$ZZ, MATCH(A537, CO2_Em!$C:$C, 0), MATCH(B537, CO2_Em!$E$1:$ZZ$1, 0))</f>
        <v>8.77E-2</v>
      </c>
      <c r="H537">
        <f>INDEX(Agri_VA!$E:$ZZ, MATCH(A537, Agri_VA!$C:$C, 0), MATCH(B537, Agri_VA!$E$1:$ZZ$1, 0))</f>
        <v>3.453976035605391</v>
      </c>
      <c r="I537" s="6">
        <f>INDEX('Agri_land '!$E:$ZZ, MATCH(A537, 'Agri_land '!$C:$C, 0), MATCH(B537, 'Agri_land '!$E$1:$ZZ$1, 0))</f>
        <v>29.553087887894325</v>
      </c>
      <c r="J537">
        <f>INDEX(Cereal_Yield!$E:$ZZ, MATCH(A537, Cereal_Yield!$C:$C, 0), MATCH(B537, Cereal_Yield!$E$1:$ZZ$1, 0))</f>
        <v>2941.6</v>
      </c>
    </row>
    <row r="538" spans="1:10" x14ac:dyDescent="0.3">
      <c r="A538" t="s">
        <v>28</v>
      </c>
      <c r="B538" s="4">
        <v>2008</v>
      </c>
      <c r="C538" t="s">
        <v>49</v>
      </c>
      <c r="D538" s="8">
        <f>INDEX(GDP_pc!$E:$ZZ, MATCH(A538, GDP_pc!$C:$C, 0), MATCH(B538, GDP_pc!$E$1:$ZZ$1, 0))</f>
        <v>34135200994.006721</v>
      </c>
      <c r="E538">
        <f>INDEX(CH4_Em!$E:$ZZ, MATCH(A538, CH4_Em!$C:$C, 0), MATCH(B538, CH4_Em!$E$1:$ZZ$1, 0))</f>
        <v>1.1648000000000001</v>
      </c>
      <c r="F538">
        <f>INDEX(N2O_Em!$E:$ZZ, MATCH(A538, N2O_Em!$C:$C, 0), MATCH(B538, N2O_Em!$E$1:$ZZ$1, 0))</f>
        <v>1.6509</v>
      </c>
      <c r="G538">
        <f>INDEX(CO2_Em!$E:$ZZ, MATCH(A538, CO2_Em!$C:$C, 0), MATCH(B538, CO2_Em!$E$1:$ZZ$1, 0))</f>
        <v>0.1053</v>
      </c>
      <c r="H538">
        <f>INDEX(Agri_VA!$E:$ZZ, MATCH(A538, Agri_VA!$C:$C, 0), MATCH(B538, Agri_VA!$E$1:$ZZ$1, 0))</f>
        <v>3.0912871253124639</v>
      </c>
      <c r="I538" s="6">
        <f>INDEX('Agri_land '!$E:$ZZ, MATCH(A538, 'Agri_land '!$C:$C, 0), MATCH(B538, 'Agri_land '!$E$1:$ZZ$1, 0))</f>
        <v>29.328105163353531</v>
      </c>
      <c r="J538">
        <f>INDEX(Cereal_Yield!$E:$ZZ, MATCH(A538, Cereal_Yield!$C:$C, 0), MATCH(B538, Cereal_Yield!$E$1:$ZZ$1, 0))</f>
        <v>3104.4</v>
      </c>
    </row>
    <row r="539" spans="1:10" x14ac:dyDescent="0.3">
      <c r="A539" t="s">
        <v>28</v>
      </c>
      <c r="B539" s="4">
        <v>2009</v>
      </c>
      <c r="C539" t="s">
        <v>49</v>
      </c>
      <c r="D539" s="8">
        <f>INDEX(GDP_pc!$E:$ZZ, MATCH(A539, GDP_pc!$C:$C, 0), MATCH(B539, GDP_pc!$E$1:$ZZ$1, 0))</f>
        <v>25691530442.035027</v>
      </c>
      <c r="E539">
        <f>INDEX(CH4_Em!$E:$ZZ, MATCH(A539, CH4_Em!$C:$C, 0), MATCH(B539, CH4_Em!$E$1:$ZZ$1, 0))</f>
        <v>1.1344000000000001</v>
      </c>
      <c r="F539">
        <f>INDEX(N2O_Em!$E:$ZZ, MATCH(A539, N2O_Em!$C:$C, 0), MATCH(B539, N2O_Em!$E$1:$ZZ$1, 0))</f>
        <v>1.5949</v>
      </c>
      <c r="G539">
        <f>INDEX(CO2_Em!$E:$ZZ, MATCH(A539, CO2_Em!$C:$C, 0), MATCH(B539, CO2_Em!$E$1:$ZZ$1, 0))</f>
        <v>0.1011</v>
      </c>
      <c r="H539">
        <f>INDEX(Agri_VA!$E:$ZZ, MATCH(A539, Agri_VA!$C:$C, 0), MATCH(B539, Agri_VA!$E$1:$ZZ$1, 0))</f>
        <v>3.2868412135228335</v>
      </c>
      <c r="I539" s="6">
        <f>INDEX('Agri_land '!$E:$ZZ, MATCH(A539, 'Agri_land '!$C:$C, 0), MATCH(B539, 'Agri_land '!$E$1:$ZZ$1, 0))</f>
        <v>29.456666720233983</v>
      </c>
      <c r="J539">
        <f>INDEX(Cereal_Yield!$E:$ZZ, MATCH(A539, Cereal_Yield!$C:$C, 0), MATCH(B539, Cereal_Yield!$E$1:$ZZ$1, 0))</f>
        <v>3075.3</v>
      </c>
    </row>
    <row r="540" spans="1:10" x14ac:dyDescent="0.3">
      <c r="A540" t="s">
        <v>28</v>
      </c>
      <c r="B540" s="4">
        <v>2010</v>
      </c>
      <c r="C540" t="s">
        <v>49</v>
      </c>
      <c r="D540" s="8">
        <f>INDEX(GDP_pc!$E:$ZZ, MATCH(A540, GDP_pc!$C:$C, 0), MATCH(B540, GDP_pc!$E$1:$ZZ$1, 0))</f>
        <v>23468324572.334278</v>
      </c>
      <c r="E540">
        <f>INDEX(CH4_Em!$E:$ZZ, MATCH(A540, CH4_Em!$C:$C, 0), MATCH(B540, CH4_Em!$E$1:$ZZ$1, 0))</f>
        <v>1.1316999999999999</v>
      </c>
      <c r="F540">
        <f>INDEX(N2O_Em!$E:$ZZ, MATCH(A540, N2O_Em!$C:$C, 0), MATCH(B540, N2O_Em!$E$1:$ZZ$1, 0))</f>
        <v>1.573</v>
      </c>
      <c r="G540">
        <f>INDEX(CO2_Em!$E:$ZZ, MATCH(A540, CO2_Em!$C:$C, 0), MATCH(B540, CO2_Em!$E$1:$ZZ$1, 0))</f>
        <v>9.64E-2</v>
      </c>
      <c r="H540">
        <f>INDEX(Agri_VA!$E:$ZZ, MATCH(A540, Agri_VA!$C:$C, 0), MATCH(B540, Agri_VA!$E$1:$ZZ$1, 0))</f>
        <v>4.1158849728324052</v>
      </c>
      <c r="I540" s="6">
        <f>INDEX('Agri_land '!$E:$ZZ, MATCH(A540, 'Agri_land '!$C:$C, 0), MATCH(B540, 'Agri_land '!$E$1:$ZZ$1, 0))</f>
        <v>29.006701271152398</v>
      </c>
      <c r="J540">
        <f>INDEX(Cereal_Yield!$E:$ZZ, MATCH(A540, Cereal_Yield!$C:$C, 0), MATCH(B540, Cereal_Yield!$E$1:$ZZ$1, 0))</f>
        <v>2775.5</v>
      </c>
    </row>
    <row r="541" spans="1:10" x14ac:dyDescent="0.3">
      <c r="A541" t="s">
        <v>28</v>
      </c>
      <c r="B541" s="4">
        <v>2011</v>
      </c>
      <c r="C541" t="s">
        <v>49</v>
      </c>
      <c r="D541" s="8">
        <f>INDEX(GDP_pc!$E:$ZZ, MATCH(A541, GDP_pc!$C:$C, 0), MATCH(B541, GDP_pc!$E$1:$ZZ$1, 0))</f>
        <v>26575547900.824738</v>
      </c>
      <c r="E541">
        <f>INDEX(CH4_Em!$E:$ZZ, MATCH(A541, CH4_Em!$C:$C, 0), MATCH(B541, CH4_Em!$E$1:$ZZ$1, 0))</f>
        <v>1.143</v>
      </c>
      <c r="F541">
        <f>INDEX(N2O_Em!$E:$ZZ, MATCH(A541, N2O_Em!$C:$C, 0), MATCH(B541, N2O_Em!$E$1:$ZZ$1, 0))</f>
        <v>1.6198999999999999</v>
      </c>
      <c r="G541">
        <f>INDEX(CO2_Em!$E:$ZZ, MATCH(A541, CO2_Em!$C:$C, 0), MATCH(B541, CO2_Em!$E$1:$ZZ$1, 0))</f>
        <v>9.7000000000000003E-2</v>
      </c>
      <c r="H541">
        <f>INDEX(Agri_VA!$E:$ZZ, MATCH(A541, Agri_VA!$C:$C, 0), MATCH(B541, Agri_VA!$E$1:$ZZ$1, 0))</f>
        <v>3.7778007936283755</v>
      </c>
      <c r="I541" s="6">
        <f>INDEX('Agri_land '!$E:$ZZ, MATCH(A541, 'Agri_land '!$C:$C, 0), MATCH(B541, 'Agri_land '!$E$1:$ZZ$1, 0))</f>
        <v>29.183473411863019</v>
      </c>
      <c r="J541">
        <f>INDEX(Cereal_Yield!$E:$ZZ, MATCH(A541, Cereal_Yield!$C:$C, 0), MATCH(B541, Cereal_Yield!$E$1:$ZZ$1, 0))</f>
        <v>2738</v>
      </c>
    </row>
    <row r="542" spans="1:10" x14ac:dyDescent="0.3">
      <c r="A542" t="s">
        <v>28</v>
      </c>
      <c r="B542" s="4">
        <v>2012</v>
      </c>
      <c r="C542" t="s">
        <v>49</v>
      </c>
      <c r="D542" s="8">
        <f>INDEX(GDP_pc!$E:$ZZ, MATCH(A542, GDP_pc!$C:$C, 0), MATCH(B542, GDP_pc!$E$1:$ZZ$1, 0))</f>
        <v>27116149948.668335</v>
      </c>
      <c r="E542">
        <f>INDEX(CH4_Em!$E:$ZZ, MATCH(A542, CH4_Em!$C:$C, 0), MATCH(B542, CH4_Em!$E$1:$ZZ$1, 0))</f>
        <v>1.1539999999999999</v>
      </c>
      <c r="F542">
        <f>INDEX(N2O_Em!$E:$ZZ, MATCH(A542, N2O_Em!$C:$C, 0), MATCH(B542, N2O_Em!$E$1:$ZZ$1, 0))</f>
        <v>1.7076</v>
      </c>
      <c r="G542">
        <f>INDEX(CO2_Em!$E:$ZZ, MATCH(A542, CO2_Em!$C:$C, 0), MATCH(B542, CO2_Em!$E$1:$ZZ$1, 0))</f>
        <v>0.15409999999999999</v>
      </c>
      <c r="H542">
        <f>INDEX(Agri_VA!$E:$ZZ, MATCH(A542, Agri_VA!$C:$C, 0), MATCH(B542, Agri_VA!$E$1:$ZZ$1, 0))</f>
        <v>3.5328538802897569</v>
      </c>
      <c r="I542" s="6">
        <f>INDEX('Agri_land '!$E:$ZZ, MATCH(A542, 'Agri_land '!$C:$C, 0), MATCH(B542, 'Agri_land '!$E$1:$ZZ$1, 0))</f>
        <v>29.585228277114435</v>
      </c>
      <c r="J542">
        <f>INDEX(Cereal_Yield!$E:$ZZ, MATCH(A542, Cereal_Yield!$C:$C, 0), MATCH(B542, Cereal_Yield!$E$1:$ZZ$1, 0))</f>
        <v>3767.5</v>
      </c>
    </row>
    <row r="543" spans="1:10" x14ac:dyDescent="0.3">
      <c r="A543" t="s">
        <v>28</v>
      </c>
      <c r="B543" s="4">
        <v>2013</v>
      </c>
      <c r="C543" t="s">
        <v>49</v>
      </c>
      <c r="D543" s="8">
        <f>INDEX(GDP_pc!$E:$ZZ, MATCH(A543, GDP_pc!$C:$C, 0), MATCH(B543, GDP_pc!$E$1:$ZZ$1, 0))</f>
        <v>29152128167.843811</v>
      </c>
      <c r="E543">
        <f>INDEX(CH4_Em!$E:$ZZ, MATCH(A543, CH4_Em!$C:$C, 0), MATCH(B543, CH4_Em!$E$1:$ZZ$1, 0))</f>
        <v>1.1883999999999999</v>
      </c>
      <c r="F543">
        <f>INDEX(N2O_Em!$E:$ZZ, MATCH(A543, N2O_Em!$C:$C, 0), MATCH(B543, N2O_Em!$E$1:$ZZ$1, 0))</f>
        <v>1.7034</v>
      </c>
      <c r="G543">
        <f>INDEX(CO2_Em!$E:$ZZ, MATCH(A543, CO2_Em!$C:$C, 0), MATCH(B543, CO2_Em!$E$1:$ZZ$1, 0))</f>
        <v>0.1598</v>
      </c>
      <c r="H543">
        <f>INDEX(Agri_VA!$E:$ZZ, MATCH(A543, Agri_VA!$C:$C, 0), MATCH(B543, Agri_VA!$E$1:$ZZ$1, 0))</f>
        <v>3.2120869041367959</v>
      </c>
      <c r="I543" s="6">
        <f>INDEX('Agri_land '!$E:$ZZ, MATCH(A543, 'Agri_land '!$C:$C, 0), MATCH(B543, 'Agri_land '!$E$1:$ZZ$1, 0))</f>
        <v>30.163755283076476</v>
      </c>
      <c r="J543">
        <f>INDEX(Cereal_Yield!$E:$ZZ, MATCH(A543, Cereal_Yield!$C:$C, 0), MATCH(B543, Cereal_Yield!$E$1:$ZZ$1, 0))</f>
        <v>3373.8</v>
      </c>
    </row>
    <row r="544" spans="1:10" x14ac:dyDescent="0.3">
      <c r="A544" t="s">
        <v>28</v>
      </c>
      <c r="B544" s="4">
        <v>2014</v>
      </c>
      <c r="C544" t="s">
        <v>49</v>
      </c>
      <c r="D544" s="8">
        <f>INDEX(GDP_pc!$E:$ZZ, MATCH(A544, GDP_pc!$C:$C, 0), MATCH(B544, GDP_pc!$E$1:$ZZ$1, 0))</f>
        <v>30277203767.405777</v>
      </c>
      <c r="E544">
        <f>INDEX(CH4_Em!$E:$ZZ, MATCH(A544, CH4_Em!$C:$C, 0), MATCH(B544, CH4_Em!$E$1:$ZZ$1, 0))</f>
        <v>1.2377</v>
      </c>
      <c r="F544">
        <f>INDEX(N2O_Em!$E:$ZZ, MATCH(A544, N2O_Em!$C:$C, 0), MATCH(B544, N2O_Em!$E$1:$ZZ$1, 0))</f>
        <v>1.7115</v>
      </c>
      <c r="G544">
        <f>INDEX(CO2_Em!$E:$ZZ, MATCH(A544, CO2_Em!$C:$C, 0), MATCH(B544, CO2_Em!$E$1:$ZZ$1, 0))</f>
        <v>0.14879999999999999</v>
      </c>
      <c r="H544">
        <f>INDEX(Agri_VA!$E:$ZZ, MATCH(A544, Agri_VA!$C:$C, 0), MATCH(B544, Agri_VA!$E$1:$ZZ$1, 0))</f>
        <v>3.6163963896368245</v>
      </c>
      <c r="I544" s="6">
        <f>INDEX('Agri_land '!$E:$ZZ, MATCH(A544, 'Agri_land '!$C:$C, 0), MATCH(B544, 'Agri_land '!$E$1:$ZZ$1, 0))</f>
        <v>30.083404310026197</v>
      </c>
      <c r="J544">
        <f>INDEX(Cereal_Yield!$E:$ZZ, MATCH(A544, Cereal_Yield!$C:$C, 0), MATCH(B544, Cereal_Yield!$E$1:$ZZ$1, 0))</f>
        <v>3486.5</v>
      </c>
    </row>
    <row r="545" spans="1:10" x14ac:dyDescent="0.3">
      <c r="A545" t="s">
        <v>28</v>
      </c>
      <c r="B545" s="4">
        <v>2015</v>
      </c>
      <c r="C545" t="s">
        <v>49</v>
      </c>
      <c r="D545" s="8">
        <f>INDEX(GDP_pc!$E:$ZZ, MATCH(A545, GDP_pc!$C:$C, 0), MATCH(B545, GDP_pc!$E$1:$ZZ$1, 0))</f>
        <v>26344565876.890221</v>
      </c>
      <c r="E545">
        <f>INDEX(CH4_Em!$E:$ZZ, MATCH(A545, CH4_Em!$C:$C, 0), MATCH(B545, CH4_Em!$E$1:$ZZ$1, 0))</f>
        <v>1.2795000000000001</v>
      </c>
      <c r="F545">
        <f>INDEX(N2O_Em!$E:$ZZ, MATCH(A545, N2O_Em!$C:$C, 0), MATCH(B545, N2O_Em!$E$1:$ZZ$1, 0))</f>
        <v>1.8962000000000001</v>
      </c>
      <c r="G545">
        <f>INDEX(CO2_Em!$E:$ZZ, MATCH(A545, CO2_Em!$C:$C, 0), MATCH(B545, CO2_Em!$E$1:$ZZ$1, 0))</f>
        <v>0.2006</v>
      </c>
      <c r="H545">
        <f>INDEX(Agri_VA!$E:$ZZ, MATCH(A545, Agri_VA!$C:$C, 0), MATCH(B545, Agri_VA!$E$1:$ZZ$1, 0))</f>
        <v>3.5544501844508711</v>
      </c>
      <c r="I545" s="6">
        <f>INDEX('Agri_land '!$E:$ZZ, MATCH(A545, 'Agri_land '!$C:$C, 0), MATCH(B545, 'Agri_land '!$E$1:$ZZ$1, 0))</f>
        <v>30.284281742651903</v>
      </c>
      <c r="J545">
        <f>INDEX(Cereal_Yield!$E:$ZZ, MATCH(A545, Cereal_Yield!$C:$C, 0), MATCH(B545, Cereal_Yield!$E$1:$ZZ$1, 0))</f>
        <v>4513.1000000000004</v>
      </c>
    </row>
    <row r="546" spans="1:10" x14ac:dyDescent="0.3">
      <c r="A546" t="s">
        <v>28</v>
      </c>
      <c r="B546" s="4">
        <v>2016</v>
      </c>
      <c r="C546" t="s">
        <v>49</v>
      </c>
      <c r="D546" s="8">
        <f>INDEX(GDP_pc!$E:$ZZ, MATCH(A546, GDP_pc!$C:$C, 0), MATCH(B546, GDP_pc!$E$1:$ZZ$1, 0))</f>
        <v>27117105059.507458</v>
      </c>
      <c r="E546">
        <f>INDEX(CH4_Em!$E:$ZZ, MATCH(A546, CH4_Em!$C:$C, 0), MATCH(B546, CH4_Em!$E$1:$ZZ$1, 0))</f>
        <v>1.2686999999999999</v>
      </c>
      <c r="F546">
        <f>INDEX(N2O_Em!$E:$ZZ, MATCH(A546, N2O_Em!$C:$C, 0), MATCH(B546, N2O_Em!$E$1:$ZZ$1, 0))</f>
        <v>2.0466000000000002</v>
      </c>
      <c r="G546">
        <f>INDEX(CO2_Em!$E:$ZZ, MATCH(A546, CO2_Em!$C:$C, 0), MATCH(B546, CO2_Em!$E$1:$ZZ$1, 0))</f>
        <v>0.1946</v>
      </c>
      <c r="H546">
        <f>INDEX(Agri_VA!$E:$ZZ, MATCH(A546, Agri_VA!$C:$C, 0), MATCH(B546, Agri_VA!$E$1:$ZZ$1, 0))</f>
        <v>3.3253253895576056</v>
      </c>
      <c r="I546" s="6">
        <f>INDEX('Agri_land '!$E:$ZZ, MATCH(A546, 'Agri_land '!$C:$C, 0), MATCH(B546, 'Agri_land '!$E$1:$ZZ$1, 0))</f>
        <v>31.031545792019543</v>
      </c>
      <c r="J546">
        <f>INDEX(Cereal_Yield!$E:$ZZ, MATCH(A546, Cereal_Yield!$C:$C, 0), MATCH(B546, Cereal_Yield!$E$1:$ZZ$1, 0))</f>
        <v>3828.4</v>
      </c>
    </row>
    <row r="547" spans="1:10" x14ac:dyDescent="0.3">
      <c r="A547" t="s">
        <v>28</v>
      </c>
      <c r="B547" s="4">
        <v>2017</v>
      </c>
      <c r="C547" t="s">
        <v>49</v>
      </c>
      <c r="D547" s="8">
        <f>INDEX(GDP_pc!$E:$ZZ, MATCH(A547, GDP_pc!$C:$C, 0), MATCH(B547, GDP_pc!$E$1:$ZZ$1, 0))</f>
        <v>29391059767.425934</v>
      </c>
      <c r="E547">
        <f>INDEX(CH4_Em!$E:$ZZ, MATCH(A547, CH4_Em!$C:$C, 0), MATCH(B547, CH4_Em!$E$1:$ZZ$1, 0))</f>
        <v>1.2454000000000001</v>
      </c>
      <c r="F547">
        <f>INDEX(N2O_Em!$E:$ZZ, MATCH(A547, N2O_Em!$C:$C, 0), MATCH(B547, N2O_Em!$E$1:$ZZ$1, 0))</f>
        <v>1.9689000000000001</v>
      </c>
      <c r="G547">
        <f>INDEX(CO2_Em!$E:$ZZ, MATCH(A547, CO2_Em!$C:$C, 0), MATCH(B547, CO2_Em!$E$1:$ZZ$1, 0))</f>
        <v>0.18140000000000001</v>
      </c>
      <c r="H547">
        <f>INDEX(Agri_VA!$E:$ZZ, MATCH(A547, Agri_VA!$C:$C, 0), MATCH(B547, Agri_VA!$E$1:$ZZ$1, 0))</f>
        <v>3.6247621182476402</v>
      </c>
      <c r="I547" s="6">
        <f>INDEX('Agri_land '!$E:$ZZ, MATCH(A547, 'Agri_land '!$C:$C, 0), MATCH(B547, 'Agri_land '!$E$1:$ZZ$1, 0))</f>
        <v>31.063686181239653</v>
      </c>
      <c r="J547">
        <f>INDEX(Cereal_Yield!$E:$ZZ, MATCH(A547, Cereal_Yield!$C:$C, 0), MATCH(B547, Cereal_Yield!$E$1:$ZZ$1, 0))</f>
        <v>4250.2</v>
      </c>
    </row>
    <row r="548" spans="1:10" x14ac:dyDescent="0.3">
      <c r="A548" t="s">
        <v>28</v>
      </c>
      <c r="B548" s="4">
        <v>2018</v>
      </c>
      <c r="C548" t="s">
        <v>49</v>
      </c>
      <c r="D548" s="8">
        <f>INDEX(GDP_pc!$E:$ZZ, MATCH(A548, GDP_pc!$C:$C, 0), MATCH(B548, GDP_pc!$E$1:$ZZ$1, 0))</f>
        <v>33247935477.357624</v>
      </c>
      <c r="E548">
        <f>INDEX(CH4_Em!$E:$ZZ, MATCH(A548, CH4_Em!$C:$C, 0), MATCH(B548, CH4_Em!$E$1:$ZZ$1, 0))</f>
        <v>1.1921999999999999</v>
      </c>
      <c r="F548">
        <f>INDEX(N2O_Em!$E:$ZZ, MATCH(A548, N2O_Em!$C:$C, 0), MATCH(B548, N2O_Em!$E$1:$ZZ$1, 0))</f>
        <v>1.9198999999999999</v>
      </c>
      <c r="G548">
        <f>INDEX(CO2_Em!$E:$ZZ, MATCH(A548, CO2_Em!$C:$C, 0), MATCH(B548, CO2_Em!$E$1:$ZZ$1, 0))</f>
        <v>0.18179999999999999</v>
      </c>
      <c r="H548">
        <f>INDEX(Agri_VA!$E:$ZZ, MATCH(A548, Agri_VA!$C:$C, 0), MATCH(B548, Agri_VA!$E$1:$ZZ$1, 0))</f>
        <v>3.6610477801951262</v>
      </c>
      <c r="I548" s="6">
        <f>INDEX('Agri_land '!$E:$ZZ, MATCH(A548, 'Agri_land '!$C:$C, 0), MATCH(B548, 'Agri_land '!$E$1:$ZZ$1, 0))</f>
        <v>31.14403715428994</v>
      </c>
      <c r="J548">
        <f>INDEX(Cereal_Yield!$E:$ZZ, MATCH(A548, Cereal_Yield!$C:$C, 0), MATCH(B548, Cereal_Yield!$E$1:$ZZ$1, 0))</f>
        <v>3026.3</v>
      </c>
    </row>
    <row r="549" spans="1:10" x14ac:dyDescent="0.3">
      <c r="A549" t="s">
        <v>28</v>
      </c>
      <c r="B549" s="4">
        <v>2019</v>
      </c>
      <c r="C549" t="s">
        <v>49</v>
      </c>
      <c r="D549" s="8">
        <f>INDEX(GDP_pc!$E:$ZZ, MATCH(A549, GDP_pc!$C:$C, 0), MATCH(B549, GDP_pc!$E$1:$ZZ$1, 0))</f>
        <v>33099503950.847004</v>
      </c>
      <c r="E549">
        <f>INDEX(CH4_Em!$E:$ZZ, MATCH(A549, CH4_Em!$C:$C, 0), MATCH(B549, CH4_Em!$E$1:$ZZ$1, 0))</f>
        <v>1.1849000000000001</v>
      </c>
      <c r="F549">
        <f>INDEX(N2O_Em!$E:$ZZ, MATCH(A549, N2O_Em!$C:$C, 0), MATCH(B549, N2O_Em!$E$1:$ZZ$1, 0))</f>
        <v>2.0152999999999999</v>
      </c>
      <c r="G549">
        <f>INDEX(CO2_Em!$E:$ZZ, MATCH(A549, CO2_Em!$C:$C, 0), MATCH(B549, CO2_Em!$E$1:$ZZ$1, 0))</f>
        <v>0.1933</v>
      </c>
      <c r="H549">
        <f>INDEX(Agri_VA!$E:$ZZ, MATCH(A549, Agri_VA!$C:$C, 0), MATCH(B549, Agri_VA!$E$1:$ZZ$1, 0))</f>
        <v>3.8534344419983615</v>
      </c>
      <c r="I549" s="6">
        <f>INDEX('Agri_land '!$E:$ZZ, MATCH(A549, 'Agri_land '!$C:$C, 0), MATCH(B549, 'Agri_land '!$E$1:$ZZ$1, 0))</f>
        <v>31.497581435711187</v>
      </c>
      <c r="J549">
        <f>INDEX(Cereal_Yield!$E:$ZZ, MATCH(A549, Cereal_Yield!$C:$C, 0), MATCH(B549, Cereal_Yield!$E$1:$ZZ$1, 0))</f>
        <v>4310.1000000000004</v>
      </c>
    </row>
    <row r="550" spans="1:10" x14ac:dyDescent="0.3">
      <c r="A550" t="s">
        <v>28</v>
      </c>
      <c r="B550" s="4">
        <v>2020</v>
      </c>
      <c r="C550" t="s">
        <v>49</v>
      </c>
      <c r="D550" s="8">
        <f>INDEX(GDP_pc!$E:$ZZ, MATCH(A550, GDP_pc!$C:$C, 0), MATCH(B550, GDP_pc!$E$1:$ZZ$1, 0))</f>
        <v>33379927434.61488</v>
      </c>
      <c r="E550">
        <f>INDEX(CH4_Em!$E:$ZZ, MATCH(A550, CH4_Em!$C:$C, 0), MATCH(B550, CH4_Em!$E$1:$ZZ$1, 0))</f>
        <v>1.1896</v>
      </c>
      <c r="F550">
        <f>INDEX(N2O_Em!$E:$ZZ, MATCH(A550, N2O_Em!$C:$C, 0), MATCH(B550, N2O_Em!$E$1:$ZZ$1, 0))</f>
        <v>2.0939000000000001</v>
      </c>
      <c r="G550">
        <f>INDEX(CO2_Em!$E:$ZZ, MATCH(A550, CO2_Em!$C:$C, 0), MATCH(B550, CO2_Em!$E$1:$ZZ$1, 0))</f>
        <v>0.20949999999999999</v>
      </c>
      <c r="H550">
        <f>INDEX(Agri_VA!$E:$ZZ, MATCH(A550, Agri_VA!$C:$C, 0), MATCH(B550, Agri_VA!$E$1:$ZZ$1, 0))</f>
        <v>4.0791819421755982</v>
      </c>
      <c r="I550" s="6">
        <f>INDEX('Agri_land '!$E:$ZZ, MATCH(A550, 'Agri_land '!$C:$C, 0), MATCH(B550, 'Agri_land '!$E$1:$ZZ$1, 0))</f>
        <v>31.640687771171461</v>
      </c>
      <c r="J550">
        <f>INDEX(Cereal_Yield!$E:$ZZ, MATCH(A550, Cereal_Yield!$C:$C, 0), MATCH(B550, Cereal_Yield!$E$1:$ZZ$1, 0))</f>
        <v>4662.8</v>
      </c>
    </row>
    <row r="551" spans="1:10" x14ac:dyDescent="0.3">
      <c r="A551" t="s">
        <v>28</v>
      </c>
      <c r="B551" s="4">
        <v>2021</v>
      </c>
      <c r="C551" t="s">
        <v>49</v>
      </c>
      <c r="D551" s="8">
        <f>INDEX(GDP_pc!$E:$ZZ, MATCH(A551, GDP_pc!$C:$C, 0), MATCH(B551, GDP_pc!$E$1:$ZZ$1, 0))</f>
        <v>38183326784.933495</v>
      </c>
      <c r="E551">
        <f>INDEX(CH4_Em!$E:$ZZ, MATCH(A551, CH4_Em!$C:$C, 0), MATCH(B551, CH4_Em!$E$1:$ZZ$1, 0))</f>
        <v>1.1742999999999999</v>
      </c>
      <c r="F551">
        <f>INDEX(N2O_Em!$E:$ZZ, MATCH(A551, N2O_Em!$C:$C, 0), MATCH(B551, N2O_Em!$E$1:$ZZ$1, 0))</f>
        <v>2.0741999999999998</v>
      </c>
      <c r="G551">
        <f>INDEX(CO2_Em!$E:$ZZ, MATCH(A551, CO2_Em!$C:$C, 0), MATCH(B551, CO2_Em!$E$1:$ZZ$1, 0))</f>
        <v>0.21129999999999999</v>
      </c>
      <c r="H551">
        <f>INDEX(Agri_VA!$E:$ZZ, MATCH(A551, Agri_VA!$C:$C, 0), MATCH(B551, Agri_VA!$E$1:$ZZ$1, 0))</f>
        <v>4.2067225153536087</v>
      </c>
      <c r="I551" s="6">
        <f>INDEX('Agri_land '!$E:$ZZ, MATCH(A551, 'Agri_land '!$C:$C, 0), MATCH(B551, 'Agri_land '!$E$1:$ZZ$1, 0))</f>
        <v>31.656757191065406</v>
      </c>
      <c r="J551">
        <f>INDEX(Cereal_Yield!$E:$ZZ, MATCH(A551, Cereal_Yield!$C:$C, 0), MATCH(B551, Cereal_Yield!$E$1:$ZZ$1, 0))</f>
        <v>3900.2</v>
      </c>
    </row>
    <row r="552" spans="1:10" x14ac:dyDescent="0.3">
      <c r="A552" t="s">
        <v>28</v>
      </c>
      <c r="B552" s="4">
        <v>2022</v>
      </c>
      <c r="C552" t="s">
        <v>49</v>
      </c>
      <c r="D552" s="8">
        <f>INDEX(GDP_pc!$E:$ZZ, MATCH(A552, GDP_pc!$C:$C, 0), MATCH(B552, GDP_pc!$E$1:$ZZ$1, 0))</f>
        <v>38003198508.910652</v>
      </c>
      <c r="E552">
        <f>INDEX(CH4_Em!$E:$ZZ, MATCH(A552, CH4_Em!$C:$C, 0), MATCH(B552, CH4_Em!$E$1:$ZZ$1, 0))</f>
        <v>1.1567000000000001</v>
      </c>
      <c r="F552">
        <f>INDEX(N2O_Em!$E:$ZZ, MATCH(A552, N2O_Em!$C:$C, 0), MATCH(B552, N2O_Em!$E$1:$ZZ$1, 0))</f>
        <v>2.0640999999999998</v>
      </c>
      <c r="G552">
        <f>INDEX(CO2_Em!$E:$ZZ, MATCH(A552, CO2_Em!$C:$C, 0), MATCH(B552, CO2_Em!$E$1:$ZZ$1, 0))</f>
        <v>0.2051</v>
      </c>
      <c r="H552">
        <f>INDEX(Agri_VA!$E:$ZZ, MATCH(A552, Agri_VA!$C:$C, 0), MATCH(B552, Agri_VA!$E$1:$ZZ$1, 0))</f>
        <v>5.114110384568705</v>
      </c>
      <c r="I552" s="6">
        <f>INDEX('Agri_land '!$E:$ZZ, MATCH(A552, 'Agri_land '!$C:$C, 0), MATCH(B552, 'Agri_land '!$E$1:$ZZ$1, 0))</f>
        <v>31.656757191065406</v>
      </c>
      <c r="J552">
        <f>INDEX(Cereal_Yield!$E:$ZZ, MATCH(A552, Cereal_Yield!$C:$C, 0), MATCH(B552, Cereal_Yield!$E$1:$ZZ$1, 0))</f>
        <v>4186</v>
      </c>
    </row>
    <row r="553" spans="1:10" x14ac:dyDescent="0.3">
      <c r="A553" t="s">
        <v>28</v>
      </c>
      <c r="B553" s="4">
        <v>2023</v>
      </c>
      <c r="C553" t="s">
        <v>49</v>
      </c>
      <c r="D553" s="8">
        <f>INDEX(GDP_pc!$E:$ZZ, MATCH(A553, GDP_pc!$C:$C, 0), MATCH(B553, GDP_pc!$E$1:$ZZ$1, 0))</f>
        <v>42779550936.838013</v>
      </c>
      <c r="E553">
        <f>INDEX(CH4_Em!$E:$ZZ, MATCH(A553, CH4_Em!$C:$C, 0), MATCH(B553, CH4_Em!$E$1:$ZZ$1, 0))</f>
        <v>1.0943000000000001</v>
      </c>
      <c r="F553">
        <f>INDEX(N2O_Em!$E:$ZZ, MATCH(A553, N2O_Em!$C:$C, 0), MATCH(B553, N2O_Em!$E$1:$ZZ$1, 0))</f>
        <v>2.0463</v>
      </c>
      <c r="G553">
        <f>INDEX(CO2_Em!$E:$ZZ, MATCH(A553, CO2_Em!$C:$C, 0), MATCH(B553, CO2_Em!$E$1:$ZZ$1, 0))</f>
        <v>0.20399999999999999</v>
      </c>
      <c r="H553">
        <f>INDEX(Agri_VA!$E:$ZZ, MATCH(A553, Agri_VA!$C:$C, 0), MATCH(B553, Agri_VA!$E$1:$ZZ$1, 0))</f>
        <v>3.9334427941851802</v>
      </c>
      <c r="I553" s="6">
        <f>INDEX('Agri_land '!$E:$ZZ, MATCH(A553, 'Agri_land '!$C:$C, 0), MATCH(B553, 'Agri_land '!$E$1:$ZZ$1, 0))</f>
        <v>31.672826610959344</v>
      </c>
      <c r="J553">
        <f>INDEX(Cereal_Yield!$E:$ZZ, MATCH(A553, Cereal_Yield!$C:$C, 0), MATCH(B553, Cereal_Yield!$E$1:$ZZ$1, 0))</f>
        <v>3557.5</v>
      </c>
    </row>
    <row r="554" spans="1:10" x14ac:dyDescent="0.3">
      <c r="A554" t="s">
        <v>29</v>
      </c>
      <c r="B554" s="4">
        <v>2000</v>
      </c>
      <c r="C554" t="s">
        <v>49</v>
      </c>
      <c r="D554" s="8">
        <f>INDEX(GDP_pc!$E:$ZZ, MATCH(A554, GDP_pc!$C:$C, 0), MATCH(B554, GDP_pc!$E$1:$ZZ$1, 0))</f>
        <v>742061329749.12744</v>
      </c>
      <c r="E554">
        <f>INDEX(CH4_Em!$E:$ZZ, MATCH(A554, CH4_Em!$C:$C, 0), MATCH(B554, CH4_Em!$E$1:$ZZ$1, 0))</f>
        <v>68.120400000000004</v>
      </c>
      <c r="F554">
        <f>INDEX(N2O_Em!$E:$ZZ, MATCH(A554, N2O_Em!$C:$C, 0), MATCH(B554, N2O_Em!$E$1:$ZZ$1, 0))</f>
        <v>25.145900000000001</v>
      </c>
      <c r="G554">
        <f>INDEX(CO2_Em!$E:$ZZ, MATCH(A554, CO2_Em!$C:$C, 0), MATCH(B554, CO2_Em!$E$1:$ZZ$1, 0))</f>
        <v>3.2873999999999999</v>
      </c>
      <c r="H554">
        <f>INDEX(Agri_VA!$E:$ZZ, MATCH(A554, Agri_VA!$C:$C, 0), MATCH(B554, Agri_VA!$E$1:$ZZ$1, 0))</f>
        <v>3.159265130977623</v>
      </c>
      <c r="I554" s="6">
        <f>INDEX('Agri_land '!$E:$ZZ, MATCH(A554, 'Agri_land '!$C:$C, 0), MATCH(B554, 'Agri_land '!$E$1:$ZZ$1, 0))</f>
        <v>54.697908896833766</v>
      </c>
      <c r="J554">
        <f>INDEX(Cereal_Yield!$E:$ZZ, MATCH(A554, Cereal_Yield!$C:$C, 0), MATCH(B554, Cereal_Yield!$E$1:$ZZ$1, 0))</f>
        <v>2760.9</v>
      </c>
    </row>
    <row r="555" spans="1:10" x14ac:dyDescent="0.3">
      <c r="A555" t="s">
        <v>29</v>
      </c>
      <c r="B555" s="4">
        <v>2001</v>
      </c>
      <c r="C555" t="s">
        <v>49</v>
      </c>
      <c r="D555" s="8">
        <f>INDEX(GDP_pc!$E:$ZZ, MATCH(A555, GDP_pc!$C:$C, 0), MATCH(B555, GDP_pc!$E$1:$ZZ$1, 0))</f>
        <v>796064590549.13635</v>
      </c>
      <c r="E555">
        <f>INDEX(CH4_Em!$E:$ZZ, MATCH(A555, CH4_Em!$C:$C, 0), MATCH(B555, CH4_Em!$E$1:$ZZ$1, 0))</f>
        <v>68.542500000000004</v>
      </c>
      <c r="F555">
        <f>INDEX(N2O_Em!$E:$ZZ, MATCH(A555, N2O_Em!$C:$C, 0), MATCH(B555, N2O_Em!$E$1:$ZZ$1, 0))</f>
        <v>25.156400000000001</v>
      </c>
      <c r="G555">
        <f>INDEX(CO2_Em!$E:$ZZ, MATCH(A555, CO2_Em!$C:$C, 0), MATCH(B555, CO2_Em!$E$1:$ZZ$1, 0))</f>
        <v>3.4619</v>
      </c>
      <c r="H555">
        <f>INDEX(Agri_VA!$E:$ZZ, MATCH(A555, Agri_VA!$C:$C, 0), MATCH(B555, Agri_VA!$E$1:$ZZ$1, 0))</f>
        <v>3.2254903518803557</v>
      </c>
      <c r="I555" s="6">
        <f>INDEX('Agri_land '!$E:$ZZ, MATCH(A555, 'Agri_land '!$C:$C, 0), MATCH(B555, 'Agri_land '!$E$1:$ZZ$1, 0))</f>
        <v>54.811080531906683</v>
      </c>
      <c r="J555">
        <f>INDEX(Cereal_Yield!$E:$ZZ, MATCH(A555, Cereal_Yield!$C:$C, 0), MATCH(B555, Cereal_Yield!$E$1:$ZZ$1, 0))</f>
        <v>2855.2</v>
      </c>
    </row>
    <row r="556" spans="1:10" x14ac:dyDescent="0.3">
      <c r="A556" t="s">
        <v>29</v>
      </c>
      <c r="B556" s="4">
        <v>2002</v>
      </c>
      <c r="C556" t="s">
        <v>49</v>
      </c>
      <c r="D556" s="8">
        <f>INDEX(GDP_pc!$E:$ZZ, MATCH(A556, GDP_pc!$C:$C, 0), MATCH(B556, GDP_pc!$E$1:$ZZ$1, 0))</f>
        <v>810666116401.91479</v>
      </c>
      <c r="E556">
        <f>INDEX(CH4_Em!$E:$ZZ, MATCH(A556, CH4_Em!$C:$C, 0), MATCH(B556, CH4_Em!$E$1:$ZZ$1, 0))</f>
        <v>70.016499999999994</v>
      </c>
      <c r="F556">
        <f>INDEX(N2O_Em!$E:$ZZ, MATCH(A556, N2O_Em!$C:$C, 0), MATCH(B556, N2O_Em!$E$1:$ZZ$1, 0))</f>
        <v>24.4177</v>
      </c>
      <c r="G556">
        <f>INDEX(CO2_Em!$E:$ZZ, MATCH(A556, CO2_Em!$C:$C, 0), MATCH(B556, CO2_Em!$E$1:$ZZ$1, 0))</f>
        <v>2.6432000000000002</v>
      </c>
      <c r="H556">
        <f>INDEX(Agri_VA!$E:$ZZ, MATCH(A556, Agri_VA!$C:$C, 0), MATCH(B556, Agri_VA!$E$1:$ZZ$1, 0))</f>
        <v>3.1103617232533414</v>
      </c>
      <c r="I556" s="6">
        <f>INDEX('Agri_land '!$E:$ZZ, MATCH(A556, 'Agri_land '!$C:$C, 0), MATCH(B556, 'Agri_land '!$E$1:$ZZ$1, 0))</f>
        <v>54.811080531906683</v>
      </c>
      <c r="J556">
        <f>INDEX(Cereal_Yield!$E:$ZZ, MATCH(A556, Cereal_Yield!$C:$C, 0), MATCH(B556, Cereal_Yield!$E$1:$ZZ$1, 0))</f>
        <v>2913.1</v>
      </c>
    </row>
    <row r="557" spans="1:10" x14ac:dyDescent="0.3">
      <c r="A557" t="s">
        <v>29</v>
      </c>
      <c r="B557" s="4">
        <v>2003</v>
      </c>
      <c r="C557" t="s">
        <v>49</v>
      </c>
      <c r="D557" s="8">
        <f>INDEX(GDP_pc!$E:$ZZ, MATCH(A557, GDP_pc!$C:$C, 0), MATCH(B557, GDP_pc!$E$1:$ZZ$1, 0))</f>
        <v>765549967703.27319</v>
      </c>
      <c r="E557">
        <f>INDEX(CH4_Em!$E:$ZZ, MATCH(A557, CH4_Em!$C:$C, 0), MATCH(B557, CH4_Em!$E$1:$ZZ$1, 0))</f>
        <v>70.518900000000002</v>
      </c>
      <c r="F557">
        <f>INDEX(N2O_Em!$E:$ZZ, MATCH(A557, N2O_Em!$C:$C, 0), MATCH(B557, N2O_Em!$E$1:$ZZ$1, 0))</f>
        <v>24.733699999999999</v>
      </c>
      <c r="G557">
        <f>INDEX(CO2_Em!$E:$ZZ, MATCH(A557, CO2_Em!$C:$C, 0), MATCH(B557, CO2_Em!$E$1:$ZZ$1, 0))</f>
        <v>2.9180000000000001</v>
      </c>
      <c r="H557">
        <f>INDEX(Agri_VA!$E:$ZZ, MATCH(A557, Agri_VA!$C:$C, 0), MATCH(B557, Agri_VA!$E$1:$ZZ$1, 0))</f>
        <v>3.2073554072026536</v>
      </c>
      <c r="I557" s="6">
        <f>INDEX('Agri_land '!$E:$ZZ, MATCH(A557, 'Agri_land '!$C:$C, 0), MATCH(B557, 'Agri_land '!$E$1:$ZZ$1, 0))</f>
        <v>54.811080531906683</v>
      </c>
      <c r="J557">
        <f>INDEX(Cereal_Yield!$E:$ZZ, MATCH(A557, Cereal_Yield!$C:$C, 0), MATCH(B557, Cereal_Yield!$E$1:$ZZ$1, 0))</f>
        <v>2964</v>
      </c>
    </row>
    <row r="558" spans="1:10" x14ac:dyDescent="0.3">
      <c r="A558" t="s">
        <v>29</v>
      </c>
      <c r="B558" s="4">
        <v>2004</v>
      </c>
      <c r="C558" t="s">
        <v>49</v>
      </c>
      <c r="D558" s="8">
        <f>INDEX(GDP_pc!$E:$ZZ, MATCH(A558, GDP_pc!$C:$C, 0), MATCH(B558, GDP_pc!$E$1:$ZZ$1, 0))</f>
        <v>819459227375.02246</v>
      </c>
      <c r="E558">
        <f>INDEX(CH4_Em!$E:$ZZ, MATCH(A558, CH4_Em!$C:$C, 0), MATCH(B558, CH4_Em!$E$1:$ZZ$1, 0))</f>
        <v>70.500900000000001</v>
      </c>
      <c r="F558">
        <f>INDEX(N2O_Em!$E:$ZZ, MATCH(A558, N2O_Em!$C:$C, 0), MATCH(B558, N2O_Em!$E$1:$ZZ$1, 0))</f>
        <v>24.6998</v>
      </c>
      <c r="G558">
        <f>INDEX(CO2_Em!$E:$ZZ, MATCH(A558, CO2_Em!$C:$C, 0), MATCH(B558, CO2_Em!$E$1:$ZZ$1, 0))</f>
        <v>2.9710000000000001</v>
      </c>
      <c r="H558">
        <f>INDEX(Agri_VA!$E:$ZZ, MATCH(A558, Agri_VA!$C:$C, 0), MATCH(B558, Agri_VA!$E$1:$ZZ$1, 0))</f>
        <v>3.1859469830490807</v>
      </c>
      <c r="I558" s="6">
        <f>INDEX('Agri_land '!$E:$ZZ, MATCH(A558, 'Agri_land '!$C:$C, 0), MATCH(B558, 'Agri_land '!$E$1:$ZZ$1, 0))</f>
        <v>54.821368862367862</v>
      </c>
      <c r="J558">
        <f>INDEX(Cereal_Yield!$E:$ZZ, MATCH(A558, Cereal_Yield!$C:$C, 0), MATCH(B558, Cereal_Yield!$E$1:$ZZ$1, 0))</f>
        <v>3078.6</v>
      </c>
    </row>
    <row r="559" spans="1:10" x14ac:dyDescent="0.3">
      <c r="A559" t="s">
        <v>29</v>
      </c>
      <c r="B559" s="4">
        <v>2005</v>
      </c>
      <c r="C559" t="s">
        <v>49</v>
      </c>
      <c r="D559" s="8">
        <f>INDEX(GDP_pc!$E:$ZZ, MATCH(A559, GDP_pc!$C:$C, 0), MATCH(B559, GDP_pc!$E$1:$ZZ$1, 0))</f>
        <v>917571853529.10449</v>
      </c>
      <c r="E559">
        <f>INDEX(CH4_Em!$E:$ZZ, MATCH(A559, CH4_Em!$C:$C, 0), MATCH(B559, CH4_Em!$E$1:$ZZ$1, 0))</f>
        <v>72.602099999999993</v>
      </c>
      <c r="F559">
        <f>INDEX(N2O_Em!$E:$ZZ, MATCH(A559, N2O_Em!$C:$C, 0), MATCH(B559, N2O_Em!$E$1:$ZZ$1, 0))</f>
        <v>24.3078</v>
      </c>
      <c r="G559">
        <f>INDEX(CO2_Em!$E:$ZZ, MATCH(A559, CO2_Em!$C:$C, 0), MATCH(B559, CO2_Em!$E$1:$ZZ$1, 0))</f>
        <v>2.7517999999999998</v>
      </c>
      <c r="H559">
        <f>INDEX(Agri_VA!$E:$ZZ, MATCH(A559, Agri_VA!$C:$C, 0), MATCH(B559, Agri_VA!$E$1:$ZZ$1, 0))</f>
        <v>2.9456722751517885</v>
      </c>
      <c r="I559" s="6">
        <f>INDEX('Agri_land '!$E:$ZZ, MATCH(A559, 'Agri_land '!$C:$C, 0), MATCH(B559, 'Agri_land '!$E$1:$ZZ$1, 0))</f>
        <v>54.821368862367862</v>
      </c>
      <c r="J559">
        <f>INDEX(Cereal_Yield!$E:$ZZ, MATCH(A559, Cereal_Yield!$C:$C, 0), MATCH(B559, Cereal_Yield!$E$1:$ZZ$1, 0))</f>
        <v>3130.8</v>
      </c>
    </row>
    <row r="560" spans="1:10" x14ac:dyDescent="0.3">
      <c r="A560" t="s">
        <v>29</v>
      </c>
      <c r="B560" s="4">
        <v>2006</v>
      </c>
      <c r="C560" t="s">
        <v>49</v>
      </c>
      <c r="D560" s="8">
        <f>INDEX(GDP_pc!$E:$ZZ, MATCH(A560, GDP_pc!$C:$C, 0), MATCH(B560, GDP_pc!$E$1:$ZZ$1, 0))</f>
        <v>1020265057882.007</v>
      </c>
      <c r="E560">
        <f>INDEX(CH4_Em!$E:$ZZ, MATCH(A560, CH4_Em!$C:$C, 0), MATCH(B560, CH4_Em!$E$1:$ZZ$1, 0))</f>
        <v>73.333100000000002</v>
      </c>
      <c r="F560">
        <f>INDEX(N2O_Em!$E:$ZZ, MATCH(A560, N2O_Em!$C:$C, 0), MATCH(B560, N2O_Em!$E$1:$ZZ$1, 0))</f>
        <v>24.301500000000001</v>
      </c>
      <c r="G560">
        <f>INDEX(CO2_Em!$E:$ZZ, MATCH(A560, CO2_Em!$C:$C, 0), MATCH(B560, CO2_Em!$E$1:$ZZ$1, 0))</f>
        <v>2.8073999999999999</v>
      </c>
      <c r="H560">
        <f>INDEX(Agri_VA!$E:$ZZ, MATCH(A560, Agri_VA!$C:$C, 0), MATCH(B560, Agri_VA!$E$1:$ZZ$1, 0))</f>
        <v>2.9429551635863951</v>
      </c>
      <c r="I560" s="6">
        <f>INDEX('Agri_land '!$E:$ZZ, MATCH(A560, 'Agri_land '!$C:$C, 0), MATCH(B560, 'Agri_land '!$E$1:$ZZ$1, 0))</f>
        <v>54.821368862367862</v>
      </c>
      <c r="J560">
        <f>INDEX(Cereal_Yield!$E:$ZZ, MATCH(A560, Cereal_Yield!$C:$C, 0), MATCH(B560, Cereal_Yield!$E$1:$ZZ$1, 0))</f>
        <v>3213.3</v>
      </c>
    </row>
    <row r="561" spans="1:10" x14ac:dyDescent="0.3">
      <c r="A561" t="s">
        <v>29</v>
      </c>
      <c r="B561" s="4">
        <v>2007</v>
      </c>
      <c r="C561" t="s">
        <v>49</v>
      </c>
      <c r="D561" s="8">
        <f>INDEX(GDP_pc!$E:$ZZ, MATCH(A561, GDP_pc!$C:$C, 0), MATCH(B561, GDP_pc!$E$1:$ZZ$1, 0))</f>
        <v>1102355554971.9478</v>
      </c>
      <c r="E561">
        <f>INDEX(CH4_Em!$E:$ZZ, MATCH(A561, CH4_Em!$C:$C, 0), MATCH(B561, CH4_Em!$E$1:$ZZ$1, 0))</f>
        <v>74.052199999999999</v>
      </c>
      <c r="F561">
        <f>INDEX(N2O_Em!$E:$ZZ, MATCH(A561, N2O_Em!$C:$C, 0), MATCH(B561, N2O_Em!$E$1:$ZZ$1, 0))</f>
        <v>25.282</v>
      </c>
      <c r="G561">
        <f>INDEX(CO2_Em!$E:$ZZ, MATCH(A561, CO2_Em!$C:$C, 0), MATCH(B561, CO2_Em!$E$1:$ZZ$1, 0))</f>
        <v>2.9097</v>
      </c>
      <c r="H561">
        <f>INDEX(Agri_VA!$E:$ZZ, MATCH(A561, Agri_VA!$C:$C, 0), MATCH(B561, Agri_VA!$E$1:$ZZ$1, 0))</f>
        <v>3.0418656709759957</v>
      </c>
      <c r="I561" s="6">
        <f>INDEX('Agri_land '!$E:$ZZ, MATCH(A561, 'Agri_land '!$C:$C, 0), MATCH(B561, 'Agri_land '!$E$1:$ZZ$1, 0))</f>
        <v>54.888243010365493</v>
      </c>
      <c r="J561">
        <f>INDEX(Cereal_Yield!$E:$ZZ, MATCH(A561, Cereal_Yield!$C:$C, 0), MATCH(B561, Cereal_Yield!$E$1:$ZZ$1, 0))</f>
        <v>3353</v>
      </c>
    </row>
    <row r="562" spans="1:10" x14ac:dyDescent="0.3">
      <c r="A562" t="s">
        <v>29</v>
      </c>
      <c r="B562" s="4">
        <v>2008</v>
      </c>
      <c r="C562" t="s">
        <v>49</v>
      </c>
      <c r="D562" s="8">
        <f>INDEX(GDP_pc!$E:$ZZ, MATCH(A562, GDP_pc!$C:$C, 0), MATCH(B562, GDP_pc!$E$1:$ZZ$1, 0))</f>
        <v>1161553459715.1033</v>
      </c>
      <c r="E562">
        <f>INDEX(CH4_Em!$E:$ZZ, MATCH(A562, CH4_Em!$C:$C, 0), MATCH(B562, CH4_Em!$E$1:$ZZ$1, 0))</f>
        <v>74.944100000000006</v>
      </c>
      <c r="F562">
        <f>INDEX(N2O_Em!$E:$ZZ, MATCH(A562, N2O_Em!$C:$C, 0), MATCH(B562, N2O_Em!$E$1:$ZZ$1, 0))</f>
        <v>24.654399999999999</v>
      </c>
      <c r="G562">
        <f>INDEX(CO2_Em!$E:$ZZ, MATCH(A562, CO2_Em!$C:$C, 0), MATCH(B562, CO2_Em!$E$1:$ZZ$1, 0))</f>
        <v>2.7513000000000001</v>
      </c>
      <c r="H562">
        <f>INDEX(Agri_VA!$E:$ZZ, MATCH(A562, Agri_VA!$C:$C, 0), MATCH(B562, Agri_VA!$E$1:$ZZ$1, 0))</f>
        <v>3.028758980827861</v>
      </c>
      <c r="I562" s="6">
        <f>INDEX('Agri_land '!$E:$ZZ, MATCH(A562, 'Agri_land '!$C:$C, 0), MATCH(B562, 'Agri_land '!$E$1:$ZZ$1, 0))</f>
        <v>53.167519740734072</v>
      </c>
      <c r="J562">
        <f>INDEX(Cereal_Yield!$E:$ZZ, MATCH(A562, Cereal_Yield!$C:$C, 0), MATCH(B562, Cereal_Yield!$E$1:$ZZ$1, 0))</f>
        <v>3452.3</v>
      </c>
    </row>
    <row r="563" spans="1:10" x14ac:dyDescent="0.3">
      <c r="A563" t="s">
        <v>29</v>
      </c>
      <c r="B563" s="4">
        <v>2009</v>
      </c>
      <c r="C563" t="s">
        <v>49</v>
      </c>
      <c r="D563" s="8">
        <f>INDEX(GDP_pc!$E:$ZZ, MATCH(A563, GDP_pc!$C:$C, 0), MATCH(B563, GDP_pc!$E$1:$ZZ$1, 0))</f>
        <v>943437415024.63281</v>
      </c>
      <c r="E563">
        <f>INDEX(CH4_Em!$E:$ZZ, MATCH(A563, CH4_Em!$C:$C, 0), MATCH(B563, CH4_Em!$E$1:$ZZ$1, 0))</f>
        <v>75.932299999999998</v>
      </c>
      <c r="F563">
        <f>INDEX(N2O_Em!$E:$ZZ, MATCH(A563, N2O_Em!$C:$C, 0), MATCH(B563, N2O_Em!$E$1:$ZZ$1, 0))</f>
        <v>25.014900000000001</v>
      </c>
      <c r="G563">
        <f>INDEX(CO2_Em!$E:$ZZ, MATCH(A563, CO2_Em!$C:$C, 0), MATCH(B563, CO2_Em!$E$1:$ZZ$1, 0))</f>
        <v>2.887</v>
      </c>
      <c r="H563">
        <f>INDEX(Agri_VA!$E:$ZZ, MATCH(A563, Agri_VA!$C:$C, 0), MATCH(B563, Agri_VA!$E$1:$ZZ$1, 0))</f>
        <v>3.1005984191884233</v>
      </c>
      <c r="I563" s="6">
        <f>INDEX('Agri_land '!$E:$ZZ, MATCH(A563, 'Agri_land '!$C:$C, 0), MATCH(B563, 'Agri_land '!$E$1:$ZZ$1, 0))</f>
        <v>52.821317420715552</v>
      </c>
      <c r="J563">
        <f>INDEX(Cereal_Yield!$E:$ZZ, MATCH(A563, Cereal_Yield!$C:$C, 0), MATCH(B563, Cereal_Yield!$E$1:$ZZ$1, 0))</f>
        <v>3433.7</v>
      </c>
    </row>
    <row r="564" spans="1:10" x14ac:dyDescent="0.3">
      <c r="A564" t="s">
        <v>29</v>
      </c>
      <c r="B564" s="4">
        <v>2010</v>
      </c>
      <c r="C564" t="s">
        <v>49</v>
      </c>
      <c r="D564" s="8">
        <f>INDEX(GDP_pc!$E:$ZZ, MATCH(A564, GDP_pc!$C:$C, 0), MATCH(B564, GDP_pc!$E$1:$ZZ$1, 0))</f>
        <v>1105424238731.0928</v>
      </c>
      <c r="E564">
        <f>INDEX(CH4_Em!$E:$ZZ, MATCH(A564, CH4_Em!$C:$C, 0), MATCH(B564, CH4_Em!$E$1:$ZZ$1, 0))</f>
        <v>76.760999999999996</v>
      </c>
      <c r="F564">
        <f>INDEX(N2O_Em!$E:$ZZ, MATCH(A564, N2O_Em!$C:$C, 0), MATCH(B564, N2O_Em!$E$1:$ZZ$1, 0))</f>
        <v>25.587599999999998</v>
      </c>
      <c r="G564">
        <f>INDEX(CO2_Em!$E:$ZZ, MATCH(A564, CO2_Em!$C:$C, 0), MATCH(B564, CO2_Em!$E$1:$ZZ$1, 0))</f>
        <v>2.9123999999999999</v>
      </c>
      <c r="H564">
        <f>INDEX(Agri_VA!$E:$ZZ, MATCH(A564, Agri_VA!$C:$C, 0), MATCH(B564, Agri_VA!$E$1:$ZZ$1, 0))</f>
        <v>3.0920083867080459</v>
      </c>
      <c r="I564" s="6">
        <f>INDEX('Agri_land '!$E:$ZZ, MATCH(A564, 'Agri_land '!$C:$C, 0), MATCH(B564, 'Agri_land '!$E$1:$ZZ$1, 0))</f>
        <v>52.371202963039174</v>
      </c>
      <c r="J564">
        <f>INDEX(Cereal_Yield!$E:$ZZ, MATCH(A564, Cereal_Yield!$C:$C, 0), MATCH(B564, Cereal_Yield!$E$1:$ZZ$1, 0))</f>
        <v>3501.2</v>
      </c>
    </row>
    <row r="565" spans="1:10" x14ac:dyDescent="0.3">
      <c r="A565" t="s">
        <v>29</v>
      </c>
      <c r="B565" s="4">
        <v>2011</v>
      </c>
      <c r="C565" t="s">
        <v>49</v>
      </c>
      <c r="D565" s="8">
        <f>INDEX(GDP_pc!$E:$ZZ, MATCH(A565, GDP_pc!$C:$C, 0), MATCH(B565, GDP_pc!$E$1:$ZZ$1, 0))</f>
        <v>1229013703416.7583</v>
      </c>
      <c r="E565">
        <f>INDEX(CH4_Em!$E:$ZZ, MATCH(A565, CH4_Em!$C:$C, 0), MATCH(B565, CH4_Em!$E$1:$ZZ$1, 0))</f>
        <v>77.578599999999994</v>
      </c>
      <c r="F565">
        <f>INDEX(N2O_Em!$E:$ZZ, MATCH(A565, N2O_Em!$C:$C, 0), MATCH(B565, N2O_Em!$E$1:$ZZ$1, 0))</f>
        <v>25.505199999999999</v>
      </c>
      <c r="G565">
        <f>INDEX(CO2_Em!$E:$ZZ, MATCH(A565, CO2_Em!$C:$C, 0), MATCH(B565, CO2_Em!$E$1:$ZZ$1, 0))</f>
        <v>2.8956</v>
      </c>
      <c r="H565">
        <f>INDEX(Agri_VA!$E:$ZZ, MATCH(A565, Agri_VA!$C:$C, 0), MATCH(B565, Agri_VA!$E$1:$ZZ$1, 0))</f>
        <v>2.9756948396817817</v>
      </c>
      <c r="I565" s="6">
        <f>INDEX('Agri_land '!$E:$ZZ, MATCH(A565, 'Agri_land '!$C:$C, 0), MATCH(B565, 'Agri_land '!$E$1:$ZZ$1, 0))</f>
        <v>52.121710949355695</v>
      </c>
      <c r="J565">
        <f>INDEX(Cereal_Yield!$E:$ZZ, MATCH(A565, Cereal_Yield!$C:$C, 0), MATCH(B565, Cereal_Yield!$E$1:$ZZ$1, 0))</f>
        <v>3240.5</v>
      </c>
    </row>
    <row r="566" spans="1:10" x14ac:dyDescent="0.3">
      <c r="A566" t="s">
        <v>29</v>
      </c>
      <c r="B566" s="4">
        <v>2012</v>
      </c>
      <c r="C566" t="s">
        <v>49</v>
      </c>
      <c r="D566" s="8">
        <f>INDEX(GDP_pc!$E:$ZZ, MATCH(A566, GDP_pc!$C:$C, 0), MATCH(B566, GDP_pc!$E$1:$ZZ$1, 0))</f>
        <v>1255110424817.7866</v>
      </c>
      <c r="E566">
        <f>INDEX(CH4_Em!$E:$ZZ, MATCH(A566, CH4_Em!$C:$C, 0), MATCH(B566, CH4_Em!$E$1:$ZZ$1, 0))</f>
        <v>76.276200000000003</v>
      </c>
      <c r="F566">
        <f>INDEX(N2O_Em!$E:$ZZ, MATCH(A566, N2O_Em!$C:$C, 0), MATCH(B566, N2O_Em!$E$1:$ZZ$1, 0))</f>
        <v>25.578299999999999</v>
      </c>
      <c r="G566">
        <f>INDEX(CO2_Em!$E:$ZZ, MATCH(A566, CO2_Em!$C:$C, 0), MATCH(B566, CO2_Em!$E$1:$ZZ$1, 0))</f>
        <v>3.0444</v>
      </c>
      <c r="H566">
        <f>INDEX(Agri_VA!$E:$ZZ, MATCH(A566, Agri_VA!$C:$C, 0), MATCH(B566, Agri_VA!$E$1:$ZZ$1, 0))</f>
        <v>3.0487293714888803</v>
      </c>
      <c r="I566" s="6">
        <f>INDEX('Agri_land '!$E:$ZZ, MATCH(A566, 'Agri_land '!$C:$C, 0), MATCH(B566, 'Agri_land '!$E$1:$ZZ$1, 0))</f>
        <v>51.705033565678129</v>
      </c>
      <c r="J566">
        <f>INDEX(Cereal_Yield!$E:$ZZ, MATCH(A566, Cereal_Yield!$C:$C, 0), MATCH(B566, Cereal_Yield!$E$1:$ZZ$1, 0))</f>
        <v>3453.4</v>
      </c>
    </row>
    <row r="567" spans="1:10" x14ac:dyDescent="0.3">
      <c r="A567" t="s">
        <v>29</v>
      </c>
      <c r="B567" s="4">
        <v>2013</v>
      </c>
      <c r="C567" t="s">
        <v>49</v>
      </c>
      <c r="D567" s="8">
        <f>INDEX(GDP_pc!$E:$ZZ, MATCH(A567, GDP_pc!$C:$C, 0), MATCH(B567, GDP_pc!$E$1:$ZZ$1, 0))</f>
        <v>1327436290282.6748</v>
      </c>
      <c r="E567">
        <f>INDEX(CH4_Em!$E:$ZZ, MATCH(A567, CH4_Em!$C:$C, 0), MATCH(B567, CH4_Em!$E$1:$ZZ$1, 0))</f>
        <v>77.676500000000004</v>
      </c>
      <c r="F567">
        <f>INDEX(N2O_Em!$E:$ZZ, MATCH(A567, N2O_Em!$C:$C, 0), MATCH(B567, N2O_Em!$E$1:$ZZ$1, 0))</f>
        <v>27.518999999999998</v>
      </c>
      <c r="G567">
        <f>INDEX(CO2_Em!$E:$ZZ, MATCH(A567, CO2_Em!$C:$C, 0), MATCH(B567, CO2_Em!$E$1:$ZZ$1, 0))</f>
        <v>3.4335</v>
      </c>
      <c r="H567">
        <f>INDEX(Agri_VA!$E:$ZZ, MATCH(A567, Agri_VA!$C:$C, 0), MATCH(B567, Agri_VA!$E$1:$ZZ$1, 0))</f>
        <v>3.0245427757813514</v>
      </c>
      <c r="I567" s="6">
        <f>INDEX('Agri_land '!$E:$ZZ, MATCH(A567, 'Agri_land '!$C:$C, 0), MATCH(B567, 'Agri_land '!$E$1:$ZZ$1, 0))</f>
        <v>51.177242213019881</v>
      </c>
      <c r="J567">
        <f>INDEX(Cereal_Yield!$E:$ZZ, MATCH(A567, Cereal_Yield!$C:$C, 0), MATCH(B567, Cereal_Yield!$E$1:$ZZ$1, 0))</f>
        <v>3386.9</v>
      </c>
    </row>
    <row r="568" spans="1:10" x14ac:dyDescent="0.3">
      <c r="A568" t="s">
        <v>29</v>
      </c>
      <c r="B568" s="4">
        <v>2014</v>
      </c>
      <c r="C568" t="s">
        <v>49</v>
      </c>
      <c r="D568" s="8">
        <f>INDEX(GDP_pc!$E:$ZZ, MATCH(A568, GDP_pc!$C:$C, 0), MATCH(B568, GDP_pc!$E$1:$ZZ$1, 0))</f>
        <v>1364507717614.1343</v>
      </c>
      <c r="E568">
        <f>INDEX(CH4_Em!$E:$ZZ, MATCH(A568, CH4_Em!$C:$C, 0), MATCH(B568, CH4_Em!$E$1:$ZZ$1, 0))</f>
        <v>79.066900000000004</v>
      </c>
      <c r="F568">
        <f>INDEX(N2O_Em!$E:$ZZ, MATCH(A568, N2O_Em!$C:$C, 0), MATCH(B568, N2O_Em!$E$1:$ZZ$1, 0))</f>
        <v>27.875900000000001</v>
      </c>
      <c r="G568">
        <f>INDEX(CO2_Em!$E:$ZZ, MATCH(A568, CO2_Em!$C:$C, 0), MATCH(B568, CO2_Em!$E$1:$ZZ$1, 0))</f>
        <v>3.3668</v>
      </c>
      <c r="H568">
        <f>INDEX(Agri_VA!$E:$ZZ, MATCH(A568, Agri_VA!$C:$C, 0), MATCH(B568, Agri_VA!$E$1:$ZZ$1, 0))</f>
        <v>3.0271365185357304</v>
      </c>
      <c r="I568" s="6">
        <f>INDEX('Agri_land '!$E:$ZZ, MATCH(A568, 'Agri_land '!$C:$C, 0), MATCH(B568, 'Agri_land '!$E$1:$ZZ$1, 0))</f>
        <v>50.797602819002542</v>
      </c>
      <c r="J568">
        <f>INDEX(Cereal_Yield!$E:$ZZ, MATCH(A568, Cereal_Yield!$C:$C, 0), MATCH(B568, Cereal_Yield!$E$1:$ZZ$1, 0))</f>
        <v>3581.9</v>
      </c>
    </row>
    <row r="569" spans="1:10" x14ac:dyDescent="0.3">
      <c r="A569" t="s">
        <v>29</v>
      </c>
      <c r="B569" s="4">
        <v>2015</v>
      </c>
      <c r="C569" t="s">
        <v>49</v>
      </c>
      <c r="D569" s="8">
        <f>INDEX(GDP_pc!$E:$ZZ, MATCH(A569, GDP_pc!$C:$C, 0), MATCH(B569, GDP_pc!$E$1:$ZZ$1, 0))</f>
        <v>1213294467716.8804</v>
      </c>
      <c r="E569">
        <f>INDEX(CH4_Em!$E:$ZZ, MATCH(A569, CH4_Em!$C:$C, 0), MATCH(B569, CH4_Em!$E$1:$ZZ$1, 0))</f>
        <v>80.551699999999997</v>
      </c>
      <c r="F569">
        <f>INDEX(N2O_Em!$E:$ZZ, MATCH(A569, N2O_Em!$C:$C, 0), MATCH(B569, N2O_Em!$E$1:$ZZ$1, 0))</f>
        <v>27.3596</v>
      </c>
      <c r="G569">
        <f>INDEX(CO2_Em!$E:$ZZ, MATCH(A569, CO2_Em!$C:$C, 0), MATCH(B569, CO2_Em!$E$1:$ZZ$1, 0))</f>
        <v>3.0914999999999999</v>
      </c>
      <c r="H569">
        <f>INDEX(Agri_VA!$E:$ZZ, MATCH(A569, Agri_VA!$C:$C, 0), MATCH(B569, Agri_VA!$E$1:$ZZ$1, 0))</f>
        <v>3.0851863436742972</v>
      </c>
      <c r="I569" s="6">
        <f>INDEX('Agri_land '!$E:$ZZ, MATCH(A569, 'Agri_land '!$C:$C, 0), MATCH(B569, 'Agri_land '!$E$1:$ZZ$1, 0))</f>
        <v>50.762622495434549</v>
      </c>
      <c r="J569">
        <f>INDEX(Cereal_Yield!$E:$ZZ, MATCH(A569, Cereal_Yield!$C:$C, 0), MATCH(B569, Cereal_Yield!$E$1:$ZZ$1, 0))</f>
        <v>3470.1</v>
      </c>
    </row>
    <row r="570" spans="1:10" x14ac:dyDescent="0.3">
      <c r="A570" t="s">
        <v>29</v>
      </c>
      <c r="B570" s="4">
        <v>2016</v>
      </c>
      <c r="C570" t="s">
        <v>49</v>
      </c>
      <c r="D570" s="8">
        <f>INDEX(GDP_pc!$E:$ZZ, MATCH(A570, GDP_pc!$C:$C, 0), MATCH(B570, GDP_pc!$E$1:$ZZ$1, 0))</f>
        <v>1112233497452.6975</v>
      </c>
      <c r="E570">
        <f>INDEX(CH4_Em!$E:$ZZ, MATCH(A570, CH4_Em!$C:$C, 0), MATCH(B570, CH4_Em!$E$1:$ZZ$1, 0))</f>
        <v>81.361900000000006</v>
      </c>
      <c r="F570">
        <f>INDEX(N2O_Em!$E:$ZZ, MATCH(A570, N2O_Em!$C:$C, 0), MATCH(B570, N2O_Em!$E$1:$ZZ$1, 0))</f>
        <v>29.1952</v>
      </c>
      <c r="G570">
        <f>INDEX(CO2_Em!$E:$ZZ, MATCH(A570, CO2_Em!$C:$C, 0), MATCH(B570, CO2_Em!$E$1:$ZZ$1, 0))</f>
        <v>3.1865999999999999</v>
      </c>
      <c r="H570">
        <f>INDEX(Agri_VA!$E:$ZZ, MATCH(A570, Agri_VA!$C:$C, 0), MATCH(B570, Agri_VA!$E$1:$ZZ$1, 0))</f>
        <v>3.2462890783796992</v>
      </c>
      <c r="I570" s="6">
        <f>INDEX('Agri_land '!$E:$ZZ, MATCH(A570, 'Agri_land '!$C:$C, 0), MATCH(B570, 'Agri_land '!$E$1:$ZZ$1, 0))</f>
        <v>50.586692044548478</v>
      </c>
      <c r="J570">
        <f>INDEX(Cereal_Yield!$E:$ZZ, MATCH(A570, Cereal_Yield!$C:$C, 0), MATCH(B570, Cereal_Yield!$E$1:$ZZ$1, 0))</f>
        <v>3748.8</v>
      </c>
    </row>
    <row r="571" spans="1:10" x14ac:dyDescent="0.3">
      <c r="A571" t="s">
        <v>29</v>
      </c>
      <c r="B571" s="4">
        <v>2017</v>
      </c>
      <c r="C571" t="s">
        <v>49</v>
      </c>
      <c r="D571" s="8">
        <f>INDEX(GDP_pc!$E:$ZZ, MATCH(A571, GDP_pc!$C:$C, 0), MATCH(B571, GDP_pc!$E$1:$ZZ$1, 0))</f>
        <v>1190721475906</v>
      </c>
      <c r="E571">
        <f>INDEX(CH4_Em!$E:$ZZ, MATCH(A571, CH4_Em!$C:$C, 0), MATCH(B571, CH4_Em!$E$1:$ZZ$1, 0))</f>
        <v>82.408699999999996</v>
      </c>
      <c r="F571">
        <f>INDEX(N2O_Em!$E:$ZZ, MATCH(A571, N2O_Em!$C:$C, 0), MATCH(B571, N2O_Em!$E$1:$ZZ$1, 0))</f>
        <v>28.974799999999998</v>
      </c>
      <c r="G571">
        <f>INDEX(CO2_Em!$E:$ZZ, MATCH(A571, CO2_Em!$C:$C, 0), MATCH(B571, CO2_Em!$E$1:$ZZ$1, 0))</f>
        <v>2.7616000000000001</v>
      </c>
      <c r="H571">
        <f>INDEX(Agri_VA!$E:$ZZ, MATCH(A571, Agri_VA!$C:$C, 0), MATCH(B571, Agri_VA!$E$1:$ZZ$1, 0))</f>
        <v>3.2975117757527546</v>
      </c>
      <c r="I571" s="6">
        <f>INDEX('Agri_land '!$E:$ZZ, MATCH(A571, 'Agri_land '!$C:$C, 0), MATCH(B571, 'Agri_land '!$E$1:$ZZ$1, 0))</f>
        <v>49.870624244450731</v>
      </c>
      <c r="J571">
        <f>INDEX(Cereal_Yield!$E:$ZZ, MATCH(A571, Cereal_Yield!$C:$C, 0), MATCH(B571, Cereal_Yield!$E$1:$ZZ$1, 0))</f>
        <v>3799.7</v>
      </c>
    </row>
    <row r="572" spans="1:10" x14ac:dyDescent="0.3">
      <c r="A572" t="s">
        <v>29</v>
      </c>
      <c r="B572" s="4">
        <v>2018</v>
      </c>
      <c r="C572" t="s">
        <v>49</v>
      </c>
      <c r="D572" s="8">
        <f>INDEX(GDP_pc!$E:$ZZ, MATCH(A572, GDP_pc!$C:$C, 0), MATCH(B572, GDP_pc!$E$1:$ZZ$1, 0))</f>
        <v>1256300182879.7263</v>
      </c>
      <c r="E572">
        <f>INDEX(CH4_Em!$E:$ZZ, MATCH(A572, CH4_Em!$C:$C, 0), MATCH(B572, CH4_Em!$E$1:$ZZ$1, 0))</f>
        <v>83.541700000000006</v>
      </c>
      <c r="F572">
        <f>INDEX(N2O_Em!$E:$ZZ, MATCH(A572, N2O_Em!$C:$C, 0), MATCH(B572, N2O_Em!$E$1:$ZZ$1, 0))</f>
        <v>29.237400000000001</v>
      </c>
      <c r="G572">
        <f>INDEX(CO2_Em!$E:$ZZ, MATCH(A572, CO2_Em!$C:$C, 0), MATCH(B572, CO2_Em!$E$1:$ZZ$1, 0))</f>
        <v>2.6265000000000001</v>
      </c>
      <c r="H572">
        <f>INDEX(Agri_VA!$E:$ZZ, MATCH(A572, Agri_VA!$C:$C, 0), MATCH(B572, Agri_VA!$E$1:$ZZ$1, 0))</f>
        <v>3.2969594527260027</v>
      </c>
      <c r="I572" s="6">
        <f>INDEX('Agri_land '!$E:$ZZ, MATCH(A572, 'Agri_land '!$C:$C, 0), MATCH(B572, 'Agri_land '!$E$1:$ZZ$1, 0))</f>
        <v>49.649425139535481</v>
      </c>
      <c r="J572">
        <f>INDEX(Cereal_Yield!$E:$ZZ, MATCH(A572, Cereal_Yield!$C:$C, 0), MATCH(B572, Cereal_Yield!$E$1:$ZZ$1, 0))</f>
        <v>3826.3</v>
      </c>
    </row>
    <row r="573" spans="1:10" x14ac:dyDescent="0.3">
      <c r="A573" t="s">
        <v>29</v>
      </c>
      <c r="B573" s="4">
        <v>2019</v>
      </c>
      <c r="C573" t="s">
        <v>49</v>
      </c>
      <c r="D573" s="8">
        <f>INDEX(GDP_pc!$E:$ZZ, MATCH(A573, GDP_pc!$C:$C, 0), MATCH(B573, GDP_pc!$E$1:$ZZ$1, 0))</f>
        <v>1304106203902.4519</v>
      </c>
      <c r="E573">
        <f>INDEX(CH4_Em!$E:$ZZ, MATCH(A573, CH4_Em!$C:$C, 0), MATCH(B573, CH4_Em!$E$1:$ZZ$1, 0))</f>
        <v>84.468100000000007</v>
      </c>
      <c r="F573">
        <f>INDEX(N2O_Em!$E:$ZZ, MATCH(A573, N2O_Em!$C:$C, 0), MATCH(B573, N2O_Em!$E$1:$ZZ$1, 0))</f>
        <v>28.8598</v>
      </c>
      <c r="G573">
        <f>INDEX(CO2_Em!$E:$ZZ, MATCH(A573, CO2_Em!$C:$C, 0), MATCH(B573, CO2_Em!$E$1:$ZZ$1, 0))</f>
        <v>2.5564</v>
      </c>
      <c r="H573">
        <f>INDEX(Agri_VA!$E:$ZZ, MATCH(A573, Agri_VA!$C:$C, 0), MATCH(B573, Agri_VA!$E$1:$ZZ$1, 0))</f>
        <v>3.3150244018484467</v>
      </c>
      <c r="I573" s="6">
        <f>INDEX('Agri_land '!$E:$ZZ, MATCH(A573, 'Agri_land '!$C:$C, 0), MATCH(B573, 'Agri_land '!$E$1:$ZZ$1, 0))</f>
        <v>49.438514365081403</v>
      </c>
      <c r="J573">
        <f>INDEX(Cereal_Yield!$E:$ZZ, MATCH(A573, Cereal_Yield!$C:$C, 0), MATCH(B573, Cereal_Yield!$E$1:$ZZ$1, 0))</f>
        <v>3992.4</v>
      </c>
    </row>
    <row r="574" spans="1:10" x14ac:dyDescent="0.3">
      <c r="A574" t="s">
        <v>29</v>
      </c>
      <c r="B574" s="4">
        <v>2020</v>
      </c>
      <c r="C574" t="s">
        <v>49</v>
      </c>
      <c r="D574" s="8">
        <f>INDEX(GDP_pc!$E:$ZZ, MATCH(A574, GDP_pc!$C:$C, 0), MATCH(B574, GDP_pc!$E$1:$ZZ$1, 0))</f>
        <v>1121064767308.4233</v>
      </c>
      <c r="E574">
        <f>INDEX(CH4_Em!$E:$ZZ, MATCH(A574, CH4_Em!$C:$C, 0), MATCH(B574, CH4_Em!$E$1:$ZZ$1, 0))</f>
        <v>85.466399999999993</v>
      </c>
      <c r="F574">
        <f>INDEX(N2O_Em!$E:$ZZ, MATCH(A574, N2O_Em!$C:$C, 0), MATCH(B574, N2O_Em!$E$1:$ZZ$1, 0))</f>
        <v>30.068000000000001</v>
      </c>
      <c r="G574">
        <f>INDEX(CO2_Em!$E:$ZZ, MATCH(A574, CO2_Em!$C:$C, 0), MATCH(B574, CO2_Em!$E$1:$ZZ$1, 0))</f>
        <v>2.7429999999999999</v>
      </c>
      <c r="H574">
        <f>INDEX(Agri_VA!$E:$ZZ, MATCH(A574, Agri_VA!$C:$C, 0), MATCH(B574, Agri_VA!$E$1:$ZZ$1, 0))</f>
        <v>3.7111488823617194</v>
      </c>
      <c r="I574" s="6">
        <f>INDEX('Agri_land '!$E:$ZZ, MATCH(A574, 'Agri_land '!$C:$C, 0), MATCH(B574, 'Agri_land '!$E$1:$ZZ$1, 0))</f>
        <v>51.514944108644769</v>
      </c>
      <c r="J574">
        <f>INDEX(Cereal_Yield!$E:$ZZ, MATCH(A574, Cereal_Yield!$C:$C, 0), MATCH(B574, Cereal_Yield!$E$1:$ZZ$1, 0))</f>
        <v>3806.5</v>
      </c>
    </row>
    <row r="575" spans="1:10" x14ac:dyDescent="0.3">
      <c r="A575" t="s">
        <v>29</v>
      </c>
      <c r="B575" s="4">
        <v>2021</v>
      </c>
      <c r="C575" t="s">
        <v>49</v>
      </c>
      <c r="D575" s="8">
        <f>INDEX(GDP_pc!$E:$ZZ, MATCH(A575, GDP_pc!$C:$C, 0), MATCH(B575, GDP_pc!$E$1:$ZZ$1, 0))</f>
        <v>1316569466685.9507</v>
      </c>
      <c r="E575">
        <f>INDEX(CH4_Em!$E:$ZZ, MATCH(A575, CH4_Em!$C:$C, 0), MATCH(B575, CH4_Em!$E$1:$ZZ$1, 0))</f>
        <v>86.264399999999995</v>
      </c>
      <c r="F575">
        <f>INDEX(N2O_Em!$E:$ZZ, MATCH(A575, N2O_Em!$C:$C, 0), MATCH(B575, N2O_Em!$E$1:$ZZ$1, 0))</f>
        <v>30.145199999999999</v>
      </c>
      <c r="G575">
        <f>INDEX(CO2_Em!$E:$ZZ, MATCH(A575, CO2_Em!$C:$C, 0), MATCH(B575, CO2_Em!$E$1:$ZZ$1, 0))</f>
        <v>2.8075999999999999</v>
      </c>
      <c r="H575">
        <f>INDEX(Agri_VA!$E:$ZZ, MATCH(A575, Agri_VA!$C:$C, 0), MATCH(B575, Agri_VA!$E$1:$ZZ$1, 0))</f>
        <v>3.7826652875829416</v>
      </c>
      <c r="I575" s="6">
        <f>INDEX('Agri_land '!$E:$ZZ, MATCH(A575, 'Agri_land '!$C:$C, 0), MATCH(B575, 'Agri_land '!$E$1:$ZZ$1, 0))</f>
        <v>51.506407829419473</v>
      </c>
      <c r="J575">
        <f>INDEX(Cereal_Yield!$E:$ZZ, MATCH(A575, Cereal_Yield!$C:$C, 0), MATCH(B575, Cereal_Yield!$E$1:$ZZ$1, 0))</f>
        <v>3878.9</v>
      </c>
    </row>
    <row r="576" spans="1:10" x14ac:dyDescent="0.3">
      <c r="A576" t="s">
        <v>29</v>
      </c>
      <c r="B576" s="4">
        <v>2022</v>
      </c>
      <c r="C576" t="s">
        <v>49</v>
      </c>
      <c r="D576" s="8">
        <f>INDEX(GDP_pc!$E:$ZZ, MATCH(A576, GDP_pc!$C:$C, 0), MATCH(B576, GDP_pc!$E$1:$ZZ$1, 0))</f>
        <v>1466934724293.064</v>
      </c>
      <c r="E576">
        <f>INDEX(CH4_Em!$E:$ZZ, MATCH(A576, CH4_Em!$C:$C, 0), MATCH(B576, CH4_Em!$E$1:$ZZ$1, 0))</f>
        <v>87.009399999999999</v>
      </c>
      <c r="F576">
        <f>INDEX(N2O_Em!$E:$ZZ, MATCH(A576, N2O_Em!$C:$C, 0), MATCH(B576, N2O_Em!$E$1:$ZZ$1, 0))</f>
        <v>29.397099999999998</v>
      </c>
      <c r="G576">
        <f>INDEX(CO2_Em!$E:$ZZ, MATCH(A576, CO2_Em!$C:$C, 0), MATCH(B576, CO2_Em!$E$1:$ZZ$1, 0))</f>
        <v>2.5007000000000001</v>
      </c>
      <c r="H576">
        <f>INDEX(Agri_VA!$E:$ZZ, MATCH(A576, Agri_VA!$C:$C, 0), MATCH(B576, Agri_VA!$E$1:$ZZ$1, 0))</f>
        <v>3.898065709707859</v>
      </c>
      <c r="I576" s="6">
        <f>INDEX('Agri_land '!$E:$ZZ, MATCH(A576, 'Agri_land '!$C:$C, 0), MATCH(B576, 'Agri_land '!$E$1:$ZZ$1, 0))</f>
        <v>50.870122688340743</v>
      </c>
      <c r="J576">
        <f>INDEX(Cereal_Yield!$E:$ZZ, MATCH(A576, Cereal_Yield!$C:$C, 0), MATCH(B576, Cereal_Yield!$E$1:$ZZ$1, 0))</f>
        <v>3950.2</v>
      </c>
    </row>
    <row r="577" spans="1:10" x14ac:dyDescent="0.3">
      <c r="A577" t="s">
        <v>29</v>
      </c>
      <c r="B577" s="4">
        <v>2023</v>
      </c>
      <c r="C577" t="s">
        <v>49</v>
      </c>
      <c r="D577" s="8">
        <f>INDEX(GDP_pc!$E:$ZZ, MATCH(A577, GDP_pc!$C:$C, 0), MATCH(B577, GDP_pc!$E$1:$ZZ$1, 0))</f>
        <v>1798317581486.8833</v>
      </c>
      <c r="E577">
        <f>INDEX(CH4_Em!$E:$ZZ, MATCH(A577, CH4_Em!$C:$C, 0), MATCH(B577, CH4_Em!$E$1:$ZZ$1, 0))</f>
        <v>87.6935</v>
      </c>
      <c r="F577">
        <f>INDEX(N2O_Em!$E:$ZZ, MATCH(A577, N2O_Em!$C:$C, 0), MATCH(B577, N2O_Em!$E$1:$ZZ$1, 0))</f>
        <v>29.450900000000001</v>
      </c>
      <c r="G577">
        <f>INDEX(CO2_Em!$E:$ZZ, MATCH(A577, CO2_Em!$C:$C, 0), MATCH(B577, CO2_Em!$E$1:$ZZ$1, 0))</f>
        <v>2.4712999999999998</v>
      </c>
      <c r="H577">
        <f>INDEX(Agri_VA!$E:$ZZ, MATCH(A577, Agri_VA!$C:$C, 0), MATCH(B577, Agri_VA!$E$1:$ZZ$1, 0))</f>
        <v>3.8375497479251299</v>
      </c>
      <c r="I577" s="6">
        <f>INDEX('Agri_land '!$E:$ZZ, MATCH(A577, 'Agri_land '!$C:$C, 0), MATCH(B577, 'Agri_land '!$E$1:$ZZ$1, 0))</f>
        <v>50.693387998662509</v>
      </c>
      <c r="J577">
        <f>INDEX(Cereal_Yield!$E:$ZZ, MATCH(A577, Cereal_Yield!$C:$C, 0), MATCH(B577, Cereal_Yield!$E$1:$ZZ$1, 0))</f>
        <v>4262.2</v>
      </c>
    </row>
    <row r="578" spans="1:10" x14ac:dyDescent="0.3">
      <c r="A578" t="s">
        <v>30</v>
      </c>
      <c r="B578" s="4">
        <v>2000</v>
      </c>
      <c r="C578" t="s">
        <v>49</v>
      </c>
      <c r="D578" s="8">
        <f>INDEX(GDP_pc!$E:$ZZ, MATCH(A578, GDP_pc!$C:$C, 0), MATCH(B578, GDP_pc!$E$1:$ZZ$1, 0))</f>
        <v>417649282153.72638</v>
      </c>
      <c r="E578">
        <f>INDEX(CH4_Em!$E:$ZZ, MATCH(A578, CH4_Em!$C:$C, 0), MATCH(B578, CH4_Em!$E$1:$ZZ$1, 0))</f>
        <v>13.580399999999999</v>
      </c>
      <c r="F578">
        <f>INDEX(N2O_Em!$E:$ZZ, MATCH(A578, N2O_Em!$C:$C, 0), MATCH(B578, N2O_Em!$E$1:$ZZ$1, 0))</f>
        <v>6.3883999999999999</v>
      </c>
      <c r="G578">
        <f>INDEX(CO2_Em!$E:$ZZ, MATCH(A578, CO2_Em!$C:$C, 0), MATCH(B578, CO2_Em!$E$1:$ZZ$1, 0))</f>
        <v>4.87E-2</v>
      </c>
      <c r="H578">
        <f>INDEX(Agri_VA!$E:$ZZ, MATCH(A578, Agri_VA!$C:$C, 0), MATCH(B578, Agri_VA!$E$1:$ZZ$1, 0))</f>
        <v>2.3107492188035588</v>
      </c>
      <c r="I578" s="6">
        <f>INDEX('Agri_land '!$E:$ZZ, MATCH(A578, 'Agri_land '!$C:$C, 0), MATCH(B578, 'Agri_land '!$E$1:$ZZ$1, 0))</f>
        <v>58.045023696682463</v>
      </c>
      <c r="J578">
        <f>INDEX(Cereal_Yield!$E:$ZZ, MATCH(A578, Cereal_Yield!$C:$C, 0), MATCH(B578, Cereal_Yield!$E$1:$ZZ$1, 0))</f>
        <v>7905.5</v>
      </c>
    </row>
    <row r="579" spans="1:10" x14ac:dyDescent="0.3">
      <c r="A579" t="s">
        <v>30</v>
      </c>
      <c r="B579" s="4">
        <v>2001</v>
      </c>
      <c r="C579" t="s">
        <v>49</v>
      </c>
      <c r="D579" s="8">
        <f>INDEX(GDP_pc!$E:$ZZ, MATCH(A579, GDP_pc!$C:$C, 0), MATCH(B579, GDP_pc!$E$1:$ZZ$1, 0))</f>
        <v>432536219668.89819</v>
      </c>
      <c r="E579">
        <f>INDEX(CH4_Em!$E:$ZZ, MATCH(A579, CH4_Em!$C:$C, 0), MATCH(B579, CH4_Em!$E$1:$ZZ$1, 0))</f>
        <v>13.341799999999999</v>
      </c>
      <c r="F579">
        <f>INDEX(N2O_Em!$E:$ZZ, MATCH(A579, N2O_Em!$C:$C, 0), MATCH(B579, N2O_Em!$E$1:$ZZ$1, 0))</f>
        <v>6.3162000000000003</v>
      </c>
      <c r="G579">
        <f>INDEX(CO2_Em!$E:$ZZ, MATCH(A579, CO2_Em!$C:$C, 0), MATCH(B579, CO2_Em!$E$1:$ZZ$1, 0))</f>
        <v>3.8199999999999998E-2</v>
      </c>
      <c r="H579">
        <f>INDEX(Agri_VA!$E:$ZZ, MATCH(A579, Agri_VA!$C:$C, 0), MATCH(B579, Agri_VA!$E$1:$ZZ$1, 0))</f>
        <v>2.235469757175307</v>
      </c>
      <c r="I579" s="6">
        <f>INDEX('Agri_land '!$E:$ZZ, MATCH(A579, 'Agri_land '!$C:$C, 0), MATCH(B579, 'Agri_land '!$E$1:$ZZ$1, 0))</f>
        <v>56.952014218009481</v>
      </c>
      <c r="J579">
        <f>INDEX(Cereal_Yield!$E:$ZZ, MATCH(A579, Cereal_Yield!$C:$C, 0), MATCH(B579, Cereal_Yield!$E$1:$ZZ$1, 0))</f>
        <v>7280.5</v>
      </c>
    </row>
    <row r="580" spans="1:10" x14ac:dyDescent="0.3">
      <c r="A580" t="s">
        <v>30</v>
      </c>
      <c r="B580" s="4">
        <v>2002</v>
      </c>
      <c r="C580" t="s">
        <v>49</v>
      </c>
      <c r="D580" s="8">
        <f>INDEX(GDP_pc!$E:$ZZ, MATCH(A580, GDP_pc!$C:$C, 0), MATCH(B580, GDP_pc!$E$1:$ZZ$1, 0))</f>
        <v>475529972122.74597</v>
      </c>
      <c r="E580">
        <f>INDEX(CH4_Em!$E:$ZZ, MATCH(A580, CH4_Em!$C:$C, 0), MATCH(B580, CH4_Em!$E$1:$ZZ$1, 0))</f>
        <v>12.769500000000001</v>
      </c>
      <c r="F580">
        <f>INDEX(N2O_Em!$E:$ZZ, MATCH(A580, N2O_Em!$C:$C, 0), MATCH(B580, N2O_Em!$E$1:$ZZ$1, 0))</f>
        <v>6.1207000000000003</v>
      </c>
      <c r="G580">
        <f>INDEX(CO2_Em!$E:$ZZ, MATCH(A580, CO2_Em!$C:$C, 0), MATCH(B580, CO2_Em!$E$1:$ZZ$1, 0))</f>
        <v>2.6700000000000002E-2</v>
      </c>
      <c r="H580">
        <f>INDEX(Agri_VA!$E:$ZZ, MATCH(A580, Agri_VA!$C:$C, 0), MATCH(B580, Agri_VA!$E$1:$ZZ$1, 0))</f>
        <v>2.0874883923475993</v>
      </c>
      <c r="I580" s="6">
        <f>INDEX('Agri_land '!$E:$ZZ, MATCH(A580, 'Agri_land '!$C:$C, 0), MATCH(B580, 'Agri_land '!$E$1:$ZZ$1, 0))</f>
        <v>57.467417061611371</v>
      </c>
      <c r="J580">
        <f>INDEX(Cereal_Yield!$E:$ZZ, MATCH(A580, Cereal_Yield!$C:$C, 0), MATCH(B580, Cereal_Yield!$E$1:$ZZ$1, 0))</f>
        <v>7313.9</v>
      </c>
    </row>
    <row r="581" spans="1:10" x14ac:dyDescent="0.3">
      <c r="A581" t="s">
        <v>30</v>
      </c>
      <c r="B581" s="4">
        <v>2003</v>
      </c>
      <c r="C581" t="s">
        <v>49</v>
      </c>
      <c r="D581" s="8">
        <f>INDEX(GDP_pc!$E:$ZZ, MATCH(A581, GDP_pc!$C:$C, 0), MATCH(B581, GDP_pc!$E$1:$ZZ$1, 0))</f>
        <v>582435617081.95959</v>
      </c>
      <c r="E581">
        <f>INDEX(CH4_Em!$E:$ZZ, MATCH(A581, CH4_Em!$C:$C, 0), MATCH(B581, CH4_Em!$E$1:$ZZ$1, 0))</f>
        <v>12.453799999999999</v>
      </c>
      <c r="F581">
        <f>INDEX(N2O_Em!$E:$ZZ, MATCH(A581, N2O_Em!$C:$C, 0), MATCH(B581, N2O_Em!$E$1:$ZZ$1, 0))</f>
        <v>5.9179000000000004</v>
      </c>
      <c r="G581">
        <f>INDEX(CO2_Em!$E:$ZZ, MATCH(A581, CO2_Em!$C:$C, 0), MATCH(B581, CO2_Em!$E$1:$ZZ$1, 0))</f>
        <v>2.6700000000000002E-2</v>
      </c>
      <c r="H581">
        <f>INDEX(Agri_VA!$E:$ZZ, MATCH(A581, Agri_VA!$C:$C, 0), MATCH(B581, Agri_VA!$E$1:$ZZ$1, 0))</f>
        <v>2.0677761356066506</v>
      </c>
      <c r="I581" s="6">
        <f>INDEX('Agri_land '!$E:$ZZ, MATCH(A581, 'Agri_land '!$C:$C, 0), MATCH(B581, 'Agri_land '!$E$1:$ZZ$1, 0))</f>
        <v>56.685426540284354</v>
      </c>
      <c r="J581">
        <f>INDEX(Cereal_Yield!$E:$ZZ, MATCH(A581, Cereal_Yield!$C:$C, 0), MATCH(B581, Cereal_Yield!$E$1:$ZZ$1, 0))</f>
        <v>7956.8</v>
      </c>
    </row>
    <row r="582" spans="1:10" x14ac:dyDescent="0.3">
      <c r="A582" t="s">
        <v>30</v>
      </c>
      <c r="B582" s="4">
        <v>2004</v>
      </c>
      <c r="C582" t="s">
        <v>49</v>
      </c>
      <c r="D582" s="8">
        <f>INDEX(GDP_pc!$E:$ZZ, MATCH(A582, GDP_pc!$C:$C, 0), MATCH(B582, GDP_pc!$E$1:$ZZ$1, 0))</f>
        <v>661224886143.245</v>
      </c>
      <c r="E582">
        <f>INDEX(CH4_Em!$E:$ZZ, MATCH(A582, CH4_Em!$C:$C, 0), MATCH(B582, CH4_Em!$E$1:$ZZ$1, 0))</f>
        <v>12.363099999999999</v>
      </c>
      <c r="F582">
        <f>INDEX(N2O_Em!$E:$ZZ, MATCH(A582, N2O_Em!$C:$C, 0), MATCH(B582, N2O_Em!$E$1:$ZZ$1, 0))</f>
        <v>5.8898000000000001</v>
      </c>
      <c r="G582">
        <f>INDEX(CO2_Em!$E:$ZZ, MATCH(A582, CO2_Em!$C:$C, 0), MATCH(B582, CO2_Em!$E$1:$ZZ$1, 0))</f>
        <v>3.2000000000000001E-2</v>
      </c>
      <c r="H582">
        <f>INDEX(Agri_VA!$E:$ZZ, MATCH(A582, Agri_VA!$C:$C, 0), MATCH(B582, Agri_VA!$E$1:$ZZ$1, 0))</f>
        <v>1.874624933922528</v>
      </c>
      <c r="I582" s="6">
        <f>INDEX('Agri_land '!$E:$ZZ, MATCH(A582, 'Agri_land '!$C:$C, 0), MATCH(B582, 'Agri_land '!$E$1:$ZZ$1, 0))</f>
        <v>57.742890995260666</v>
      </c>
      <c r="J582">
        <f>INDEX(Cereal_Yield!$E:$ZZ, MATCH(A582, Cereal_Yield!$C:$C, 0), MATCH(B582, Cereal_Yield!$E$1:$ZZ$1, 0))</f>
        <v>8066.3</v>
      </c>
    </row>
    <row r="583" spans="1:10" x14ac:dyDescent="0.3">
      <c r="A583" t="s">
        <v>30</v>
      </c>
      <c r="B583" s="4">
        <v>2005</v>
      </c>
      <c r="C583" t="s">
        <v>49</v>
      </c>
      <c r="D583" s="8">
        <f>INDEX(GDP_pc!$E:$ZZ, MATCH(A583, GDP_pc!$C:$C, 0), MATCH(B583, GDP_pc!$E$1:$ZZ$1, 0))</f>
        <v>688133699635.79736</v>
      </c>
      <c r="E583">
        <f>INDEX(CH4_Em!$E:$ZZ, MATCH(A583, CH4_Em!$C:$C, 0), MATCH(B583, CH4_Em!$E$1:$ZZ$1, 0))</f>
        <v>12.412000000000001</v>
      </c>
      <c r="F583">
        <f>INDEX(N2O_Em!$E:$ZZ, MATCH(A583, N2O_Em!$C:$C, 0), MATCH(B583, N2O_Em!$E$1:$ZZ$1, 0))</f>
        <v>5.8971</v>
      </c>
      <c r="G583">
        <f>INDEX(CO2_Em!$E:$ZZ, MATCH(A583, CO2_Em!$C:$C, 0), MATCH(B583, CO2_Em!$E$1:$ZZ$1, 0))</f>
        <v>2.6700000000000002E-2</v>
      </c>
      <c r="H583">
        <f>INDEX(Agri_VA!$E:$ZZ, MATCH(A583, Agri_VA!$C:$C, 0), MATCH(B583, Agri_VA!$E$1:$ZZ$1, 0))</f>
        <v>1.8711965895408245</v>
      </c>
      <c r="I583" s="6">
        <f>INDEX('Agri_land '!$E:$ZZ, MATCH(A583, 'Agri_land '!$C:$C, 0), MATCH(B583, 'Agri_land '!$E$1:$ZZ$1, 0))</f>
        <v>57.396327014218009</v>
      </c>
      <c r="J583">
        <f>INDEX(Cereal_Yield!$E:$ZZ, MATCH(A583, Cereal_Yield!$C:$C, 0), MATCH(B583, Cereal_Yield!$E$1:$ZZ$1, 0))</f>
        <v>7879.7</v>
      </c>
    </row>
    <row r="584" spans="1:10" x14ac:dyDescent="0.3">
      <c r="A584" t="s">
        <v>30</v>
      </c>
      <c r="B584" s="4">
        <v>2006</v>
      </c>
      <c r="C584" t="s">
        <v>49</v>
      </c>
      <c r="D584" s="8">
        <f>INDEX(GDP_pc!$E:$ZZ, MATCH(A584, GDP_pc!$C:$C, 0), MATCH(B584, GDP_pc!$E$1:$ZZ$1, 0))</f>
        <v>737593995289.41077</v>
      </c>
      <c r="E584">
        <f>INDEX(CH4_Em!$E:$ZZ, MATCH(A584, CH4_Em!$C:$C, 0), MATCH(B584, CH4_Em!$E$1:$ZZ$1, 0))</f>
        <v>12.1235</v>
      </c>
      <c r="F584">
        <f>INDEX(N2O_Em!$E:$ZZ, MATCH(A584, N2O_Em!$C:$C, 0), MATCH(B584, N2O_Em!$E$1:$ZZ$1, 0))</f>
        <v>5.8357999999999999</v>
      </c>
      <c r="G584">
        <f>INDEX(CO2_Em!$E:$ZZ, MATCH(A584, CO2_Em!$C:$C, 0), MATCH(B584, CO2_Em!$E$1:$ZZ$1, 0))</f>
        <v>2.46E-2</v>
      </c>
      <c r="H584">
        <f>INDEX(Agri_VA!$E:$ZZ, MATCH(A584, Agri_VA!$C:$C, 0), MATCH(B584, Agri_VA!$E$1:$ZZ$1, 0))</f>
        <v>1.9598463853575832</v>
      </c>
      <c r="I584" s="6">
        <f>INDEX('Agri_land '!$E:$ZZ, MATCH(A584, 'Agri_land '!$C:$C, 0), MATCH(B584, 'Agri_land '!$E$1:$ZZ$1, 0))</f>
        <v>56.860189573459721</v>
      </c>
      <c r="J584">
        <f>INDEX(Cereal_Yield!$E:$ZZ, MATCH(A584, Cereal_Yield!$C:$C, 0), MATCH(B584, Cereal_Yield!$E$1:$ZZ$1, 0))</f>
        <v>7854.2</v>
      </c>
    </row>
    <row r="585" spans="1:10" x14ac:dyDescent="0.3">
      <c r="A585" t="s">
        <v>30</v>
      </c>
      <c r="B585" s="4">
        <v>2007</v>
      </c>
      <c r="C585" t="s">
        <v>49</v>
      </c>
      <c r="D585" s="8">
        <f>INDEX(GDP_pc!$E:$ZZ, MATCH(A585, GDP_pc!$C:$C, 0), MATCH(B585, GDP_pc!$E$1:$ZZ$1, 0))</f>
        <v>853499460872.55176</v>
      </c>
      <c r="E585">
        <f>INDEX(CH4_Em!$E:$ZZ, MATCH(A585, CH4_Em!$C:$C, 0), MATCH(B585, CH4_Em!$E$1:$ZZ$1, 0))</f>
        <v>12.2834</v>
      </c>
      <c r="F585">
        <f>INDEX(N2O_Em!$E:$ZZ, MATCH(A585, N2O_Em!$C:$C, 0), MATCH(B585, N2O_Em!$E$1:$ZZ$1, 0))</f>
        <v>5.9358000000000004</v>
      </c>
      <c r="G585">
        <f>INDEX(CO2_Em!$E:$ZZ, MATCH(A585, CO2_Em!$C:$C, 0), MATCH(B585, CO2_Em!$E$1:$ZZ$1, 0))</f>
        <v>4.1399999999999999E-2</v>
      </c>
      <c r="H585">
        <f>INDEX(Agri_VA!$E:$ZZ, MATCH(A585, Agri_VA!$C:$C, 0), MATCH(B585, Agri_VA!$E$1:$ZZ$1, 0))</f>
        <v>1.8318012123158443</v>
      </c>
      <c r="I585" s="6">
        <f>INDEX('Agri_land '!$E:$ZZ, MATCH(A585, 'Agri_land '!$C:$C, 0), MATCH(B585, 'Agri_land '!$E$1:$ZZ$1, 0))</f>
        <v>56.706161137440759</v>
      </c>
      <c r="J585">
        <f>INDEX(Cereal_Yield!$E:$ZZ, MATCH(A585, Cereal_Yield!$C:$C, 0), MATCH(B585, Cereal_Yield!$E$1:$ZZ$1, 0))</f>
        <v>7289.7</v>
      </c>
    </row>
    <row r="586" spans="1:10" x14ac:dyDescent="0.3">
      <c r="A586" t="s">
        <v>30</v>
      </c>
      <c r="B586" s="4">
        <v>2008</v>
      </c>
      <c r="C586" t="s">
        <v>49</v>
      </c>
      <c r="D586" s="8">
        <f>INDEX(GDP_pc!$E:$ZZ, MATCH(A586, GDP_pc!$C:$C, 0), MATCH(B586, GDP_pc!$E$1:$ZZ$1, 0))</f>
        <v>957901566041.40601</v>
      </c>
      <c r="E586">
        <f>INDEX(CH4_Em!$E:$ZZ, MATCH(A586, CH4_Em!$C:$C, 0), MATCH(B586, CH4_Em!$E$1:$ZZ$1, 0))</f>
        <v>12.8134</v>
      </c>
      <c r="F586">
        <f>INDEX(N2O_Em!$E:$ZZ, MATCH(A586, N2O_Em!$C:$C, 0), MATCH(B586, N2O_Em!$E$1:$ZZ$1, 0))</f>
        <v>5.9741999999999997</v>
      </c>
      <c r="G586">
        <f>INDEX(CO2_Em!$E:$ZZ, MATCH(A586, CO2_Em!$C:$C, 0), MATCH(B586, CO2_Em!$E$1:$ZZ$1, 0))</f>
        <v>3.09E-2</v>
      </c>
      <c r="H586">
        <f>INDEX(Agri_VA!$E:$ZZ, MATCH(A586, Agri_VA!$C:$C, 0), MATCH(B586, Agri_VA!$E$1:$ZZ$1, 0))</f>
        <v>1.6523900696914933</v>
      </c>
      <c r="I586" s="6">
        <f>INDEX('Agri_land '!$E:$ZZ, MATCH(A586, 'Agri_land '!$C:$C, 0), MATCH(B586, 'Agri_land '!$E$1:$ZZ$1, 0))</f>
        <v>57.147511848341239</v>
      </c>
      <c r="J586">
        <f>INDEX(Cereal_Yield!$E:$ZZ, MATCH(A586, Cereal_Yield!$C:$C, 0), MATCH(B586, Cereal_Yield!$E$1:$ZZ$1, 0))</f>
        <v>8332.2999999999993</v>
      </c>
    </row>
    <row r="587" spans="1:10" x14ac:dyDescent="0.3">
      <c r="A587" t="s">
        <v>30</v>
      </c>
      <c r="B587" s="4">
        <v>2009</v>
      </c>
      <c r="C587" t="s">
        <v>49</v>
      </c>
      <c r="D587" s="8">
        <f>INDEX(GDP_pc!$E:$ZZ, MATCH(A587, GDP_pc!$C:$C, 0), MATCH(B587, GDP_pc!$E$1:$ZZ$1, 0))</f>
        <v>878954223140.23376</v>
      </c>
      <c r="E587">
        <f>INDEX(CH4_Em!$E:$ZZ, MATCH(A587, CH4_Em!$C:$C, 0), MATCH(B587, CH4_Em!$E$1:$ZZ$1, 0))</f>
        <v>12.9557</v>
      </c>
      <c r="F587">
        <f>INDEX(N2O_Em!$E:$ZZ, MATCH(A587, N2O_Em!$C:$C, 0), MATCH(B587, N2O_Em!$E$1:$ZZ$1, 0))</f>
        <v>5.9378000000000002</v>
      </c>
      <c r="G587">
        <f>INDEX(CO2_Em!$E:$ZZ, MATCH(A587, CO2_Em!$C:$C, 0), MATCH(B587, CO2_Em!$E$1:$ZZ$1, 0))</f>
        <v>3.7199999999999997E-2</v>
      </c>
      <c r="H587">
        <f>INDEX(Agri_VA!$E:$ZZ, MATCH(A587, Agri_VA!$C:$C, 0), MATCH(B587, Agri_VA!$E$1:$ZZ$1, 0))</f>
        <v>1.5659191999657238</v>
      </c>
      <c r="I587" s="6">
        <f>INDEX('Agri_land '!$E:$ZZ, MATCH(A587, 'Agri_land '!$C:$C, 0), MATCH(B587, 'Agri_land '!$E$1:$ZZ$1, 0))</f>
        <v>56.845538096649861</v>
      </c>
      <c r="J587">
        <f>INDEX(Cereal_Yield!$E:$ZZ, MATCH(A587, Cereal_Yield!$C:$C, 0), MATCH(B587, Cereal_Yield!$E$1:$ZZ$1, 0))</f>
        <v>9032.9</v>
      </c>
    </row>
    <row r="588" spans="1:10" x14ac:dyDescent="0.3">
      <c r="A588" t="s">
        <v>30</v>
      </c>
      <c r="B588" s="4">
        <v>2010</v>
      </c>
      <c r="C588" t="s">
        <v>49</v>
      </c>
      <c r="D588" s="8">
        <f>INDEX(GDP_pc!$E:$ZZ, MATCH(A588, GDP_pc!$C:$C, 0), MATCH(B588, GDP_pc!$E$1:$ZZ$1, 0))</f>
        <v>852464982433.33496</v>
      </c>
      <c r="E588">
        <f>INDEX(CH4_Em!$E:$ZZ, MATCH(A588, CH4_Em!$C:$C, 0), MATCH(B588, CH4_Em!$E$1:$ZZ$1, 0))</f>
        <v>12.9725</v>
      </c>
      <c r="F588">
        <f>INDEX(N2O_Em!$E:$ZZ, MATCH(A588, N2O_Em!$C:$C, 0), MATCH(B588, N2O_Em!$E$1:$ZZ$1, 0))</f>
        <v>5.9596999999999998</v>
      </c>
      <c r="G588">
        <f>INDEX(CO2_Em!$E:$ZZ, MATCH(A588, CO2_Em!$C:$C, 0), MATCH(B588, CO2_Em!$E$1:$ZZ$1, 0))</f>
        <v>4.19E-2</v>
      </c>
      <c r="H588">
        <f>INDEX(Agri_VA!$E:$ZZ, MATCH(A588, Agri_VA!$C:$C, 0), MATCH(B588, Agri_VA!$E$1:$ZZ$1, 0))</f>
        <v>1.7878081931877916</v>
      </c>
      <c r="I588" s="6">
        <f>INDEX('Agri_land '!$E:$ZZ, MATCH(A588, 'Agri_land '!$C:$C, 0), MATCH(B588, 'Agri_land '!$E$1:$ZZ$1, 0))</f>
        <v>55.508449451526829</v>
      </c>
      <c r="J588">
        <f>INDEX(Cereal_Yield!$E:$ZZ, MATCH(A588, Cereal_Yield!$C:$C, 0), MATCH(B588, Cereal_Yield!$E$1:$ZZ$1, 0))</f>
        <v>8569.2999999999993</v>
      </c>
    </row>
    <row r="589" spans="1:10" x14ac:dyDescent="0.3">
      <c r="A589" t="s">
        <v>30</v>
      </c>
      <c r="B589" s="4">
        <v>2011</v>
      </c>
      <c r="C589" t="s">
        <v>49</v>
      </c>
      <c r="D589" s="8">
        <f>INDEX(GDP_pc!$E:$ZZ, MATCH(A589, GDP_pc!$C:$C, 0), MATCH(B589, GDP_pc!$E$1:$ZZ$1, 0))</f>
        <v>913140741332.68665</v>
      </c>
      <c r="E589">
        <f>INDEX(CH4_Em!$E:$ZZ, MATCH(A589, CH4_Em!$C:$C, 0), MATCH(B589, CH4_Em!$E$1:$ZZ$1, 0))</f>
        <v>12.938499999999999</v>
      </c>
      <c r="F589">
        <f>INDEX(N2O_Em!$E:$ZZ, MATCH(A589, N2O_Em!$C:$C, 0), MATCH(B589, N2O_Em!$E$1:$ZZ$1, 0))</f>
        <v>5.7477999999999998</v>
      </c>
      <c r="G589">
        <f>INDEX(CO2_Em!$E:$ZZ, MATCH(A589, CO2_Em!$C:$C, 0), MATCH(B589, CO2_Em!$E$1:$ZZ$1, 0))</f>
        <v>2.7199999999999998E-2</v>
      </c>
      <c r="H589">
        <f>INDEX(Agri_VA!$E:$ZZ, MATCH(A589, Agri_VA!$C:$C, 0), MATCH(B589, Agri_VA!$E$1:$ZZ$1, 0))</f>
        <v>1.5984439332757123</v>
      </c>
      <c r="I589" s="6">
        <f>INDEX('Agri_land '!$E:$ZZ, MATCH(A589, 'Agri_land '!$C:$C, 0), MATCH(B589, 'Agri_land '!$E$1:$ZZ$1, 0))</f>
        <v>55.11269276393832</v>
      </c>
      <c r="J589">
        <f>INDEX(Cereal_Yield!$E:$ZZ, MATCH(A589, Cereal_Yield!$C:$C, 0), MATCH(B589, Cereal_Yield!$E$1:$ZZ$1, 0))</f>
        <v>7800.8</v>
      </c>
    </row>
    <row r="590" spans="1:10" x14ac:dyDescent="0.3">
      <c r="A590" t="s">
        <v>30</v>
      </c>
      <c r="B590" s="4">
        <v>2012</v>
      </c>
      <c r="C590" t="s">
        <v>49</v>
      </c>
      <c r="D590" s="8">
        <f>INDEX(GDP_pc!$E:$ZZ, MATCH(A590, GDP_pc!$C:$C, 0), MATCH(B590, GDP_pc!$E$1:$ZZ$1, 0))</f>
        <v>845689017065.62524</v>
      </c>
      <c r="E590">
        <f>INDEX(CH4_Em!$E:$ZZ, MATCH(A590, CH4_Em!$C:$C, 0), MATCH(B590, CH4_Em!$E$1:$ZZ$1, 0))</f>
        <v>12.7918</v>
      </c>
      <c r="F590">
        <f>INDEX(N2O_Em!$E:$ZZ, MATCH(A590, N2O_Em!$C:$C, 0), MATCH(B590, N2O_Em!$E$1:$ZZ$1, 0))</f>
        <v>5.7236000000000002</v>
      </c>
      <c r="G590">
        <f>INDEX(CO2_Em!$E:$ZZ, MATCH(A590, CO2_Em!$C:$C, 0), MATCH(B590, CO2_Em!$E$1:$ZZ$1, 0))</f>
        <v>2.7199999999999998E-2</v>
      </c>
      <c r="H590">
        <f>INDEX(Agri_VA!$E:$ZZ, MATCH(A590, Agri_VA!$C:$C, 0), MATCH(B590, Agri_VA!$E$1:$ZZ$1, 0))</f>
        <v>1.6969700652657422</v>
      </c>
      <c r="I590" s="6">
        <f>INDEX('Agri_land '!$E:$ZZ, MATCH(A590, 'Agri_land '!$C:$C, 0), MATCH(B590, 'Agri_land '!$E$1:$ZZ$1, 0))</f>
        <v>54.617437722419929</v>
      </c>
      <c r="J590">
        <f>INDEX(Cereal_Yield!$E:$ZZ, MATCH(A590, Cereal_Yield!$C:$C, 0), MATCH(B590, Cereal_Yield!$E$1:$ZZ$1, 0))</f>
        <v>8545</v>
      </c>
    </row>
    <row r="591" spans="1:10" x14ac:dyDescent="0.3">
      <c r="A591" t="s">
        <v>30</v>
      </c>
      <c r="B591" s="4">
        <v>2013</v>
      </c>
      <c r="C591" t="s">
        <v>49</v>
      </c>
      <c r="D591" s="8">
        <f>INDEX(GDP_pc!$E:$ZZ, MATCH(A591, GDP_pc!$C:$C, 0), MATCH(B591, GDP_pc!$E$1:$ZZ$1, 0))</f>
        <v>883951539006.66919</v>
      </c>
      <c r="E591">
        <f>INDEX(CH4_Em!$E:$ZZ, MATCH(A591, CH4_Em!$C:$C, 0), MATCH(B591, CH4_Em!$E$1:$ZZ$1, 0))</f>
        <v>12.990399999999999</v>
      </c>
      <c r="F591">
        <f>INDEX(N2O_Em!$E:$ZZ, MATCH(A591, N2O_Em!$C:$C, 0), MATCH(B591, N2O_Em!$E$1:$ZZ$1, 0))</f>
        <v>5.7685000000000004</v>
      </c>
      <c r="G591">
        <f>INDEX(CO2_Em!$E:$ZZ, MATCH(A591, CO2_Em!$C:$C, 0), MATCH(B591, CO2_Em!$E$1:$ZZ$1, 0))</f>
        <v>2.7199999999999998E-2</v>
      </c>
      <c r="H591">
        <f>INDEX(Agri_VA!$E:$ZZ, MATCH(A591, Agri_VA!$C:$C, 0), MATCH(B591, Agri_VA!$E$1:$ZZ$1, 0))</f>
        <v>1.84474290341919</v>
      </c>
      <c r="I591" s="6">
        <f>INDEX('Agri_land '!$E:$ZZ, MATCH(A591, 'Agri_land '!$C:$C, 0), MATCH(B591, 'Agri_land '!$E$1:$ZZ$1, 0))</f>
        <v>54.84119916889285</v>
      </c>
      <c r="J591">
        <f>INDEX(Cereal_Yield!$E:$ZZ, MATCH(A591, Cereal_Yield!$C:$C, 0), MATCH(B591, Cereal_Yield!$E$1:$ZZ$1, 0))</f>
        <v>8630.1</v>
      </c>
    </row>
    <row r="592" spans="1:10" x14ac:dyDescent="0.3">
      <c r="A592" t="s">
        <v>30</v>
      </c>
      <c r="B592" s="4">
        <v>2014</v>
      </c>
      <c r="C592" t="s">
        <v>49</v>
      </c>
      <c r="D592" s="8">
        <f>INDEX(GDP_pc!$E:$ZZ, MATCH(A592, GDP_pc!$C:$C, 0), MATCH(B592, GDP_pc!$E$1:$ZZ$1, 0))</f>
        <v>901556501756.46741</v>
      </c>
      <c r="E592">
        <f>INDEX(CH4_Em!$E:$ZZ, MATCH(A592, CH4_Em!$C:$C, 0), MATCH(B592, CH4_Em!$E$1:$ZZ$1, 0))</f>
        <v>13.3954</v>
      </c>
      <c r="F592">
        <f>INDEX(N2O_Em!$E:$ZZ, MATCH(A592, N2O_Em!$C:$C, 0), MATCH(B592, N2O_Em!$E$1:$ZZ$1, 0))</f>
        <v>5.7911999999999999</v>
      </c>
      <c r="G592">
        <f>INDEX(CO2_Em!$E:$ZZ, MATCH(A592, CO2_Em!$C:$C, 0), MATCH(B592, CO2_Em!$E$1:$ZZ$1, 0))</f>
        <v>2.7199999999999998E-2</v>
      </c>
      <c r="H592">
        <f>INDEX(Agri_VA!$E:$ZZ, MATCH(A592, Agri_VA!$C:$C, 0), MATCH(B592, Agri_VA!$E$1:$ZZ$1, 0))</f>
        <v>1.8009893505563441</v>
      </c>
      <c r="I592" s="6">
        <f>INDEX('Agri_land '!$E:$ZZ, MATCH(A592, 'Agri_land '!$C:$C, 0), MATCH(B592, 'Agri_land '!$E$1:$ZZ$1, 0))</f>
        <v>54.588898783021669</v>
      </c>
      <c r="J592">
        <f>INDEX(Cereal_Yield!$E:$ZZ, MATCH(A592, Cereal_Yield!$C:$C, 0), MATCH(B592, Cereal_Yield!$E$1:$ZZ$1, 0))</f>
        <v>9073.7000000000007</v>
      </c>
    </row>
    <row r="593" spans="1:10" x14ac:dyDescent="0.3">
      <c r="A593" t="s">
        <v>30</v>
      </c>
      <c r="B593" s="4">
        <v>2015</v>
      </c>
      <c r="C593" t="s">
        <v>49</v>
      </c>
      <c r="D593" s="8">
        <f>INDEX(GDP_pc!$E:$ZZ, MATCH(A593, GDP_pc!$C:$C, 0), MATCH(B593, GDP_pc!$E$1:$ZZ$1, 0))</f>
        <v>775743675302.73401</v>
      </c>
      <c r="E593">
        <f>INDEX(CH4_Em!$E:$ZZ, MATCH(A593, CH4_Em!$C:$C, 0), MATCH(B593, CH4_Em!$E$1:$ZZ$1, 0))</f>
        <v>14.026899999999999</v>
      </c>
      <c r="F593">
        <f>INDEX(N2O_Em!$E:$ZZ, MATCH(A593, N2O_Em!$C:$C, 0), MATCH(B593, N2O_Em!$E$1:$ZZ$1, 0))</f>
        <v>5.9950999999999999</v>
      </c>
      <c r="G593">
        <f>INDEX(CO2_Em!$E:$ZZ, MATCH(A593, CO2_Em!$C:$C, 0), MATCH(B593, CO2_Em!$E$1:$ZZ$1, 0))</f>
        <v>2.8799999999999999E-2</v>
      </c>
      <c r="H593">
        <f>INDEX(Agri_VA!$E:$ZZ, MATCH(A593, Agri_VA!$C:$C, 0), MATCH(B593, Agri_VA!$E$1:$ZZ$1, 0))</f>
        <v>1.8059856259162583</v>
      </c>
      <c r="I593" s="6">
        <f>INDEX('Agri_land '!$E:$ZZ, MATCH(A593, 'Agri_land '!$C:$C, 0), MATCH(B593, 'Agri_land '!$E$1:$ZZ$1, 0))</f>
        <v>54.826254826254825</v>
      </c>
      <c r="J593">
        <f>INDEX(Cereal_Yield!$E:$ZZ, MATCH(A593, Cereal_Yield!$C:$C, 0), MATCH(B593, Cereal_Yield!$E$1:$ZZ$1, 0))</f>
        <v>8752.7999999999993</v>
      </c>
    </row>
    <row r="594" spans="1:10" x14ac:dyDescent="0.3">
      <c r="A594" t="s">
        <v>30</v>
      </c>
      <c r="B594" s="4">
        <v>2016</v>
      </c>
      <c r="C594" t="s">
        <v>49</v>
      </c>
      <c r="D594" s="8">
        <f>INDEX(GDP_pc!$E:$ZZ, MATCH(A594, GDP_pc!$C:$C, 0), MATCH(B594, GDP_pc!$E$1:$ZZ$1, 0))</f>
        <v>797163949289.88525</v>
      </c>
      <c r="E594">
        <f>INDEX(CH4_Em!$E:$ZZ, MATCH(A594, CH4_Em!$C:$C, 0), MATCH(B594, CH4_Em!$E$1:$ZZ$1, 0))</f>
        <v>14.1311</v>
      </c>
      <c r="F594">
        <f>INDEX(N2O_Em!$E:$ZZ, MATCH(A594, N2O_Em!$C:$C, 0), MATCH(B594, N2O_Em!$E$1:$ZZ$1, 0))</f>
        <v>6.0137</v>
      </c>
      <c r="G594">
        <f>INDEX(CO2_Em!$E:$ZZ, MATCH(A594, CO2_Em!$C:$C, 0), MATCH(B594, CO2_Em!$E$1:$ZZ$1, 0))</f>
        <v>3.04E-2</v>
      </c>
      <c r="H594">
        <f>INDEX(Agri_VA!$E:$ZZ, MATCH(A594, Agri_VA!$C:$C, 0), MATCH(B594, Agri_VA!$E$1:$ZZ$1, 0))</f>
        <v>1.8639913909813586</v>
      </c>
      <c r="I594" s="6">
        <f>INDEX('Agri_land '!$E:$ZZ, MATCH(A594, 'Agri_land '!$C:$C, 0), MATCH(B594, 'Agri_land '!$E$1:$ZZ$1, 0))</f>
        <v>53.905553905553901</v>
      </c>
      <c r="J594">
        <f>INDEX(Cereal_Yield!$E:$ZZ, MATCH(A594, Cereal_Yield!$C:$C, 0), MATCH(B594, Cereal_Yield!$E$1:$ZZ$1, 0))</f>
        <v>7776.9</v>
      </c>
    </row>
    <row r="595" spans="1:10" x14ac:dyDescent="0.3">
      <c r="A595" t="s">
        <v>30</v>
      </c>
      <c r="B595" s="4">
        <v>2017</v>
      </c>
      <c r="C595" t="s">
        <v>49</v>
      </c>
      <c r="D595" s="8">
        <f>INDEX(GDP_pc!$E:$ZZ, MATCH(A595, GDP_pc!$C:$C, 0), MATCH(B595, GDP_pc!$E$1:$ZZ$1, 0))</f>
        <v>848233537845.88379</v>
      </c>
      <c r="E595">
        <f>INDEX(CH4_Em!$E:$ZZ, MATCH(A595, CH4_Em!$C:$C, 0), MATCH(B595, CH4_Em!$E$1:$ZZ$1, 0))</f>
        <v>13.3964</v>
      </c>
      <c r="F595">
        <f>INDEX(N2O_Em!$E:$ZZ, MATCH(A595, N2O_Em!$C:$C, 0), MATCH(B595, N2O_Em!$E$1:$ZZ$1, 0))</f>
        <v>5.7838000000000003</v>
      </c>
      <c r="G595">
        <f>INDEX(CO2_Em!$E:$ZZ, MATCH(A595, CO2_Em!$C:$C, 0), MATCH(B595, CO2_Em!$E$1:$ZZ$1, 0))</f>
        <v>3.04E-2</v>
      </c>
      <c r="H595">
        <f>INDEX(Agri_VA!$E:$ZZ, MATCH(A595, Agri_VA!$C:$C, 0), MATCH(B595, Agri_VA!$E$1:$ZZ$1, 0))</f>
        <v>1.9678742137359644</v>
      </c>
      <c r="I595" s="6">
        <f>INDEX('Agri_land '!$E:$ZZ, MATCH(A595, 'Agri_land '!$C:$C, 0), MATCH(B595, 'Agri_land '!$E$1:$ZZ$1, 0))</f>
        <v>54.024354024354025</v>
      </c>
      <c r="J595">
        <f>INDEX(Cereal_Yield!$E:$ZZ, MATCH(A595, Cereal_Yield!$C:$C, 0), MATCH(B595, Cereal_Yield!$E$1:$ZZ$1, 0))</f>
        <v>8794.5</v>
      </c>
    </row>
    <row r="596" spans="1:10" x14ac:dyDescent="0.3">
      <c r="A596" t="s">
        <v>30</v>
      </c>
      <c r="B596" s="4">
        <v>2018</v>
      </c>
      <c r="C596" t="s">
        <v>49</v>
      </c>
      <c r="D596" s="8">
        <f>INDEX(GDP_pc!$E:$ZZ, MATCH(A596, GDP_pc!$C:$C, 0), MATCH(B596, GDP_pc!$E$1:$ZZ$1, 0))</f>
        <v>929733599796.86206</v>
      </c>
      <c r="E596">
        <f>INDEX(CH4_Em!$E:$ZZ, MATCH(A596, CH4_Em!$C:$C, 0), MATCH(B596, CH4_Em!$E$1:$ZZ$1, 0))</f>
        <v>12.541</v>
      </c>
      <c r="F596">
        <f>INDEX(N2O_Em!$E:$ZZ, MATCH(A596, N2O_Em!$C:$C, 0), MATCH(B596, N2O_Em!$E$1:$ZZ$1, 0))</f>
        <v>5.5022000000000002</v>
      </c>
      <c r="G596">
        <f>INDEX(CO2_Em!$E:$ZZ, MATCH(A596, CO2_Em!$C:$C, 0), MATCH(B596, CO2_Em!$E$1:$ZZ$1, 0))</f>
        <v>2.7199999999999998E-2</v>
      </c>
      <c r="H596">
        <f>INDEX(Agri_VA!$E:$ZZ, MATCH(A596, Agri_VA!$C:$C, 0), MATCH(B596, Agri_VA!$E$1:$ZZ$1, 0))</f>
        <v>1.7598723695592253</v>
      </c>
      <c r="I596" s="6">
        <f>INDEX('Agri_land '!$E:$ZZ, MATCH(A596, 'Agri_land '!$C:$C, 0), MATCH(B596, 'Agri_land '!$E$1:$ZZ$1, 0))</f>
        <v>54.143154143154149</v>
      </c>
      <c r="J596">
        <f>INDEX(Cereal_Yield!$E:$ZZ, MATCH(A596, Cereal_Yield!$C:$C, 0), MATCH(B596, Cereal_Yield!$E$1:$ZZ$1, 0))</f>
        <v>7905.1</v>
      </c>
    </row>
    <row r="597" spans="1:10" x14ac:dyDescent="0.3">
      <c r="A597" t="s">
        <v>30</v>
      </c>
      <c r="B597" s="4">
        <v>2019</v>
      </c>
      <c r="C597" t="s">
        <v>49</v>
      </c>
      <c r="D597" s="8">
        <f>INDEX(GDP_pc!$E:$ZZ, MATCH(A597, GDP_pc!$C:$C, 0), MATCH(B597, GDP_pc!$E$1:$ZZ$1, 0))</f>
        <v>928903005576.46912</v>
      </c>
      <c r="E597">
        <f>INDEX(CH4_Em!$E:$ZZ, MATCH(A597, CH4_Em!$C:$C, 0), MATCH(B597, CH4_Em!$E$1:$ZZ$1, 0))</f>
        <v>12.654299999999999</v>
      </c>
      <c r="F597">
        <f>INDEX(N2O_Em!$E:$ZZ, MATCH(A597, N2O_Em!$C:$C, 0), MATCH(B597, N2O_Em!$E$1:$ZZ$1, 0))</f>
        <v>5.5884</v>
      </c>
      <c r="G597">
        <f>INDEX(CO2_Em!$E:$ZZ, MATCH(A597, CO2_Em!$C:$C, 0), MATCH(B597, CO2_Em!$E$1:$ZZ$1, 0))</f>
        <v>0.1135</v>
      </c>
      <c r="H597">
        <f>INDEX(Agri_VA!$E:$ZZ, MATCH(A597, Agri_VA!$C:$C, 0), MATCH(B597, Agri_VA!$E$1:$ZZ$1, 0))</f>
        <v>1.758806990396099</v>
      </c>
      <c r="I597" s="6">
        <f>INDEX('Agri_land '!$E:$ZZ, MATCH(A597, 'Agri_land '!$C:$C, 0), MATCH(B597, 'Agri_land '!$E$1:$ZZ$1, 0))</f>
        <v>53.959013959013959</v>
      </c>
      <c r="J597">
        <f>INDEX(Cereal_Yield!$E:$ZZ, MATCH(A597, Cereal_Yield!$C:$C, 0), MATCH(B597, Cereal_Yield!$E$1:$ZZ$1, 0))</f>
        <v>8654.2000000000007</v>
      </c>
    </row>
    <row r="598" spans="1:10" x14ac:dyDescent="0.3">
      <c r="A598" t="s">
        <v>30</v>
      </c>
      <c r="B598" s="4">
        <v>2020</v>
      </c>
      <c r="C598" t="s">
        <v>49</v>
      </c>
      <c r="D598" s="8">
        <f>INDEX(GDP_pc!$E:$ZZ, MATCH(A598, GDP_pc!$C:$C, 0), MATCH(B598, GDP_pc!$E$1:$ZZ$1, 0))</f>
        <v>932560861701.16992</v>
      </c>
      <c r="E598">
        <f>INDEX(CH4_Em!$E:$ZZ, MATCH(A598, CH4_Em!$C:$C, 0), MATCH(B598, CH4_Em!$E$1:$ZZ$1, 0))</f>
        <v>12.473100000000001</v>
      </c>
      <c r="F598">
        <f>INDEX(N2O_Em!$E:$ZZ, MATCH(A598, N2O_Em!$C:$C, 0), MATCH(B598, N2O_Em!$E$1:$ZZ$1, 0))</f>
        <v>5.6035000000000004</v>
      </c>
      <c r="G598">
        <f>INDEX(CO2_Em!$E:$ZZ, MATCH(A598, CO2_Em!$C:$C, 0), MATCH(B598, CO2_Em!$E$1:$ZZ$1, 0))</f>
        <v>0.14449999999999999</v>
      </c>
      <c r="H598">
        <f>INDEX(Agri_VA!$E:$ZZ, MATCH(A598, Agri_VA!$C:$C, 0), MATCH(B598, Agri_VA!$E$1:$ZZ$1, 0))</f>
        <v>1.7373720548267344</v>
      </c>
      <c r="I598" s="6">
        <f>INDEX('Agri_land '!$E:$ZZ, MATCH(A598, 'Agri_land '!$C:$C, 0), MATCH(B598, 'Agri_land '!$E$1:$ZZ$1, 0))</f>
        <v>53.889218889218895</v>
      </c>
      <c r="J598">
        <f>INDEX(Cereal_Yield!$E:$ZZ, MATCH(A598, Cereal_Yield!$C:$C, 0), MATCH(B598, Cereal_Yield!$E$1:$ZZ$1, 0))</f>
        <v>7919.9</v>
      </c>
    </row>
    <row r="599" spans="1:10" x14ac:dyDescent="0.3">
      <c r="A599" t="s">
        <v>30</v>
      </c>
      <c r="B599" s="4">
        <v>2021</v>
      </c>
      <c r="C599" t="s">
        <v>49</v>
      </c>
      <c r="D599" s="8">
        <f>INDEX(GDP_pc!$E:$ZZ, MATCH(A599, GDP_pc!$C:$C, 0), MATCH(B599, GDP_pc!$E$1:$ZZ$1, 0))</f>
        <v>1054472123449.5955</v>
      </c>
      <c r="E599">
        <f>INDEX(CH4_Em!$E:$ZZ, MATCH(A599, CH4_Em!$C:$C, 0), MATCH(B599, CH4_Em!$E$1:$ZZ$1, 0))</f>
        <v>12.303599999999999</v>
      </c>
      <c r="F599">
        <f>INDEX(N2O_Em!$E:$ZZ, MATCH(A599, N2O_Em!$C:$C, 0), MATCH(B599, N2O_Em!$E$1:$ZZ$1, 0))</f>
        <v>5.4314</v>
      </c>
      <c r="G599">
        <f>INDEX(CO2_Em!$E:$ZZ, MATCH(A599, CO2_Em!$C:$C, 0), MATCH(B599, CO2_Em!$E$1:$ZZ$1, 0))</f>
        <v>0.15279999999999999</v>
      </c>
      <c r="H599">
        <f>INDEX(Agri_VA!$E:$ZZ, MATCH(A599, Agri_VA!$C:$C, 0), MATCH(B599, Agri_VA!$E$1:$ZZ$1, 0))</f>
        <v>1.6546464023330154</v>
      </c>
      <c r="I599" s="6">
        <f>INDEX('Agri_land '!$E:$ZZ, MATCH(A599, 'Agri_land '!$C:$C, 0), MATCH(B599, 'Agri_land '!$E$1:$ZZ$1, 0))</f>
        <v>53.816453816453816</v>
      </c>
      <c r="J599">
        <f>INDEX(Cereal_Yield!$E:$ZZ, MATCH(A599, Cereal_Yield!$C:$C, 0), MATCH(B599, Cereal_Yield!$E$1:$ZZ$1, 0))</f>
        <v>7872.3</v>
      </c>
    </row>
    <row r="600" spans="1:10" x14ac:dyDescent="0.3">
      <c r="A600" t="s">
        <v>30</v>
      </c>
      <c r="B600" s="4">
        <v>2022</v>
      </c>
      <c r="C600" t="s">
        <v>49</v>
      </c>
      <c r="D600" s="8">
        <f>INDEX(GDP_pc!$E:$ZZ, MATCH(A600, GDP_pc!$C:$C, 0), MATCH(B600, GDP_pc!$E$1:$ZZ$1, 0))</f>
        <v>1046540797548.6422</v>
      </c>
      <c r="E600">
        <f>INDEX(CH4_Em!$E:$ZZ, MATCH(A600, CH4_Em!$C:$C, 0), MATCH(B600, CH4_Em!$E$1:$ZZ$1, 0))</f>
        <v>12.3711</v>
      </c>
      <c r="F600">
        <f>INDEX(N2O_Em!$E:$ZZ, MATCH(A600, N2O_Em!$C:$C, 0), MATCH(B600, N2O_Em!$E$1:$ZZ$1, 0))</f>
        <v>5.4194000000000004</v>
      </c>
      <c r="G600">
        <f>INDEX(CO2_Em!$E:$ZZ, MATCH(A600, CO2_Em!$C:$C, 0), MATCH(B600, CO2_Em!$E$1:$ZZ$1, 0))</f>
        <v>0.14549999999999999</v>
      </c>
      <c r="H600">
        <f>INDEX(Agri_VA!$E:$ZZ, MATCH(A600, Agri_VA!$C:$C, 0), MATCH(B600, Agri_VA!$E$1:$ZZ$1, 0))</f>
        <v>1.6419472339055361</v>
      </c>
      <c r="I600" s="6">
        <f>INDEX('Agri_land '!$E:$ZZ, MATCH(A600, 'Agri_land '!$C:$C, 0), MATCH(B600, 'Agri_land '!$E$1:$ZZ$1, 0))</f>
        <v>53.578853578853582</v>
      </c>
      <c r="J600">
        <f>INDEX(Cereal_Yield!$E:$ZZ, MATCH(A600, Cereal_Yield!$C:$C, 0), MATCH(B600, Cereal_Yield!$E$1:$ZZ$1, 0))</f>
        <v>8885.1</v>
      </c>
    </row>
    <row r="601" spans="1:10" x14ac:dyDescent="0.3">
      <c r="A601" t="s">
        <v>30</v>
      </c>
      <c r="B601" s="4">
        <v>2023</v>
      </c>
      <c r="C601" t="s">
        <v>49</v>
      </c>
      <c r="D601" s="8">
        <f>INDEX(GDP_pc!$E:$ZZ, MATCH(A601, GDP_pc!$C:$C, 0), MATCH(B601, GDP_pc!$E$1:$ZZ$1, 0))</f>
        <v>1135475867551.0005</v>
      </c>
      <c r="E601">
        <f>INDEX(CH4_Em!$E:$ZZ, MATCH(A601, CH4_Em!$C:$C, 0), MATCH(B601, CH4_Em!$E$1:$ZZ$1, 0))</f>
        <v>12.1592</v>
      </c>
      <c r="F601">
        <f>INDEX(N2O_Em!$E:$ZZ, MATCH(A601, N2O_Em!$C:$C, 0), MATCH(B601, N2O_Em!$E$1:$ZZ$1, 0))</f>
        <v>5.3590999999999998</v>
      </c>
      <c r="G601">
        <f>INDEX(CO2_Em!$E:$ZZ, MATCH(A601, CO2_Em!$C:$C, 0), MATCH(B601, CO2_Em!$E$1:$ZZ$1, 0))</f>
        <v>0.16850000000000001</v>
      </c>
      <c r="H601">
        <f>INDEX(Agri_VA!$E:$ZZ, MATCH(A601, Agri_VA!$C:$C, 0), MATCH(B601, Agri_VA!$E$1:$ZZ$1, 0))</f>
        <v>1.7514924300064849</v>
      </c>
      <c r="I601" s="6">
        <f>INDEX('Agri_land '!$E:$ZZ, MATCH(A601, 'Agri_land '!$C:$C, 0), MATCH(B601, 'Agri_land '!$E$1:$ZZ$1, 0))</f>
        <v>53.549153549153552</v>
      </c>
      <c r="J601">
        <f>INDEX(Cereal_Yield!$E:$ZZ, MATCH(A601, Cereal_Yield!$C:$C, 0), MATCH(B601, Cereal_Yield!$E$1:$ZZ$1, 0))</f>
        <v>8059.1</v>
      </c>
    </row>
    <row r="602" spans="1:10" x14ac:dyDescent="0.3">
      <c r="A602" t="s">
        <v>51</v>
      </c>
      <c r="B602" s="4">
        <v>2000</v>
      </c>
      <c r="C602" t="s">
        <v>49</v>
      </c>
      <c r="D602" s="8">
        <f>INDEX(GDP_pc!$E:$ZZ, MATCH(A602, GDP_pc!$C:$C, 0), MATCH(B602, GDP_pc!$E$1:$ZZ$1, 0))</f>
        <v>52623281956.703117</v>
      </c>
      <c r="E602">
        <f>INDEX(CH4_Em!$E:$ZZ, MATCH(A602, CH4_Em!$C:$C, 0), MATCH(B602, CH4_Em!$E$1:$ZZ$1, 0))</f>
        <v>31.412199999999999</v>
      </c>
      <c r="F602">
        <f>INDEX(N2O_Em!$E:$ZZ, MATCH(A602, N2O_Em!$C:$C, 0), MATCH(B602, N2O_Em!$E$1:$ZZ$1, 0))</f>
        <v>9.2108000000000008</v>
      </c>
      <c r="G602">
        <f>INDEX(CO2_Em!$E:$ZZ, MATCH(A602, CO2_Em!$C:$C, 0), MATCH(B602, CO2_Em!$E$1:$ZZ$1, 0))</f>
        <v>0.44119999999999998</v>
      </c>
      <c r="H602">
        <f>INDEX(Agri_VA!$E:$ZZ, MATCH(A602, Agri_VA!$C:$C, 0), MATCH(B602, Agri_VA!$E$1:$ZZ$1, 0))</f>
        <v>7.7529018099283213</v>
      </c>
      <c r="I602" s="6">
        <f>INDEX('Agri_land '!$E:$ZZ, MATCH(A602, 'Agri_land '!$C:$C, 0), MATCH(B602, 'Agri_land '!$E$1:$ZZ$1, 0))</f>
        <v>46.863819832137025</v>
      </c>
      <c r="J602">
        <f>INDEX(Cereal_Yield!$E:$ZZ, MATCH(A602, Cereal_Yield!$C:$C, 0), MATCH(B602, Cereal_Yield!$E$1:$ZZ$1, 0))</f>
        <v>6316.5</v>
      </c>
    </row>
    <row r="603" spans="1:10" x14ac:dyDescent="0.3">
      <c r="A603" t="s">
        <v>51</v>
      </c>
      <c r="B603" s="4">
        <v>2001</v>
      </c>
      <c r="C603" t="s">
        <v>49</v>
      </c>
      <c r="D603" s="8">
        <f>INDEX(GDP_pc!$E:$ZZ, MATCH(A603, GDP_pc!$C:$C, 0), MATCH(B603, GDP_pc!$E$1:$ZZ$1, 0))</f>
        <v>53872425916.624809</v>
      </c>
      <c r="E603">
        <f>INDEX(CH4_Em!$E:$ZZ, MATCH(A603, CH4_Em!$C:$C, 0), MATCH(B603, CH4_Em!$E$1:$ZZ$1, 0))</f>
        <v>31.787600000000001</v>
      </c>
      <c r="F603">
        <f>INDEX(N2O_Em!$E:$ZZ, MATCH(A603, N2O_Em!$C:$C, 0), MATCH(B603, N2O_Em!$E$1:$ZZ$1, 0))</f>
        <v>9.4619</v>
      </c>
      <c r="G603">
        <f>INDEX(CO2_Em!$E:$ZZ, MATCH(A603, CO2_Em!$C:$C, 0), MATCH(B603, CO2_Em!$E$1:$ZZ$1, 0))</f>
        <v>0.51049999999999995</v>
      </c>
      <c r="H603">
        <f>INDEX(Agri_VA!$E:$ZZ, MATCH(A603, Agri_VA!$C:$C, 0), MATCH(B603, Agri_VA!$E$1:$ZZ$1, 0))</f>
        <v>7.9813847970663181</v>
      </c>
      <c r="I603" s="6">
        <f>INDEX('Agri_land '!$E:$ZZ, MATCH(A603, 'Agri_land '!$C:$C, 0), MATCH(B603, 'Agri_land '!$E$1:$ZZ$1, 0))</f>
        <v>46.26516767308496</v>
      </c>
      <c r="J603">
        <f>INDEX(Cereal_Yield!$E:$ZZ, MATCH(A603, Cereal_Yield!$C:$C, 0), MATCH(B603, Cereal_Yield!$E$1:$ZZ$1, 0))</f>
        <v>6534.7</v>
      </c>
    </row>
    <row r="604" spans="1:10" x14ac:dyDescent="0.3">
      <c r="A604" t="s">
        <v>51</v>
      </c>
      <c r="B604" s="4">
        <v>2002</v>
      </c>
      <c r="C604" t="s">
        <v>49</v>
      </c>
      <c r="D604" s="8">
        <f>INDEX(GDP_pc!$E:$ZZ, MATCH(A604, GDP_pc!$C:$C, 0), MATCH(B604, GDP_pc!$E$1:$ZZ$1, 0))</f>
        <v>66627729311.449547</v>
      </c>
      <c r="E604">
        <f>INDEX(CH4_Em!$E:$ZZ, MATCH(A604, CH4_Em!$C:$C, 0), MATCH(B604, CH4_Em!$E$1:$ZZ$1, 0))</f>
        <v>32.7562</v>
      </c>
      <c r="F604">
        <f>INDEX(N2O_Em!$E:$ZZ, MATCH(A604, N2O_Em!$C:$C, 0), MATCH(B604, N2O_Em!$E$1:$ZZ$1, 0))</f>
        <v>9.9670000000000005</v>
      </c>
      <c r="G604">
        <f>INDEX(CO2_Em!$E:$ZZ, MATCH(A604, CO2_Em!$C:$C, 0), MATCH(B604, CO2_Em!$E$1:$ZZ$1, 0))</f>
        <v>0.58309999999999995</v>
      </c>
      <c r="H604">
        <f>INDEX(Agri_VA!$E:$ZZ, MATCH(A604, Agri_VA!$C:$C, 0), MATCH(B604, Agri_VA!$E$1:$ZZ$1, 0))</f>
        <v>5.8528935279366179</v>
      </c>
      <c r="I604" s="6">
        <f>INDEX('Agri_land '!$E:$ZZ, MATCH(A604, 'Agri_land '!$C:$C, 0), MATCH(B604, 'Agri_land '!$E$1:$ZZ$1, 0))</f>
        <v>45.666341954350386</v>
      </c>
      <c r="J604">
        <f>INDEX(Cereal_Yield!$E:$ZZ, MATCH(A604, Cereal_Yield!$C:$C, 0), MATCH(B604, Cereal_Yield!$E$1:$ZZ$1, 0))</f>
        <v>6276.3</v>
      </c>
    </row>
    <row r="605" spans="1:10" x14ac:dyDescent="0.3">
      <c r="A605" t="s">
        <v>51</v>
      </c>
      <c r="B605" s="4">
        <v>2003</v>
      </c>
      <c r="C605" t="s">
        <v>49</v>
      </c>
      <c r="D605" s="8">
        <f>INDEX(GDP_pc!$E:$ZZ, MATCH(A605, GDP_pc!$C:$C, 0), MATCH(B605, GDP_pc!$E$1:$ZZ$1, 0))</f>
        <v>88250885550.262619</v>
      </c>
      <c r="E605">
        <f>INDEX(CH4_Em!$E:$ZZ, MATCH(A605, CH4_Em!$C:$C, 0), MATCH(B605, CH4_Em!$E$1:$ZZ$1, 0))</f>
        <v>33.302</v>
      </c>
      <c r="F605">
        <f>INDEX(N2O_Em!$E:$ZZ, MATCH(A605, N2O_Em!$C:$C, 0), MATCH(B605, N2O_Em!$E$1:$ZZ$1, 0))</f>
        <v>10.149800000000001</v>
      </c>
      <c r="G605">
        <f>INDEX(CO2_Em!$E:$ZZ, MATCH(A605, CO2_Em!$C:$C, 0), MATCH(B605, CO2_Em!$E$1:$ZZ$1, 0))</f>
        <v>0.63929999999999998</v>
      </c>
      <c r="H605">
        <f>INDEX(Agri_VA!$E:$ZZ, MATCH(A605, Agri_VA!$C:$C, 0), MATCH(B605, Agri_VA!$E$1:$ZZ$1, 0))</f>
        <v>5.72933246598663</v>
      </c>
      <c r="I605" s="6">
        <f>INDEX('Agri_land '!$E:$ZZ, MATCH(A605, 'Agri_land '!$C:$C, 0), MATCH(B605, 'Agri_land '!$E$1:$ZZ$1, 0))</f>
        <v>45.034370134062513</v>
      </c>
      <c r="J605">
        <f>INDEX(Cereal_Yield!$E:$ZZ, MATCH(A605, Cereal_Yield!$C:$C, 0), MATCH(B605, Cereal_Yield!$E$1:$ZZ$1, 0))</f>
        <v>7059.9</v>
      </c>
    </row>
    <row r="606" spans="1:10" x14ac:dyDescent="0.3">
      <c r="A606" t="s">
        <v>51</v>
      </c>
      <c r="B606" s="4">
        <v>2004</v>
      </c>
      <c r="C606" t="s">
        <v>49</v>
      </c>
      <c r="D606" s="8">
        <f>INDEX(GDP_pc!$E:$ZZ, MATCH(A606, GDP_pc!$C:$C, 0), MATCH(B606, GDP_pc!$E$1:$ZZ$1, 0))</f>
        <v>103905210084.03362</v>
      </c>
      <c r="E606">
        <f>INDEX(CH4_Em!$E:$ZZ, MATCH(A606, CH4_Em!$C:$C, 0), MATCH(B606, CH4_Em!$E$1:$ZZ$1, 0))</f>
        <v>33.2941</v>
      </c>
      <c r="F606">
        <f>INDEX(N2O_Em!$E:$ZZ, MATCH(A606, N2O_Em!$C:$C, 0), MATCH(B606, N2O_Em!$E$1:$ZZ$1, 0))</f>
        <v>10.369</v>
      </c>
      <c r="G606">
        <f>INDEX(CO2_Em!$E:$ZZ, MATCH(A606, CO2_Em!$C:$C, 0), MATCH(B606, CO2_Em!$E$1:$ZZ$1, 0))</f>
        <v>0.66359999999999997</v>
      </c>
      <c r="H606">
        <f>INDEX(Agri_VA!$E:$ZZ, MATCH(A606, Agri_VA!$C:$C, 0), MATCH(B606, Agri_VA!$E$1:$ZZ$1, 0))</f>
        <v>5.3655885454745436</v>
      </c>
      <c r="I606" s="6">
        <f>INDEX('Agri_land '!$E:$ZZ, MATCH(A606, 'Agri_land '!$C:$C, 0), MATCH(B606, 'Agri_land '!$E$1:$ZZ$1, 0))</f>
        <v>45.155899889863662</v>
      </c>
      <c r="J606">
        <f>INDEX(Cereal_Yield!$E:$ZZ, MATCH(A606, Cereal_Yield!$C:$C, 0), MATCH(B606, Cereal_Yield!$E$1:$ZZ$1, 0))</f>
        <v>6462.1</v>
      </c>
    </row>
    <row r="607" spans="1:10" x14ac:dyDescent="0.3">
      <c r="A607" t="s">
        <v>51</v>
      </c>
      <c r="B607" s="4">
        <v>2005</v>
      </c>
      <c r="C607" t="s">
        <v>49</v>
      </c>
      <c r="D607" s="8">
        <f>INDEX(GDP_pc!$E:$ZZ, MATCH(A607, GDP_pc!$C:$C, 0), MATCH(B607, GDP_pc!$E$1:$ZZ$1, 0))</f>
        <v>114720129550.09506</v>
      </c>
      <c r="E607">
        <f>INDEX(CH4_Em!$E:$ZZ, MATCH(A607, CH4_Em!$C:$C, 0), MATCH(B607, CH4_Em!$E$1:$ZZ$1, 0))</f>
        <v>33.267699999999998</v>
      </c>
      <c r="F607">
        <f>INDEX(N2O_Em!$E:$ZZ, MATCH(A607, N2O_Em!$C:$C, 0), MATCH(B607, N2O_Em!$E$1:$ZZ$1, 0))</f>
        <v>9.9939999999999998</v>
      </c>
      <c r="G607">
        <f>INDEX(CO2_Em!$E:$ZZ, MATCH(A607, CO2_Em!$C:$C, 0), MATCH(B607, CO2_Em!$E$1:$ZZ$1, 0))</f>
        <v>0.54369999999999996</v>
      </c>
      <c r="H607">
        <f>INDEX(Agri_VA!$E:$ZZ, MATCH(A607, Agri_VA!$C:$C, 0), MATCH(B607, Agri_VA!$E$1:$ZZ$1, 0))</f>
        <v>4.5176970240031427</v>
      </c>
      <c r="I607" s="6">
        <f>INDEX('Agri_land '!$E:$ZZ, MATCH(A607, 'Agri_land '!$C:$C, 0), MATCH(B607, 'Agri_land '!$E$1:$ZZ$1, 0))</f>
        <v>44.479890623219781</v>
      </c>
      <c r="J607">
        <f>INDEX(Cereal_Yield!$E:$ZZ, MATCH(A607, Cereal_Yield!$C:$C, 0), MATCH(B607, Cereal_Yield!$E$1:$ZZ$1, 0))</f>
        <v>7566.2</v>
      </c>
    </row>
    <row r="608" spans="1:10" x14ac:dyDescent="0.3">
      <c r="A608" t="s">
        <v>51</v>
      </c>
      <c r="B608" s="4">
        <v>2006</v>
      </c>
      <c r="C608" t="s">
        <v>49</v>
      </c>
      <c r="D608" s="8">
        <f>INDEX(GDP_pc!$E:$ZZ, MATCH(A608, GDP_pc!$C:$C, 0), MATCH(B608, GDP_pc!$E$1:$ZZ$1, 0))</f>
        <v>111538810712.66455</v>
      </c>
      <c r="E608">
        <f>INDEX(CH4_Em!$E:$ZZ, MATCH(A608, CH4_Em!$C:$C, 0), MATCH(B608, CH4_Em!$E$1:$ZZ$1, 0))</f>
        <v>33.484000000000002</v>
      </c>
      <c r="F608">
        <f>INDEX(N2O_Em!$E:$ZZ, MATCH(A608, N2O_Em!$C:$C, 0), MATCH(B608, N2O_Em!$E$1:$ZZ$1, 0))</f>
        <v>10.0032</v>
      </c>
      <c r="G608">
        <f>INDEX(CO2_Em!$E:$ZZ, MATCH(A608, CO2_Em!$C:$C, 0), MATCH(B608, CO2_Em!$E$1:$ZZ$1, 0))</f>
        <v>0.54710000000000003</v>
      </c>
      <c r="H608">
        <f>INDEX(Agri_VA!$E:$ZZ, MATCH(A608, Agri_VA!$C:$C, 0), MATCH(B608, Agri_VA!$E$1:$ZZ$1, 0))</f>
        <v>4.9836050324411056</v>
      </c>
      <c r="I608" s="6">
        <f>INDEX('Agri_land '!$E:$ZZ, MATCH(A608, 'Agri_land '!$C:$C, 0), MATCH(B608, 'Agri_land '!$E$1:$ZZ$1, 0))</f>
        <v>43.200030382438946</v>
      </c>
      <c r="J608">
        <f>INDEX(Cereal_Yield!$E:$ZZ, MATCH(A608, Cereal_Yield!$C:$C, 0), MATCH(B608, Cereal_Yield!$E$1:$ZZ$1, 0))</f>
        <v>7028.7</v>
      </c>
    </row>
    <row r="609" spans="1:10" x14ac:dyDescent="0.3">
      <c r="A609" t="s">
        <v>51</v>
      </c>
      <c r="B609" s="4">
        <v>2007</v>
      </c>
      <c r="C609" t="s">
        <v>49</v>
      </c>
      <c r="D609" s="8">
        <f>INDEX(GDP_pc!$E:$ZZ, MATCH(A609, GDP_pc!$C:$C, 0), MATCH(B609, GDP_pc!$E$1:$ZZ$1, 0))</f>
        <v>137188946865.58389</v>
      </c>
      <c r="E609">
        <f>INDEX(CH4_Em!$E:$ZZ, MATCH(A609, CH4_Em!$C:$C, 0), MATCH(B609, CH4_Em!$E$1:$ZZ$1, 0))</f>
        <v>33.2453</v>
      </c>
      <c r="F609">
        <f>INDEX(N2O_Em!$E:$ZZ, MATCH(A609, N2O_Em!$C:$C, 0), MATCH(B609, N2O_Em!$E$1:$ZZ$1, 0))</f>
        <v>10.092499999999999</v>
      </c>
      <c r="G609">
        <f>INDEX(CO2_Em!$E:$ZZ, MATCH(A609, CO2_Em!$C:$C, 0), MATCH(B609, CO2_Em!$E$1:$ZZ$1, 0))</f>
        <v>0.54649999999999999</v>
      </c>
      <c r="H609">
        <f>INDEX(Agri_VA!$E:$ZZ, MATCH(A609, Agri_VA!$C:$C, 0), MATCH(B609, Agri_VA!$E$1:$ZZ$1, 0))</f>
        <v>6.0683655375978311</v>
      </c>
      <c r="I609" s="6">
        <f>INDEX('Agri_land '!$E:$ZZ, MATCH(A609, 'Agri_land '!$C:$C, 0), MATCH(B609, 'Agri_land '!$E$1:$ZZ$1, 0))</f>
        <v>43.625384527742966</v>
      </c>
      <c r="J609">
        <f>INDEX(Cereal_Yield!$E:$ZZ, MATCH(A609, Cereal_Yield!$C:$C, 0), MATCH(B609, Cereal_Yield!$E$1:$ZZ$1, 0))</f>
        <v>7916.4</v>
      </c>
    </row>
    <row r="610" spans="1:10" x14ac:dyDescent="0.3">
      <c r="A610" t="s">
        <v>51</v>
      </c>
      <c r="B610" s="4">
        <v>2008</v>
      </c>
      <c r="C610" t="s">
        <v>49</v>
      </c>
      <c r="D610" s="8">
        <f>INDEX(GDP_pc!$E:$ZZ, MATCH(A610, GDP_pc!$C:$C, 0), MATCH(B610, GDP_pc!$E$1:$ZZ$1, 0))</f>
        <v>133437126590.28607</v>
      </c>
      <c r="E610">
        <f>INDEX(CH4_Em!$E:$ZZ, MATCH(A610, CH4_Em!$C:$C, 0), MATCH(B610, CH4_Em!$E$1:$ZZ$1, 0))</f>
        <v>32.579900000000002</v>
      </c>
      <c r="F610">
        <f>INDEX(N2O_Em!$E:$ZZ, MATCH(A610, N2O_Em!$C:$C, 0), MATCH(B610, N2O_Em!$E$1:$ZZ$1, 0))</f>
        <v>9.7025000000000006</v>
      </c>
      <c r="G610">
        <f>INDEX(CO2_Em!$E:$ZZ, MATCH(A610, CO2_Em!$C:$C, 0), MATCH(B610, CO2_Em!$E$1:$ZZ$1, 0))</f>
        <v>0.56740000000000002</v>
      </c>
      <c r="H610">
        <f>INDEX(Agri_VA!$E:$ZZ, MATCH(A610, Agri_VA!$C:$C, 0), MATCH(B610, Agri_VA!$E$1:$ZZ$1, 0))</f>
        <v>5.0010271753730757</v>
      </c>
      <c r="I610" s="6">
        <f>INDEX('Agri_land '!$E:$ZZ, MATCH(A610, 'Agri_land '!$C:$C, 0), MATCH(B610, 'Agri_land '!$E$1:$ZZ$1, 0))</f>
        <v>43.196232577570164</v>
      </c>
      <c r="J610">
        <f>INDEX(Cereal_Yield!$E:$ZZ, MATCH(A610, Cereal_Yield!$C:$C, 0), MATCH(B610, Cereal_Yield!$E$1:$ZZ$1, 0))</f>
        <v>7379.8</v>
      </c>
    </row>
    <row r="611" spans="1:10" x14ac:dyDescent="0.3">
      <c r="A611" t="s">
        <v>51</v>
      </c>
      <c r="B611" s="4">
        <v>2009</v>
      </c>
      <c r="C611" t="s">
        <v>49</v>
      </c>
      <c r="D611" s="8">
        <f>INDEX(GDP_pc!$E:$ZZ, MATCH(A611, GDP_pc!$C:$C, 0), MATCH(B611, GDP_pc!$E$1:$ZZ$1, 0))</f>
        <v>121663439315.3851</v>
      </c>
      <c r="E611">
        <f>INDEX(CH4_Em!$E:$ZZ, MATCH(A611, CH4_Em!$C:$C, 0), MATCH(B611, CH4_Em!$E$1:$ZZ$1, 0))</f>
        <v>33.074599999999997</v>
      </c>
      <c r="F611">
        <f>INDEX(N2O_Em!$E:$ZZ, MATCH(A611, N2O_Em!$C:$C, 0), MATCH(B611, N2O_Em!$E$1:$ZZ$1, 0))</f>
        <v>9.9628999999999994</v>
      </c>
      <c r="G611">
        <f>INDEX(CO2_Em!$E:$ZZ, MATCH(A611, CO2_Em!$C:$C, 0), MATCH(B611, CO2_Em!$E$1:$ZZ$1, 0))</f>
        <v>0.63290000000000002</v>
      </c>
      <c r="H611">
        <f>INDEX(Agri_VA!$E:$ZZ, MATCH(A611, Agri_VA!$C:$C, 0), MATCH(B611, Agri_VA!$E$1:$ZZ$1, 0))</f>
        <v>5.7369937002941915</v>
      </c>
      <c r="I611" s="6">
        <f>INDEX('Agri_land '!$E:$ZZ, MATCH(A611, 'Agri_land '!$C:$C, 0), MATCH(B611, 'Agri_land '!$E$1:$ZZ$1, 0))</f>
        <v>43.636777942349319</v>
      </c>
      <c r="J611">
        <f>INDEX(Cereal_Yield!$E:$ZZ, MATCH(A611, Cereal_Yield!$C:$C, 0), MATCH(B611, Cereal_Yield!$E$1:$ZZ$1, 0))</f>
        <v>6909.9</v>
      </c>
    </row>
    <row r="612" spans="1:10" x14ac:dyDescent="0.3">
      <c r="A612" t="s">
        <v>51</v>
      </c>
      <c r="B612" s="4">
        <v>2010</v>
      </c>
      <c r="C612" t="s">
        <v>49</v>
      </c>
      <c r="D612" s="8">
        <f>INDEX(GDP_pc!$E:$ZZ, MATCH(A612, GDP_pc!$C:$C, 0), MATCH(B612, GDP_pc!$E$1:$ZZ$1, 0))</f>
        <v>146887902524.05167</v>
      </c>
      <c r="E612">
        <f>INDEX(CH4_Em!$E:$ZZ, MATCH(A612, CH4_Em!$C:$C, 0), MATCH(B612, CH4_Em!$E$1:$ZZ$1, 0))</f>
        <v>32.922400000000003</v>
      </c>
      <c r="F612">
        <f>INDEX(N2O_Em!$E:$ZZ, MATCH(A612, N2O_Em!$C:$C, 0), MATCH(B612, N2O_Em!$E$1:$ZZ$1, 0))</f>
        <v>10.1609</v>
      </c>
      <c r="G612">
        <f>INDEX(CO2_Em!$E:$ZZ, MATCH(A612, CO2_Em!$C:$C, 0), MATCH(B612, CO2_Em!$E$1:$ZZ$1, 0))</f>
        <v>0.65920000000000001</v>
      </c>
      <c r="H612">
        <f>INDEX(Agri_VA!$E:$ZZ, MATCH(A612, Agri_VA!$C:$C, 0), MATCH(B612, Agri_VA!$E$1:$ZZ$1, 0))</f>
        <v>6.5713052350678911</v>
      </c>
      <c r="I612" s="6">
        <f>INDEX('Agri_land '!$E:$ZZ, MATCH(A612, 'Agri_land '!$C:$C, 0), MATCH(B612, 'Agri_land '!$E$1:$ZZ$1, 0))</f>
        <v>43.325357943108884</v>
      </c>
      <c r="J612">
        <f>INDEX(Cereal_Yield!$E:$ZZ, MATCH(A612, Cereal_Yield!$C:$C, 0), MATCH(B612, Cereal_Yield!$E$1:$ZZ$1, 0))</f>
        <v>7387.1</v>
      </c>
    </row>
    <row r="613" spans="1:10" x14ac:dyDescent="0.3">
      <c r="A613" t="s">
        <v>51</v>
      </c>
      <c r="B613" s="4">
        <v>2011</v>
      </c>
      <c r="C613" t="s">
        <v>49</v>
      </c>
      <c r="D613" s="8">
        <f>INDEX(GDP_pc!$E:$ZZ, MATCH(A613, GDP_pc!$C:$C, 0), MATCH(B613, GDP_pc!$E$1:$ZZ$1, 0))</f>
        <v>168484908960.07794</v>
      </c>
      <c r="E613">
        <f>INDEX(CH4_Em!$E:$ZZ, MATCH(A613, CH4_Em!$C:$C, 0), MATCH(B613, CH4_Em!$E$1:$ZZ$1, 0))</f>
        <v>33.167099999999998</v>
      </c>
      <c r="F613">
        <f>INDEX(N2O_Em!$E:$ZZ, MATCH(A613, N2O_Em!$C:$C, 0), MATCH(B613, N2O_Em!$E$1:$ZZ$1, 0))</f>
        <v>10.173500000000001</v>
      </c>
      <c r="G613">
        <f>INDEX(CO2_Em!$E:$ZZ, MATCH(A613, CO2_Em!$C:$C, 0), MATCH(B613, CO2_Em!$E$1:$ZZ$1, 0))</f>
        <v>0.64949999999999997</v>
      </c>
      <c r="H613">
        <f>INDEX(Agri_VA!$E:$ZZ, MATCH(A613, Agri_VA!$C:$C, 0), MATCH(B613, Agri_VA!$E$1:$ZZ$1, 0))</f>
        <v>6.2770197402353833</v>
      </c>
      <c r="I613" s="6">
        <f>INDEX('Agri_land '!$E:$ZZ, MATCH(A613, 'Agri_land '!$C:$C, 0), MATCH(B613, 'Agri_land '!$E$1:$ZZ$1, 0))</f>
        <v>43.184839162963804</v>
      </c>
      <c r="J613">
        <f>INDEX(Cereal_Yield!$E:$ZZ, MATCH(A613, Cereal_Yield!$C:$C, 0), MATCH(B613, Cereal_Yield!$E$1:$ZZ$1, 0))</f>
        <v>6953.2</v>
      </c>
    </row>
    <row r="614" spans="1:10" x14ac:dyDescent="0.3">
      <c r="A614" t="s">
        <v>51</v>
      </c>
      <c r="B614" s="4">
        <v>2012</v>
      </c>
      <c r="C614" t="s">
        <v>49</v>
      </c>
      <c r="D614" s="8">
        <f>INDEX(GDP_pc!$E:$ZZ, MATCH(A614, GDP_pc!$C:$C, 0), MATCH(B614, GDP_pc!$E$1:$ZZ$1, 0))</f>
        <v>176560711239.14664</v>
      </c>
      <c r="E614">
        <f>INDEX(CH4_Em!$E:$ZZ, MATCH(A614, CH4_Em!$C:$C, 0), MATCH(B614, CH4_Em!$E$1:$ZZ$1, 0))</f>
        <v>33.875100000000003</v>
      </c>
      <c r="F614">
        <f>INDEX(N2O_Em!$E:$ZZ, MATCH(A614, N2O_Em!$C:$C, 0), MATCH(B614, N2O_Em!$E$1:$ZZ$1, 0))</f>
        <v>10.3347</v>
      </c>
      <c r="G614">
        <f>INDEX(CO2_Em!$E:$ZZ, MATCH(A614, CO2_Em!$C:$C, 0), MATCH(B614, CO2_Em!$E$1:$ZZ$1, 0))</f>
        <v>0.68959999999999999</v>
      </c>
      <c r="H614">
        <f>INDEX(Agri_VA!$E:$ZZ, MATCH(A614, Agri_VA!$C:$C, 0), MATCH(B614, Agri_VA!$E$1:$ZZ$1, 0))</f>
        <v>5.506456320035241</v>
      </c>
      <c r="I614" s="6">
        <f>INDEX('Agri_land '!$E:$ZZ, MATCH(A614, 'Agri_land '!$C:$C, 0), MATCH(B614, 'Agri_land '!$E$1:$ZZ$1, 0))</f>
        <v>42.571113896168015</v>
      </c>
      <c r="J614">
        <f>INDEX(Cereal_Yield!$E:$ZZ, MATCH(A614, Cereal_Yield!$C:$C, 0), MATCH(B614, Cereal_Yield!$E$1:$ZZ$1, 0))</f>
        <v>8012</v>
      </c>
    </row>
    <row r="615" spans="1:10" x14ac:dyDescent="0.3">
      <c r="A615" t="s">
        <v>51</v>
      </c>
      <c r="B615" s="4">
        <v>2013</v>
      </c>
      <c r="C615" t="s">
        <v>49</v>
      </c>
      <c r="D615" s="8">
        <f>INDEX(GDP_pc!$E:$ZZ, MATCH(A615, GDP_pc!$C:$C, 0), MATCH(B615, GDP_pc!$E$1:$ZZ$1, 0))</f>
        <v>191012364176.87823</v>
      </c>
      <c r="E615">
        <f>INDEX(CH4_Em!$E:$ZZ, MATCH(A615, CH4_Em!$C:$C, 0), MATCH(B615, CH4_Em!$E$1:$ZZ$1, 0))</f>
        <v>33.2044</v>
      </c>
      <c r="F615">
        <f>INDEX(N2O_Em!$E:$ZZ, MATCH(A615, N2O_Em!$C:$C, 0), MATCH(B615, N2O_Em!$E$1:$ZZ$1, 0))</f>
        <v>10.470800000000001</v>
      </c>
      <c r="G615">
        <f>INDEX(CO2_Em!$E:$ZZ, MATCH(A615, CO2_Em!$C:$C, 0), MATCH(B615, CO2_Em!$E$1:$ZZ$1, 0))</f>
        <v>0.63919999999999999</v>
      </c>
      <c r="H615">
        <f>INDEX(Agri_VA!$E:$ZZ, MATCH(A615, Agri_VA!$C:$C, 0), MATCH(B615, Agri_VA!$E$1:$ZZ$1, 0))</f>
        <v>7.0298211418414747</v>
      </c>
      <c r="I615" s="6">
        <f>INDEX('Agri_land '!$E:$ZZ, MATCH(A615, 'Agri_land '!$C:$C, 0), MATCH(B615, 'Agri_land '!$E$1:$ZZ$1, 0))</f>
        <v>42.178420872735565</v>
      </c>
      <c r="J615">
        <f>INDEX(Cereal_Yield!$E:$ZZ, MATCH(A615, Cereal_Yield!$C:$C, 0), MATCH(B615, Cereal_Yield!$E$1:$ZZ$1, 0))</f>
        <v>8105.6</v>
      </c>
    </row>
    <row r="616" spans="1:10" x14ac:dyDescent="0.3">
      <c r="A616" t="s">
        <v>51</v>
      </c>
      <c r="B616" s="4">
        <v>2014</v>
      </c>
      <c r="C616" t="s">
        <v>49</v>
      </c>
      <c r="D616" s="8">
        <f>INDEX(GDP_pc!$E:$ZZ, MATCH(A616, GDP_pc!$C:$C, 0), MATCH(B616, GDP_pc!$E$1:$ZZ$1, 0))</f>
        <v>201518402787.37991</v>
      </c>
      <c r="E616">
        <f>INDEX(CH4_Em!$E:$ZZ, MATCH(A616, CH4_Em!$C:$C, 0), MATCH(B616, CH4_Em!$E$1:$ZZ$1, 0))</f>
        <v>33.649799999999999</v>
      </c>
      <c r="F616">
        <f>INDEX(N2O_Em!$E:$ZZ, MATCH(A616, N2O_Em!$C:$C, 0), MATCH(B616, N2O_Em!$E$1:$ZZ$1, 0))</f>
        <v>10.6639</v>
      </c>
      <c r="G616">
        <f>INDEX(CO2_Em!$E:$ZZ, MATCH(A616, CO2_Em!$C:$C, 0), MATCH(B616, CO2_Em!$E$1:$ZZ$1, 0))</f>
        <v>0.71399999999999997</v>
      </c>
      <c r="H616">
        <f>INDEX(Agri_VA!$E:$ZZ, MATCH(A616, Agri_VA!$C:$C, 0), MATCH(B616, Agri_VA!$E$1:$ZZ$1, 0))</f>
        <v>4.7720003128640647</v>
      </c>
      <c r="I616" s="6">
        <f>INDEX('Agri_land '!$E:$ZZ, MATCH(A616, 'Agri_land '!$C:$C, 0), MATCH(B616, 'Agri_land '!$E$1:$ZZ$1, 0))</f>
        <v>42.216398921423412</v>
      </c>
      <c r="J616">
        <f>INDEX(Cereal_Yield!$E:$ZZ, MATCH(A616, Cereal_Yield!$C:$C, 0), MATCH(B616, Cereal_Yield!$E$1:$ZZ$1, 0))</f>
        <v>8033.9</v>
      </c>
    </row>
    <row r="617" spans="1:10" x14ac:dyDescent="0.3">
      <c r="A617" t="s">
        <v>51</v>
      </c>
      <c r="B617" s="4">
        <v>2015</v>
      </c>
      <c r="C617" t="s">
        <v>49</v>
      </c>
      <c r="D617" s="8">
        <f>INDEX(GDP_pc!$E:$ZZ, MATCH(A617, GDP_pc!$C:$C, 0), MATCH(B617, GDP_pc!$E$1:$ZZ$1, 0))</f>
        <v>178224167087.98969</v>
      </c>
      <c r="E617">
        <f>INDEX(CH4_Em!$E:$ZZ, MATCH(A617, CH4_Em!$C:$C, 0), MATCH(B617, CH4_Em!$E$1:$ZZ$1, 0))</f>
        <v>32.72</v>
      </c>
      <c r="F617">
        <f>INDEX(N2O_Em!$E:$ZZ, MATCH(A617, N2O_Em!$C:$C, 0), MATCH(B617, N2O_Em!$E$1:$ZZ$1, 0))</f>
        <v>10.437900000000001</v>
      </c>
      <c r="G617">
        <f>INDEX(CO2_Em!$E:$ZZ, MATCH(A617, CO2_Em!$C:$C, 0), MATCH(B617, CO2_Em!$E$1:$ZZ$1, 0))</f>
        <v>0.77059999999999995</v>
      </c>
      <c r="H617">
        <f>INDEX(Agri_VA!$E:$ZZ, MATCH(A617, Agri_VA!$C:$C, 0), MATCH(B617, Agri_VA!$E$1:$ZZ$1, 0))</f>
        <v>4.4672867210029388</v>
      </c>
      <c r="I617" s="6">
        <f>INDEX('Agri_land '!$E:$ZZ, MATCH(A617, 'Agri_land '!$C:$C, 0), MATCH(B617, 'Agri_land '!$E$1:$ZZ$1, 0))</f>
        <v>40.682085754433942</v>
      </c>
      <c r="J617">
        <f>INDEX(Cereal_Yield!$E:$ZZ, MATCH(A617, Cereal_Yield!$C:$C, 0), MATCH(B617, Cereal_Yield!$E$1:$ZZ$1, 0))</f>
        <v>8026.6</v>
      </c>
    </row>
    <row r="618" spans="1:10" x14ac:dyDescent="0.3">
      <c r="A618" t="s">
        <v>51</v>
      </c>
      <c r="B618" s="4">
        <v>2016</v>
      </c>
      <c r="C618" t="s">
        <v>49</v>
      </c>
      <c r="D618" s="8">
        <f>INDEX(GDP_pc!$E:$ZZ, MATCH(A618, GDP_pc!$C:$C, 0), MATCH(B618, GDP_pc!$E$1:$ZZ$1, 0))</f>
        <v>189100085275.23016</v>
      </c>
      <c r="E618">
        <f>INDEX(CH4_Em!$E:$ZZ, MATCH(A618, CH4_Em!$C:$C, 0), MATCH(B618, CH4_Em!$E$1:$ZZ$1, 0))</f>
        <v>32.8874</v>
      </c>
      <c r="F618">
        <f>INDEX(N2O_Em!$E:$ZZ, MATCH(A618, N2O_Em!$C:$C, 0), MATCH(B618, N2O_Em!$E$1:$ZZ$1, 0))</f>
        <v>10.5137</v>
      </c>
      <c r="G618">
        <f>INDEX(CO2_Em!$E:$ZZ, MATCH(A618, CO2_Em!$C:$C, 0), MATCH(B618, CO2_Em!$E$1:$ZZ$1, 0))</f>
        <v>0.70589999999999997</v>
      </c>
      <c r="H618">
        <f>INDEX(Agri_VA!$E:$ZZ, MATCH(A618, Agri_VA!$C:$C, 0), MATCH(B618, Agri_VA!$E$1:$ZZ$1, 0))</f>
        <v>5.5443277488799803</v>
      </c>
      <c r="I618" s="6">
        <f>INDEX('Agri_land '!$E:$ZZ, MATCH(A618, 'Agri_land '!$C:$C, 0), MATCH(B618, 'Agri_land '!$E$1:$ZZ$1, 0))</f>
        <v>40.309900877292925</v>
      </c>
      <c r="J618">
        <f>INDEX(Cereal_Yield!$E:$ZZ, MATCH(A618, Cereal_Yield!$C:$C, 0), MATCH(B618, Cereal_Yield!$E$1:$ZZ$1, 0))</f>
        <v>8383.7999999999993</v>
      </c>
    </row>
    <row r="619" spans="1:10" x14ac:dyDescent="0.3">
      <c r="A619" t="s">
        <v>51</v>
      </c>
      <c r="B619" s="4">
        <v>2017</v>
      </c>
      <c r="C619" t="s">
        <v>49</v>
      </c>
      <c r="D619" s="8">
        <f>INDEX(GDP_pc!$E:$ZZ, MATCH(A619, GDP_pc!$C:$C, 0), MATCH(B619, GDP_pc!$E$1:$ZZ$1, 0))</f>
        <v>206745969246.07333</v>
      </c>
      <c r="E619">
        <f>INDEX(CH4_Em!$E:$ZZ, MATCH(A619, CH4_Em!$C:$C, 0), MATCH(B619, CH4_Em!$E$1:$ZZ$1, 0))</f>
        <v>32.509300000000003</v>
      </c>
      <c r="F619">
        <f>INDEX(N2O_Em!$E:$ZZ, MATCH(A619, N2O_Em!$C:$C, 0), MATCH(B619, N2O_Em!$E$1:$ZZ$1, 0))</f>
        <v>10.5541</v>
      </c>
      <c r="G619">
        <f>INDEX(CO2_Em!$E:$ZZ, MATCH(A619, CO2_Em!$C:$C, 0), MATCH(B619, CO2_Em!$E$1:$ZZ$1, 0))</f>
        <v>0.81359999999999999</v>
      </c>
      <c r="H619">
        <f>INDEX(Agri_VA!$E:$ZZ, MATCH(A619, Agri_VA!$C:$C, 0), MATCH(B619, Agri_VA!$E$1:$ZZ$1, 0))</f>
        <v>5.9094220829209281</v>
      </c>
      <c r="I619" s="6">
        <f>INDEX('Agri_land '!$E:$ZZ, MATCH(A619, 'Agri_land '!$C:$C, 0), MATCH(B619, 'Agri_land '!$E$1:$ZZ$1, 0))</f>
        <v>40.423835023356503</v>
      </c>
      <c r="J619">
        <f>INDEX(Cereal_Yield!$E:$ZZ, MATCH(A619, Cereal_Yield!$C:$C, 0), MATCH(B619, Cereal_Yield!$E$1:$ZZ$1, 0))</f>
        <v>8464.4</v>
      </c>
    </row>
    <row r="620" spans="1:10" x14ac:dyDescent="0.3">
      <c r="A620" t="s">
        <v>51</v>
      </c>
      <c r="B620" s="4">
        <v>2018</v>
      </c>
      <c r="C620" t="s">
        <v>49</v>
      </c>
      <c r="D620" s="8">
        <f>INDEX(GDP_pc!$E:$ZZ, MATCH(A620, GDP_pc!$C:$C, 0), MATCH(B620, GDP_pc!$E$1:$ZZ$1, 0))</f>
        <v>211985631173.20483</v>
      </c>
      <c r="E620">
        <f>INDEX(CH4_Em!$E:$ZZ, MATCH(A620, CH4_Em!$C:$C, 0), MATCH(B620, CH4_Em!$E$1:$ZZ$1, 0))</f>
        <v>32.331200000000003</v>
      </c>
      <c r="F620">
        <f>INDEX(N2O_Em!$E:$ZZ, MATCH(A620, N2O_Em!$C:$C, 0), MATCH(B620, N2O_Em!$E$1:$ZZ$1, 0))</f>
        <v>10.4697</v>
      </c>
      <c r="G620">
        <f>INDEX(CO2_Em!$E:$ZZ, MATCH(A620, CO2_Em!$C:$C, 0), MATCH(B620, CO2_Em!$E$1:$ZZ$1, 0))</f>
        <v>1.0173000000000001</v>
      </c>
      <c r="H620">
        <f>INDEX(Agri_VA!$E:$ZZ, MATCH(A620, Agri_VA!$C:$C, 0), MATCH(B620, Agri_VA!$E$1:$ZZ$1, 0))</f>
        <v>5.6613811876986952</v>
      </c>
      <c r="I620" s="6">
        <f>INDEX('Agri_land '!$E:$ZZ, MATCH(A620, 'Agri_land '!$C:$C, 0), MATCH(B620, 'Agri_land '!$E$1:$ZZ$1, 0))</f>
        <v>39.869355512513764</v>
      </c>
      <c r="J620">
        <f>INDEX(Cereal_Yield!$E:$ZZ, MATCH(A620, Cereal_Yield!$C:$C, 0), MATCH(B620, Cereal_Yield!$E$1:$ZZ$1, 0))</f>
        <v>8064.3</v>
      </c>
    </row>
    <row r="621" spans="1:10" x14ac:dyDescent="0.3">
      <c r="A621" t="s">
        <v>51</v>
      </c>
      <c r="B621" s="4">
        <v>2019</v>
      </c>
      <c r="C621" t="s">
        <v>49</v>
      </c>
      <c r="D621" s="8">
        <f>INDEX(GDP_pc!$E:$ZZ, MATCH(A621, GDP_pc!$C:$C, 0), MATCH(B621, GDP_pc!$E$1:$ZZ$1, 0))</f>
        <v>213006341101.86938</v>
      </c>
      <c r="E621">
        <f>INDEX(CH4_Em!$E:$ZZ, MATCH(A621, CH4_Em!$C:$C, 0), MATCH(B621, CH4_Em!$E$1:$ZZ$1, 0))</f>
        <v>31.973199999999999</v>
      </c>
      <c r="F621">
        <f>INDEX(N2O_Em!$E:$ZZ, MATCH(A621, N2O_Em!$C:$C, 0), MATCH(B621, N2O_Em!$E$1:$ZZ$1, 0))</f>
        <v>10.532299999999999</v>
      </c>
      <c r="G621">
        <f>INDEX(CO2_Em!$E:$ZZ, MATCH(A621, CO2_Em!$C:$C, 0), MATCH(B621, CO2_Em!$E$1:$ZZ$1, 0))</f>
        <v>1.0283</v>
      </c>
      <c r="H621">
        <f>INDEX(Agri_VA!$E:$ZZ, MATCH(A621, Agri_VA!$C:$C, 0), MATCH(B621, Agri_VA!$E$1:$ZZ$1, 0))</f>
        <v>5.6894626635778511</v>
      </c>
      <c r="I621" s="6">
        <f>INDEX('Agri_land '!$E:$ZZ, MATCH(A621, 'Agri_land '!$C:$C, 0), MATCH(B621, 'Agri_land '!$E$1:$ZZ$1, 0))</f>
        <v>39.288291367589537</v>
      </c>
      <c r="J621">
        <f>INDEX(Cereal_Yield!$E:$ZZ, MATCH(A621, Cereal_Yield!$C:$C, 0), MATCH(B621, Cereal_Yield!$E$1:$ZZ$1, 0))</f>
        <v>8192.2000000000007</v>
      </c>
    </row>
    <row r="622" spans="1:10" x14ac:dyDescent="0.3">
      <c r="A622" t="s">
        <v>51</v>
      </c>
      <c r="B622" s="4">
        <v>2020</v>
      </c>
      <c r="C622" t="s">
        <v>49</v>
      </c>
      <c r="D622" s="8">
        <f>INDEX(GDP_pc!$E:$ZZ, MATCH(A622, GDP_pc!$C:$C, 0), MATCH(B622, GDP_pc!$E$1:$ZZ$1, 0))</f>
        <v>213029554653.68719</v>
      </c>
      <c r="E622">
        <f>INDEX(CH4_Em!$E:$ZZ, MATCH(A622, CH4_Em!$C:$C, 0), MATCH(B622, CH4_Em!$E$1:$ZZ$1, 0))</f>
        <v>31.603200000000001</v>
      </c>
      <c r="F622">
        <f>INDEX(N2O_Em!$E:$ZZ, MATCH(A622, N2O_Em!$C:$C, 0), MATCH(B622, N2O_Em!$E$1:$ZZ$1, 0))</f>
        <v>10.2897</v>
      </c>
      <c r="G622">
        <f>INDEX(CO2_Em!$E:$ZZ, MATCH(A622, CO2_Em!$C:$C, 0), MATCH(B622, CO2_Em!$E$1:$ZZ$1, 0))</f>
        <v>0.99619999999999997</v>
      </c>
      <c r="H622">
        <f>INDEX(Agri_VA!$E:$ZZ, MATCH(A622, Agri_VA!$C:$C, 0), MATCH(B622, Agri_VA!$E$1:$ZZ$1, 0))</f>
        <v>5.7046489540462213</v>
      </c>
      <c r="I622" s="6">
        <f>INDEX('Agri_land '!$E:$ZZ, MATCH(A622, 'Agri_land '!$C:$C, 0), MATCH(B622, 'Agri_land '!$E$1:$ZZ$1, 0))</f>
        <v>38.562910637651434</v>
      </c>
      <c r="J622">
        <f>INDEX(Cereal_Yield!$E:$ZZ, MATCH(A622, Cereal_Yield!$C:$C, 0), MATCH(B622, Cereal_Yield!$E$1:$ZZ$1, 0))</f>
        <v>9015.4</v>
      </c>
    </row>
    <row r="623" spans="1:10" x14ac:dyDescent="0.3">
      <c r="A623" t="s">
        <v>51</v>
      </c>
      <c r="B623" s="4">
        <v>2021</v>
      </c>
      <c r="C623" t="s">
        <v>49</v>
      </c>
      <c r="D623" s="8">
        <f>INDEX(GDP_pc!$E:$ZZ, MATCH(A623, GDP_pc!$C:$C, 0), MATCH(B623, GDP_pc!$E$1:$ZZ$1, 0))</f>
        <v>253977931814.96677</v>
      </c>
      <c r="E623">
        <f>INDEX(CH4_Em!$E:$ZZ, MATCH(A623, CH4_Em!$C:$C, 0), MATCH(B623, CH4_Em!$E$1:$ZZ$1, 0))</f>
        <v>31.5684</v>
      </c>
      <c r="F623">
        <f>INDEX(N2O_Em!$E:$ZZ, MATCH(A623, N2O_Em!$C:$C, 0), MATCH(B623, N2O_Em!$E$1:$ZZ$1, 0))</f>
        <v>10.0684</v>
      </c>
      <c r="G623">
        <f>INDEX(CO2_Em!$E:$ZZ, MATCH(A623, CO2_Em!$C:$C, 0), MATCH(B623, CO2_Em!$E$1:$ZZ$1, 0))</f>
        <v>0.90059999999999996</v>
      </c>
      <c r="H623">
        <f>INDEX(Agri_VA!$E:$ZZ, MATCH(A623, Agri_VA!$C:$C, 0), MATCH(B623, Agri_VA!$E$1:$ZZ$1, 0))</f>
        <v>5.7684488434138927</v>
      </c>
      <c r="I623" s="6">
        <f>INDEX('Agri_land '!$E:$ZZ, MATCH(A623, 'Agri_land '!$C:$C, 0), MATCH(B623, 'Agri_land '!$E$1:$ZZ$1, 0))</f>
        <v>38.642664539895939</v>
      </c>
      <c r="J623">
        <f>INDEX(Cereal_Yield!$E:$ZZ, MATCH(A623, Cereal_Yield!$C:$C, 0), MATCH(B623, Cereal_Yield!$E$1:$ZZ$1, 0))</f>
        <v>8801.7000000000007</v>
      </c>
    </row>
    <row r="624" spans="1:10" x14ac:dyDescent="0.3">
      <c r="A624" t="s">
        <v>51</v>
      </c>
      <c r="B624" s="4">
        <v>2022</v>
      </c>
      <c r="C624" t="s">
        <v>49</v>
      </c>
      <c r="D624" s="8">
        <f>INDEX(GDP_pc!$E:$ZZ, MATCH(A624, GDP_pc!$C:$C, 0), MATCH(B624, GDP_pc!$E$1:$ZZ$1, 0))</f>
        <v>249509991440.43759</v>
      </c>
      <c r="E624">
        <f>INDEX(CH4_Em!$E:$ZZ, MATCH(A624, CH4_Em!$C:$C, 0), MATCH(B624, CH4_Em!$E$1:$ZZ$1, 0))</f>
        <v>31.125499999999999</v>
      </c>
      <c r="F624">
        <f>INDEX(N2O_Em!$E:$ZZ, MATCH(A624, N2O_Em!$C:$C, 0), MATCH(B624, N2O_Em!$E$1:$ZZ$1, 0))</f>
        <v>9.8148</v>
      </c>
      <c r="G624">
        <f>INDEX(CO2_Em!$E:$ZZ, MATCH(A624, CO2_Em!$C:$C, 0), MATCH(B624, CO2_Em!$E$1:$ZZ$1, 0))</f>
        <v>0.71040000000000003</v>
      </c>
      <c r="H624">
        <f>INDEX(Agri_VA!$E:$ZZ, MATCH(A624, Agri_VA!$C:$C, 0), MATCH(B624, Agri_VA!$E$1:$ZZ$1, 0))</f>
        <v>4.5689832614612103</v>
      </c>
      <c r="I624" s="6">
        <f>INDEX('Agri_land '!$E:$ZZ, MATCH(A624, 'Agri_land '!$C:$C, 0), MATCH(B624, 'Agri_land '!$E$1:$ZZ$1, 0))</f>
        <v>37.017204056055604</v>
      </c>
      <c r="J624">
        <f>INDEX(Cereal_Yield!$E:$ZZ, MATCH(A624, Cereal_Yield!$C:$C, 0), MATCH(B624, Cereal_Yield!$E$1:$ZZ$1, 0))</f>
        <v>8385</v>
      </c>
    </row>
    <row r="625" spans="1:10" x14ac:dyDescent="0.3">
      <c r="A625" t="s">
        <v>51</v>
      </c>
      <c r="B625" s="4">
        <v>2023</v>
      </c>
      <c r="C625" t="s">
        <v>49</v>
      </c>
      <c r="D625" s="8">
        <f>INDEX(GDP_pc!$E:$ZZ, MATCH(A625, GDP_pc!$C:$C, 0), MATCH(B625, GDP_pc!$E$1:$ZZ$1, 0))</f>
        <v>255194972673.12192</v>
      </c>
      <c r="E625">
        <f>INDEX(CH4_Em!$E:$ZZ, MATCH(A625, CH4_Em!$C:$C, 0), MATCH(B625, CH4_Em!$E$1:$ZZ$1, 0))</f>
        <v>29.965900000000001</v>
      </c>
      <c r="F625">
        <f>INDEX(N2O_Em!$E:$ZZ, MATCH(A625, N2O_Em!$C:$C, 0), MATCH(B625, N2O_Em!$E$1:$ZZ$1, 0))</f>
        <v>9.4417000000000009</v>
      </c>
      <c r="G625">
        <f>INDEX(CO2_Em!$E:$ZZ, MATCH(A625, CO2_Em!$C:$C, 0), MATCH(B625, CO2_Em!$E$1:$ZZ$1, 0))</f>
        <v>0.70069999999999999</v>
      </c>
      <c r="H625" t="str">
        <f>INDEX(Agri_VA!$E:$ZZ, MATCH(A625, Agri_VA!$C:$C, 0), MATCH(B625, Agri_VA!$E$1:$ZZ$1, 0))</f>
        <v>..</v>
      </c>
      <c r="I625" s="6">
        <f>INDEX('Agri_land '!$E:$ZZ, MATCH(A625, 'Agri_land '!$C:$C, 0), MATCH(B625, 'Agri_land '!$E$1:$ZZ$1, 0))</f>
        <v>36.880483080779307</v>
      </c>
      <c r="J625">
        <f>INDEX(Cereal_Yield!$E:$ZZ, MATCH(A625, Cereal_Yield!$C:$C, 0), MATCH(B625, Cereal_Yield!$E$1:$ZZ$1, 0))</f>
        <v>8244.4</v>
      </c>
    </row>
    <row r="626" spans="1:10" x14ac:dyDescent="0.3">
      <c r="A626" t="s">
        <v>32</v>
      </c>
      <c r="B626" s="4">
        <v>2000</v>
      </c>
      <c r="C626" t="s">
        <v>49</v>
      </c>
      <c r="D626" s="8">
        <f>INDEX(GDP_pc!$E:$ZZ, MATCH(A626, GDP_pc!$C:$C, 0), MATCH(B626, GDP_pc!$E$1:$ZZ$1, 0))</f>
        <v>172953527033.01254</v>
      </c>
      <c r="E626">
        <f>INDEX(CH4_Em!$E:$ZZ, MATCH(A626, CH4_Em!$C:$C, 0), MATCH(B626, CH4_Em!$E$1:$ZZ$1, 0))</f>
        <v>19.461400000000001</v>
      </c>
      <c r="F626">
        <f>INDEX(N2O_Em!$E:$ZZ, MATCH(A626, N2O_Em!$C:$C, 0), MATCH(B626, N2O_Em!$E$1:$ZZ$1, 0))</f>
        <v>15.3927</v>
      </c>
      <c r="G626">
        <f>INDEX(CO2_Em!$E:$ZZ, MATCH(A626, CO2_Em!$C:$C, 0), MATCH(B626, CO2_Em!$E$1:$ZZ$1, 0))</f>
        <v>1.7179</v>
      </c>
      <c r="H626">
        <f>INDEX(Agri_VA!$E:$ZZ, MATCH(A626, Agri_VA!$C:$C, 0), MATCH(B626, Agri_VA!$E$1:$ZZ$1, 0))</f>
        <v>3.1905000738356915</v>
      </c>
      <c r="I626" s="6">
        <f>INDEX('Agri_land '!$E:$ZZ, MATCH(A626, 'Agri_land '!$C:$C, 0), MATCH(B626, 'Agri_land '!$E$1:$ZZ$1, 0))</f>
        <v>60.116229716934932</v>
      </c>
      <c r="J626">
        <f>INDEX(Cereal_Yield!$E:$ZZ, MATCH(A626, Cereal_Yield!$C:$C, 0), MATCH(B626, Cereal_Yield!$E$1:$ZZ$1, 0))</f>
        <v>2534.8000000000002</v>
      </c>
    </row>
    <row r="627" spans="1:10" x14ac:dyDescent="0.3">
      <c r="A627" t="s">
        <v>32</v>
      </c>
      <c r="B627" s="4">
        <v>2001</v>
      </c>
      <c r="C627" t="s">
        <v>49</v>
      </c>
      <c r="D627" s="8">
        <f>INDEX(GDP_pc!$E:$ZZ, MATCH(A627, GDP_pc!$C:$C, 0), MATCH(B627, GDP_pc!$E$1:$ZZ$1, 0))</f>
        <v>191823200371.28412</v>
      </c>
      <c r="E627">
        <f>INDEX(CH4_Em!$E:$ZZ, MATCH(A627, CH4_Em!$C:$C, 0), MATCH(B627, CH4_Em!$E$1:$ZZ$1, 0))</f>
        <v>18.7685</v>
      </c>
      <c r="F627">
        <f>INDEX(N2O_Em!$E:$ZZ, MATCH(A627, N2O_Em!$C:$C, 0), MATCH(B627, N2O_Em!$E$1:$ZZ$1, 0))</f>
        <v>15.180099999999999</v>
      </c>
      <c r="G627">
        <f>INDEX(CO2_Em!$E:$ZZ, MATCH(A627, CO2_Em!$C:$C, 0), MATCH(B627, CO2_Em!$E$1:$ZZ$1, 0))</f>
        <v>1.7004999999999999</v>
      </c>
      <c r="H627">
        <f>INDEX(Agri_VA!$E:$ZZ, MATCH(A627, Agri_VA!$C:$C, 0), MATCH(B627, Agri_VA!$E$1:$ZZ$1, 0))</f>
        <v>3.3249501785930309</v>
      </c>
      <c r="I627" s="6">
        <f>INDEX('Agri_land '!$E:$ZZ, MATCH(A627, 'Agri_land '!$C:$C, 0), MATCH(B627, 'Agri_land '!$E$1:$ZZ$1, 0))</f>
        <v>58.07567991119528</v>
      </c>
      <c r="J627">
        <f>INDEX(Cereal_Yield!$E:$ZZ, MATCH(A627, Cereal_Yield!$C:$C, 0), MATCH(B627, Cereal_Yield!$E$1:$ZZ$1, 0))</f>
        <v>3056.4</v>
      </c>
    </row>
    <row r="628" spans="1:10" x14ac:dyDescent="0.3">
      <c r="A628" t="s">
        <v>32</v>
      </c>
      <c r="B628" s="4">
        <v>2002</v>
      </c>
      <c r="C628" t="s">
        <v>49</v>
      </c>
      <c r="D628" s="8">
        <f>INDEX(GDP_pc!$E:$ZZ, MATCH(A628, GDP_pc!$C:$C, 0), MATCH(B628, GDP_pc!$E$1:$ZZ$1, 0))</f>
        <v>199694463255.5668</v>
      </c>
      <c r="E628">
        <f>INDEX(CH4_Em!$E:$ZZ, MATCH(A628, CH4_Em!$C:$C, 0), MATCH(B628, CH4_Em!$E$1:$ZZ$1, 0))</f>
        <v>19.5886</v>
      </c>
      <c r="F628">
        <f>INDEX(N2O_Em!$E:$ZZ, MATCH(A628, N2O_Em!$C:$C, 0), MATCH(B628, N2O_Em!$E$1:$ZZ$1, 0))</f>
        <v>15.7422</v>
      </c>
      <c r="G628">
        <f>INDEX(CO2_Em!$E:$ZZ, MATCH(A628, CO2_Em!$C:$C, 0), MATCH(B628, CO2_Em!$E$1:$ZZ$1, 0))</f>
        <v>1.4373</v>
      </c>
      <c r="H628">
        <f>INDEX(Agri_VA!$E:$ZZ, MATCH(A628, Agri_VA!$C:$C, 0), MATCH(B628, Agri_VA!$E$1:$ZZ$1, 0))</f>
        <v>2.8094162698217882</v>
      </c>
      <c r="I628" s="6">
        <f>INDEX('Agri_land '!$E:$ZZ, MATCH(A628, 'Agri_land '!$C:$C, 0), MATCH(B628, 'Agri_land '!$E$1:$ZZ$1, 0))</f>
        <v>55.173201867511182</v>
      </c>
      <c r="J628">
        <f>INDEX(Cereal_Yield!$E:$ZZ, MATCH(A628, Cereal_Yield!$C:$C, 0), MATCH(B628, Cereal_Yield!$E$1:$ZZ$1, 0))</f>
        <v>3240.8</v>
      </c>
    </row>
    <row r="629" spans="1:10" x14ac:dyDescent="0.3">
      <c r="A629" t="s">
        <v>32</v>
      </c>
      <c r="B629" s="4">
        <v>2003</v>
      </c>
      <c r="C629" t="s">
        <v>49</v>
      </c>
      <c r="D629" s="8">
        <f>INDEX(GDP_pc!$E:$ZZ, MATCH(A629, GDP_pc!$C:$C, 0), MATCH(B629, GDP_pc!$E$1:$ZZ$1, 0))</f>
        <v>218561225998.47006</v>
      </c>
      <c r="E629">
        <f>INDEX(CH4_Em!$E:$ZZ, MATCH(A629, CH4_Em!$C:$C, 0), MATCH(B629, CH4_Em!$E$1:$ZZ$1, 0))</f>
        <v>19.116800000000001</v>
      </c>
      <c r="F629">
        <f>INDEX(N2O_Em!$E:$ZZ, MATCH(A629, N2O_Em!$C:$C, 0), MATCH(B629, N2O_Em!$E$1:$ZZ$1, 0))</f>
        <v>15.8889</v>
      </c>
      <c r="G629">
        <f>INDEX(CO2_Em!$E:$ZZ, MATCH(A629, CO2_Em!$C:$C, 0), MATCH(B629, CO2_Em!$E$1:$ZZ$1, 0))</f>
        <v>1.6957</v>
      </c>
      <c r="H629">
        <f>INDEX(Agri_VA!$E:$ZZ, MATCH(A629, Agri_VA!$C:$C, 0), MATCH(B629, Agri_VA!$E$1:$ZZ$1, 0))</f>
        <v>2.6917615391040717</v>
      </c>
      <c r="I629" s="6">
        <f>INDEX('Agri_land '!$E:$ZZ, MATCH(A629, 'Agri_land '!$C:$C, 0), MATCH(B629, 'Agri_land '!$E$1:$ZZ$1, 0))</f>
        <v>52.798458725182861</v>
      </c>
      <c r="J629">
        <f>INDEX(Cereal_Yield!$E:$ZZ, MATCH(A629, Cereal_Yield!$C:$C, 0), MATCH(B629, Cereal_Yield!$E$1:$ZZ$1, 0))</f>
        <v>2865.4</v>
      </c>
    </row>
    <row r="630" spans="1:10" x14ac:dyDescent="0.3">
      <c r="A630" t="s">
        <v>32</v>
      </c>
      <c r="B630" s="4">
        <v>2004</v>
      </c>
      <c r="C630" t="s">
        <v>49</v>
      </c>
      <c r="D630" s="8">
        <f>INDEX(GDP_pc!$E:$ZZ, MATCH(A630, GDP_pc!$C:$C, 0), MATCH(B630, GDP_pc!$E$1:$ZZ$1, 0))</f>
        <v>256268656145.13394</v>
      </c>
      <c r="E630">
        <f>INDEX(CH4_Em!$E:$ZZ, MATCH(A630, CH4_Em!$C:$C, 0), MATCH(B630, CH4_Em!$E$1:$ZZ$1, 0))</f>
        <v>18.5</v>
      </c>
      <c r="F630">
        <f>INDEX(N2O_Em!$E:$ZZ, MATCH(A630, N2O_Em!$C:$C, 0), MATCH(B630, N2O_Em!$E$1:$ZZ$1, 0))</f>
        <v>15.4763</v>
      </c>
      <c r="G630">
        <f>INDEX(CO2_Em!$E:$ZZ, MATCH(A630, CO2_Em!$C:$C, 0), MATCH(B630, CO2_Em!$E$1:$ZZ$1, 0))</f>
        <v>1.5725</v>
      </c>
      <c r="H630">
        <f>INDEX(Agri_VA!$E:$ZZ, MATCH(A630, Agri_VA!$C:$C, 0), MATCH(B630, Agri_VA!$E$1:$ZZ$1, 0))</f>
        <v>3.3335858211383504</v>
      </c>
      <c r="I630" s="6">
        <f>INDEX('Agri_land '!$E:$ZZ, MATCH(A630, 'Agri_land '!$C:$C, 0), MATCH(B630, 'Agri_land '!$E$1:$ZZ$1, 0))</f>
        <v>53.298730127640127</v>
      </c>
      <c r="J630">
        <f>INDEX(Cereal_Yield!$E:$ZZ, MATCH(A630, Cereal_Yield!$C:$C, 0), MATCH(B630, Cereal_Yield!$E$1:$ZZ$1, 0))</f>
        <v>3537.6</v>
      </c>
    </row>
    <row r="631" spans="1:10" x14ac:dyDescent="0.3">
      <c r="A631" t="s">
        <v>32</v>
      </c>
      <c r="B631" s="4">
        <v>2005</v>
      </c>
      <c r="C631" t="s">
        <v>49</v>
      </c>
      <c r="D631" s="8">
        <f>INDEX(GDP_pc!$E:$ZZ, MATCH(A631, GDP_pc!$C:$C, 0), MATCH(B631, GDP_pc!$E$1:$ZZ$1, 0))</f>
        <v>306999913150.52496</v>
      </c>
      <c r="E631">
        <f>INDEX(CH4_Em!$E:$ZZ, MATCH(A631, CH4_Em!$C:$C, 0), MATCH(B631, CH4_Em!$E$1:$ZZ$1, 0))</f>
        <v>18.5428</v>
      </c>
      <c r="F631">
        <f>INDEX(N2O_Em!$E:$ZZ, MATCH(A631, N2O_Em!$C:$C, 0), MATCH(B631, N2O_Em!$E$1:$ZZ$1, 0))</f>
        <v>15.9757</v>
      </c>
      <c r="G631">
        <f>INDEX(CO2_Em!$E:$ZZ, MATCH(A631, CO2_Em!$C:$C, 0), MATCH(B631, CO2_Em!$E$1:$ZZ$1, 0))</f>
        <v>1.6803999999999999</v>
      </c>
      <c r="H631">
        <f>INDEX(Agri_VA!$E:$ZZ, MATCH(A631, Agri_VA!$C:$C, 0), MATCH(B631, Agri_VA!$E$1:$ZZ$1, 0))</f>
        <v>2.9676037181375485</v>
      </c>
      <c r="I631" s="6">
        <f>INDEX('Agri_land '!$E:$ZZ, MATCH(A631, 'Agri_land '!$C:$C, 0), MATCH(B631, 'Agri_land '!$E$1:$ZZ$1, 0))</f>
        <v>51.924395260013711</v>
      </c>
      <c r="J631">
        <f>INDEX(Cereal_Yield!$E:$ZZ, MATCH(A631, Cereal_Yield!$C:$C, 0), MATCH(B631, Cereal_Yield!$E$1:$ZZ$1, 0))</f>
        <v>3233.1</v>
      </c>
    </row>
    <row r="632" spans="1:10" x14ac:dyDescent="0.3">
      <c r="A632" t="s">
        <v>32</v>
      </c>
      <c r="B632" s="4">
        <v>2006</v>
      </c>
      <c r="C632" t="s">
        <v>49</v>
      </c>
      <c r="D632" s="8">
        <f>INDEX(GDP_pc!$E:$ZZ, MATCH(A632, GDP_pc!$C:$C, 0), MATCH(B632, GDP_pc!$E$1:$ZZ$1, 0))</f>
        <v>345897630736.17261</v>
      </c>
      <c r="E632">
        <f>INDEX(CH4_Em!$E:$ZZ, MATCH(A632, CH4_Em!$C:$C, 0), MATCH(B632, CH4_Em!$E$1:$ZZ$1, 0))</f>
        <v>19.013300000000001</v>
      </c>
      <c r="F632">
        <f>INDEX(N2O_Em!$E:$ZZ, MATCH(A632, N2O_Em!$C:$C, 0), MATCH(B632, N2O_Em!$E$1:$ZZ$1, 0))</f>
        <v>16.222000000000001</v>
      </c>
      <c r="G632">
        <f>INDEX(CO2_Em!$E:$ZZ, MATCH(A632, CO2_Em!$C:$C, 0), MATCH(B632, CO2_Em!$E$1:$ZZ$1, 0))</f>
        <v>1.7563</v>
      </c>
      <c r="H632">
        <f>INDEX(Agri_VA!$E:$ZZ, MATCH(A632, Agri_VA!$C:$C, 0), MATCH(B632, Agri_VA!$E$1:$ZZ$1, 0))</f>
        <v>2.7459182485151974</v>
      </c>
      <c r="I632" s="6">
        <f>INDEX('Agri_land '!$E:$ZZ, MATCH(A632, 'Agri_land '!$C:$C, 0), MATCH(B632, 'Agri_land '!$E$1:$ZZ$1, 0))</f>
        <v>52.092582919822405</v>
      </c>
      <c r="J632">
        <f>INDEX(Cereal_Yield!$E:$ZZ, MATCH(A632, Cereal_Yield!$C:$C, 0), MATCH(B632, Cereal_Yield!$E$1:$ZZ$1, 0))</f>
        <v>2598.1999999999998</v>
      </c>
    </row>
    <row r="633" spans="1:10" x14ac:dyDescent="0.3">
      <c r="A633" t="s">
        <v>32</v>
      </c>
      <c r="B633" s="4">
        <v>2007</v>
      </c>
      <c r="C633" t="s">
        <v>49</v>
      </c>
      <c r="D633" s="8">
        <f>INDEX(GDP_pc!$E:$ZZ, MATCH(A633, GDP_pc!$C:$C, 0), MATCH(B633, GDP_pc!$E$1:$ZZ$1, 0))</f>
        <v>429715132137.5025</v>
      </c>
      <c r="E633">
        <f>INDEX(CH4_Em!$E:$ZZ, MATCH(A633, CH4_Em!$C:$C, 0), MATCH(B633, CH4_Em!$E$1:$ZZ$1, 0))</f>
        <v>19.305599999999998</v>
      </c>
      <c r="F633">
        <f>INDEX(N2O_Em!$E:$ZZ, MATCH(A633, N2O_Em!$C:$C, 0), MATCH(B633, N2O_Em!$E$1:$ZZ$1, 0))</f>
        <v>16.822800000000001</v>
      </c>
      <c r="G633">
        <f>INDEX(CO2_Em!$E:$ZZ, MATCH(A633, CO2_Em!$C:$C, 0), MATCH(B633, CO2_Em!$E$1:$ZZ$1, 0))</f>
        <v>1.8516999999999999</v>
      </c>
      <c r="H633">
        <f>INDEX(Agri_VA!$E:$ZZ, MATCH(A633, Agri_VA!$C:$C, 0), MATCH(B633, Agri_VA!$E$1:$ZZ$1, 0))</f>
        <v>3.094087083729181</v>
      </c>
      <c r="I633" s="6">
        <f>INDEX('Agri_land '!$E:$ZZ, MATCH(A633, 'Agri_land '!$C:$C, 0), MATCH(B633, 'Agri_land '!$E$1:$ZZ$1, 0))</f>
        <v>50.49947767041003</v>
      </c>
      <c r="J633">
        <f>INDEX(Cereal_Yield!$E:$ZZ, MATCH(A633, Cereal_Yield!$C:$C, 0), MATCH(B633, Cereal_Yield!$E$1:$ZZ$1, 0))</f>
        <v>3249.5</v>
      </c>
    </row>
    <row r="634" spans="1:10" x14ac:dyDescent="0.3">
      <c r="A634" t="s">
        <v>32</v>
      </c>
      <c r="B634" s="4">
        <v>2008</v>
      </c>
      <c r="C634" t="s">
        <v>49</v>
      </c>
      <c r="D634" s="8">
        <f>INDEX(GDP_pc!$E:$ZZ, MATCH(A634, GDP_pc!$C:$C, 0), MATCH(B634, GDP_pc!$E$1:$ZZ$1, 0))</f>
        <v>535612030671.8877</v>
      </c>
      <c r="E634">
        <f>INDEX(CH4_Em!$E:$ZZ, MATCH(A634, CH4_Em!$C:$C, 0), MATCH(B634, CH4_Em!$E$1:$ZZ$1, 0))</f>
        <v>18.9849</v>
      </c>
      <c r="F634">
        <f>INDEX(N2O_Em!$E:$ZZ, MATCH(A634, N2O_Em!$C:$C, 0), MATCH(B634, N2O_Em!$E$1:$ZZ$1, 0))</f>
        <v>16.152999999999999</v>
      </c>
      <c r="G634">
        <f>INDEX(CO2_Em!$E:$ZZ, MATCH(A634, CO2_Em!$C:$C, 0), MATCH(B634, CO2_Em!$E$1:$ZZ$1, 0))</f>
        <v>1.7490000000000001</v>
      </c>
      <c r="H634">
        <f>INDEX(Agri_VA!$E:$ZZ, MATCH(A634, Agri_VA!$C:$C, 0), MATCH(B634, Agri_VA!$E$1:$ZZ$1, 0))</f>
        <v>2.6430949947265194</v>
      </c>
      <c r="I634" s="6">
        <f>INDEX('Agri_land '!$E:$ZZ, MATCH(A634, 'Agri_land '!$C:$C, 0), MATCH(B634, 'Agri_land '!$E$1:$ZZ$1, 0))</f>
        <v>50.933725106105122</v>
      </c>
      <c r="J634">
        <f>INDEX(Cereal_Yield!$E:$ZZ, MATCH(A634, Cereal_Yield!$C:$C, 0), MATCH(B634, Cereal_Yield!$E$1:$ZZ$1, 0))</f>
        <v>3217.2</v>
      </c>
    </row>
    <row r="635" spans="1:10" x14ac:dyDescent="0.3">
      <c r="A635" t="s">
        <v>32</v>
      </c>
      <c r="B635" s="4">
        <v>2009</v>
      </c>
      <c r="C635" t="s">
        <v>49</v>
      </c>
      <c r="D635" s="8">
        <f>INDEX(GDP_pc!$E:$ZZ, MATCH(A635, GDP_pc!$C:$C, 0), MATCH(B635, GDP_pc!$E$1:$ZZ$1, 0))</f>
        <v>440891472247.09644</v>
      </c>
      <c r="E635">
        <f>INDEX(CH4_Em!$E:$ZZ, MATCH(A635, CH4_Em!$C:$C, 0), MATCH(B635, CH4_Em!$E$1:$ZZ$1, 0))</f>
        <v>18.679500000000001</v>
      </c>
      <c r="F635">
        <f>INDEX(N2O_Em!$E:$ZZ, MATCH(A635, N2O_Em!$C:$C, 0), MATCH(B635, N2O_Em!$E$1:$ZZ$1, 0))</f>
        <v>16.411999999999999</v>
      </c>
      <c r="G635">
        <f>INDEX(CO2_Em!$E:$ZZ, MATCH(A635, CO2_Em!$C:$C, 0), MATCH(B635, CO2_Em!$E$1:$ZZ$1, 0))</f>
        <v>1.9209000000000001</v>
      </c>
      <c r="H635">
        <f>INDEX(Agri_VA!$E:$ZZ, MATCH(A635, Agri_VA!$C:$C, 0), MATCH(B635, Agri_VA!$E$1:$ZZ$1, 0))</f>
        <v>2.6264062504543326</v>
      </c>
      <c r="I635" s="6">
        <f>INDEX('Agri_land '!$E:$ZZ, MATCH(A635, 'Agri_land '!$C:$C, 0), MATCH(B635, 'Agri_land '!$E$1:$ZZ$1, 0))</f>
        <v>50.995820817552563</v>
      </c>
      <c r="J635">
        <f>INDEX(Cereal_Yield!$E:$ZZ, MATCH(A635, Cereal_Yield!$C:$C, 0), MATCH(B635, Cereal_Yield!$E$1:$ZZ$1, 0))</f>
        <v>3475.1</v>
      </c>
    </row>
    <row r="636" spans="1:10" x14ac:dyDescent="0.3">
      <c r="A636" t="s">
        <v>32</v>
      </c>
      <c r="B636" s="4">
        <v>2010</v>
      </c>
      <c r="C636" t="s">
        <v>49</v>
      </c>
      <c r="D636" s="8">
        <f>INDEX(GDP_pc!$E:$ZZ, MATCH(A636, GDP_pc!$C:$C, 0), MATCH(B636, GDP_pc!$E$1:$ZZ$1, 0))</f>
        <v>478111630683.5141</v>
      </c>
      <c r="E636">
        <f>INDEX(CH4_Em!$E:$ZZ, MATCH(A636, CH4_Em!$C:$C, 0), MATCH(B636, CH4_Em!$E$1:$ZZ$1, 0))</f>
        <v>19.192499999999999</v>
      </c>
      <c r="F636">
        <f>INDEX(N2O_Em!$E:$ZZ, MATCH(A636, N2O_Em!$C:$C, 0), MATCH(B636, N2O_Em!$E$1:$ZZ$1, 0))</f>
        <v>16.5046</v>
      </c>
      <c r="G636">
        <f>INDEX(CO2_Em!$E:$ZZ, MATCH(A636, CO2_Em!$C:$C, 0), MATCH(B636, CO2_Em!$E$1:$ZZ$1, 0))</f>
        <v>1.8684000000000001</v>
      </c>
      <c r="H636">
        <f>INDEX(Agri_VA!$E:$ZZ, MATCH(A636, Agri_VA!$C:$C, 0), MATCH(B636, Agri_VA!$E$1:$ZZ$1, 0))</f>
        <v>2.9155481566260883</v>
      </c>
      <c r="I636" s="6">
        <f>INDEX('Agri_land '!$E:$ZZ, MATCH(A636, 'Agri_land '!$C:$C, 0), MATCH(B636, 'Agri_land '!$E$1:$ZZ$1, 0))</f>
        <v>47.17578686169518</v>
      </c>
      <c r="J636">
        <f>INDEX(Cereal_Yield!$E:$ZZ, MATCH(A636, Cereal_Yield!$C:$C, 0), MATCH(B636, Cereal_Yield!$E$1:$ZZ$1, 0))</f>
        <v>3584</v>
      </c>
    </row>
    <row r="637" spans="1:10" x14ac:dyDescent="0.3">
      <c r="A637" t="s">
        <v>32</v>
      </c>
      <c r="B637" s="4">
        <v>2011</v>
      </c>
      <c r="C637" t="s">
        <v>49</v>
      </c>
      <c r="D637" s="8">
        <f>INDEX(GDP_pc!$E:$ZZ, MATCH(A637, GDP_pc!$C:$C, 0), MATCH(B637, GDP_pc!$E$1:$ZZ$1, 0))</f>
        <v>527848543023.4693</v>
      </c>
      <c r="E637">
        <f>INDEX(CH4_Em!$E:$ZZ, MATCH(A637, CH4_Em!$C:$C, 0), MATCH(B637, CH4_Em!$E$1:$ZZ$1, 0))</f>
        <v>18.800999999999998</v>
      </c>
      <c r="F637">
        <f>INDEX(N2O_Em!$E:$ZZ, MATCH(A637, N2O_Em!$C:$C, 0), MATCH(B637, N2O_Em!$E$1:$ZZ$1, 0))</f>
        <v>16.283000000000001</v>
      </c>
      <c r="G637">
        <f>INDEX(CO2_Em!$E:$ZZ, MATCH(A637, CO2_Em!$C:$C, 0), MATCH(B637, CO2_Em!$E$1:$ZZ$1, 0))</f>
        <v>1.9779</v>
      </c>
      <c r="H637">
        <f>INDEX(Agri_VA!$E:$ZZ, MATCH(A637, Agri_VA!$C:$C, 0), MATCH(B637, Agri_VA!$E$1:$ZZ$1, 0))</f>
        <v>3.1718070124397748</v>
      </c>
      <c r="I637" s="6">
        <f>INDEX('Agri_land '!$E:$ZZ, MATCH(A637, 'Agri_land '!$C:$C, 0), MATCH(B637, 'Agri_land '!$E$1:$ZZ$1, 0))</f>
        <v>48.261110929693366</v>
      </c>
      <c r="J637">
        <f>INDEX(Cereal_Yield!$E:$ZZ, MATCH(A637, Cereal_Yield!$C:$C, 0), MATCH(B637, Cereal_Yield!$E$1:$ZZ$1, 0))</f>
        <v>3430.4</v>
      </c>
    </row>
    <row r="638" spans="1:10" x14ac:dyDescent="0.3">
      <c r="A638" t="s">
        <v>32</v>
      </c>
      <c r="B638" s="4">
        <v>2012</v>
      </c>
      <c r="C638" t="s">
        <v>49</v>
      </c>
      <c r="D638" s="8">
        <f>INDEX(GDP_pc!$E:$ZZ, MATCH(A638, GDP_pc!$C:$C, 0), MATCH(B638, GDP_pc!$E$1:$ZZ$1, 0))</f>
        <v>498148649702.66003</v>
      </c>
      <c r="E638">
        <f>INDEX(CH4_Em!$E:$ZZ, MATCH(A638, CH4_Em!$C:$C, 0), MATCH(B638, CH4_Em!$E$1:$ZZ$1, 0))</f>
        <v>18.390999999999998</v>
      </c>
      <c r="F638">
        <f>INDEX(N2O_Em!$E:$ZZ, MATCH(A638, N2O_Em!$C:$C, 0), MATCH(B638, N2O_Em!$E$1:$ZZ$1, 0))</f>
        <v>16.645099999999999</v>
      </c>
      <c r="G638">
        <f>INDEX(CO2_Em!$E:$ZZ, MATCH(A638, CO2_Em!$C:$C, 0), MATCH(B638, CO2_Em!$E$1:$ZZ$1, 0))</f>
        <v>2.1193</v>
      </c>
      <c r="H638">
        <f>INDEX(Agri_VA!$E:$ZZ, MATCH(A638, Agri_VA!$C:$C, 0), MATCH(B638, Agri_VA!$E$1:$ZZ$1, 0))</f>
        <v>2.9856211342080901</v>
      </c>
      <c r="I638" s="6">
        <f>INDEX('Agri_land '!$E:$ZZ, MATCH(A638, 'Agri_land '!$C:$C, 0), MATCH(B638, 'Agri_land '!$E$1:$ZZ$1, 0))</f>
        <v>47.446280451962643</v>
      </c>
      <c r="J638">
        <f>INDEX(Cereal_Yield!$E:$ZZ, MATCH(A638, Cereal_Yield!$C:$C, 0), MATCH(B638, Cereal_Yield!$E$1:$ZZ$1, 0))</f>
        <v>3704.9</v>
      </c>
    </row>
    <row r="639" spans="1:10" x14ac:dyDescent="0.3">
      <c r="A639" t="s">
        <v>32</v>
      </c>
      <c r="B639" s="4">
        <v>2013</v>
      </c>
      <c r="C639" t="s">
        <v>49</v>
      </c>
      <c r="D639" s="8">
        <f>INDEX(GDP_pc!$E:$ZZ, MATCH(A639, GDP_pc!$C:$C, 0), MATCH(B639, GDP_pc!$E$1:$ZZ$1, 0))</f>
        <v>518179836405.36011</v>
      </c>
      <c r="E639">
        <f>INDEX(CH4_Em!$E:$ZZ, MATCH(A639, CH4_Em!$C:$C, 0), MATCH(B639, CH4_Em!$E$1:$ZZ$1, 0))</f>
        <v>18.532</v>
      </c>
      <c r="F639">
        <f>INDEX(N2O_Em!$E:$ZZ, MATCH(A639, N2O_Em!$C:$C, 0), MATCH(B639, N2O_Em!$E$1:$ZZ$1, 0))</f>
        <v>16.0489</v>
      </c>
      <c r="G639">
        <f>INDEX(CO2_Em!$E:$ZZ, MATCH(A639, CO2_Em!$C:$C, 0), MATCH(B639, CO2_Em!$E$1:$ZZ$1, 0))</f>
        <v>1.9245000000000001</v>
      </c>
      <c r="H639">
        <f>INDEX(Agri_VA!$E:$ZZ, MATCH(A639, Agri_VA!$C:$C, 0), MATCH(B639, Agri_VA!$E$1:$ZZ$1, 0))</f>
        <v>3.226525368672486</v>
      </c>
      <c r="I639" s="6">
        <f>INDEX('Agri_land '!$E:$ZZ, MATCH(A639, 'Agri_land '!$C:$C, 0), MATCH(B639, 'Agri_land '!$E$1:$ZZ$1, 0))</f>
        <v>47.059207733254951</v>
      </c>
      <c r="J639">
        <f>INDEX(Cereal_Yield!$E:$ZZ, MATCH(A639, Cereal_Yield!$C:$C, 0), MATCH(B639, Cereal_Yield!$E$1:$ZZ$1, 0))</f>
        <v>3804.4</v>
      </c>
    </row>
    <row r="640" spans="1:10" x14ac:dyDescent="0.3">
      <c r="A640" t="s">
        <v>32</v>
      </c>
      <c r="B640" s="4">
        <v>2014</v>
      </c>
      <c r="C640" t="s">
        <v>49</v>
      </c>
      <c r="D640" s="8">
        <f>INDEX(GDP_pc!$E:$ZZ, MATCH(A640, GDP_pc!$C:$C, 0), MATCH(B640, GDP_pc!$E$1:$ZZ$1, 0))</f>
        <v>542134167178.62683</v>
      </c>
      <c r="E640">
        <f>INDEX(CH4_Em!$E:$ZZ, MATCH(A640, CH4_Em!$C:$C, 0), MATCH(B640, CH4_Em!$E$1:$ZZ$1, 0))</f>
        <v>18.974699999999999</v>
      </c>
      <c r="F640">
        <f>INDEX(N2O_Em!$E:$ZZ, MATCH(A640, N2O_Em!$C:$C, 0), MATCH(B640, N2O_Em!$E$1:$ZZ$1, 0))</f>
        <v>15.8362</v>
      </c>
      <c r="G640">
        <f>INDEX(CO2_Em!$E:$ZZ, MATCH(A640, CO2_Em!$C:$C, 0), MATCH(B640, CO2_Em!$E$1:$ZZ$1, 0))</f>
        <v>1.7349000000000001</v>
      </c>
      <c r="H640">
        <f>INDEX(Agri_VA!$E:$ZZ, MATCH(A640, Agri_VA!$C:$C, 0), MATCH(B640, Agri_VA!$E$1:$ZZ$1, 0))</f>
        <v>2.9711990223279936</v>
      </c>
      <c r="I640" s="6">
        <f>INDEX('Agri_land '!$E:$ZZ, MATCH(A640, 'Agri_land '!$C:$C, 0), MATCH(B640, 'Agri_land '!$E$1:$ZZ$1, 0))</f>
        <v>47.108004833600056</v>
      </c>
      <c r="J640">
        <f>INDEX(Cereal_Yield!$E:$ZZ, MATCH(A640, Cereal_Yield!$C:$C, 0), MATCH(B640, Cereal_Yield!$E$1:$ZZ$1, 0))</f>
        <v>4268</v>
      </c>
    </row>
    <row r="641" spans="1:10" x14ac:dyDescent="0.3">
      <c r="A641" t="s">
        <v>32</v>
      </c>
      <c r="B641" s="4">
        <v>2015</v>
      </c>
      <c r="C641" t="s">
        <v>49</v>
      </c>
      <c r="D641" s="8">
        <f>INDEX(GDP_pc!$E:$ZZ, MATCH(A641, GDP_pc!$C:$C, 0), MATCH(B641, GDP_pc!$E$1:$ZZ$1, 0))</f>
        <v>480054118583.36652</v>
      </c>
      <c r="E641">
        <f>INDEX(CH4_Em!$E:$ZZ, MATCH(A641, CH4_Em!$C:$C, 0), MATCH(B641, CH4_Em!$E$1:$ZZ$1, 0))</f>
        <v>19.209599999999998</v>
      </c>
      <c r="F641">
        <f>INDEX(N2O_Em!$E:$ZZ, MATCH(A641, N2O_Em!$C:$C, 0), MATCH(B641, N2O_Em!$E$1:$ZZ$1, 0))</f>
        <v>15.9922</v>
      </c>
      <c r="G641">
        <f>INDEX(CO2_Em!$E:$ZZ, MATCH(A641, CO2_Em!$C:$C, 0), MATCH(B641, CO2_Em!$E$1:$ZZ$1, 0))</f>
        <v>1.8265</v>
      </c>
      <c r="H641">
        <f>INDEX(Agri_VA!$E:$ZZ, MATCH(A641, Agri_VA!$C:$C, 0), MATCH(B641, Agri_VA!$E$1:$ZZ$1, 0))</f>
        <v>2.4836369423794902</v>
      </c>
      <c r="I641" s="6">
        <f>INDEX('Agri_land '!$E:$ZZ, MATCH(A641, 'Agri_land '!$C:$C, 0), MATCH(B641, 'Agri_land '!$E$1:$ZZ$1, 0))</f>
        <v>46.934909696593621</v>
      </c>
      <c r="J641">
        <f>INDEX(Cereal_Yield!$E:$ZZ, MATCH(A641, Cereal_Yield!$C:$C, 0), MATCH(B641, Cereal_Yield!$E$1:$ZZ$1, 0))</f>
        <v>3727.8</v>
      </c>
    </row>
    <row r="642" spans="1:10" x14ac:dyDescent="0.3">
      <c r="A642" t="s">
        <v>32</v>
      </c>
      <c r="B642" s="4">
        <v>2016</v>
      </c>
      <c r="C642" t="s">
        <v>49</v>
      </c>
      <c r="D642" s="8">
        <f>INDEX(GDP_pc!$E:$ZZ, MATCH(A642, GDP_pc!$C:$C, 0), MATCH(B642, GDP_pc!$E$1:$ZZ$1, 0))</f>
        <v>473259583969.64294</v>
      </c>
      <c r="E642">
        <f>INDEX(CH4_Em!$E:$ZZ, MATCH(A642, CH4_Em!$C:$C, 0), MATCH(B642, CH4_Em!$E$1:$ZZ$1, 0))</f>
        <v>19.066400000000002</v>
      </c>
      <c r="F642">
        <f>INDEX(N2O_Em!$E:$ZZ, MATCH(A642, N2O_Em!$C:$C, 0), MATCH(B642, N2O_Em!$E$1:$ZZ$1, 0))</f>
        <v>16.620799999999999</v>
      </c>
      <c r="G642">
        <f>INDEX(CO2_Em!$E:$ZZ, MATCH(A642, CO2_Em!$C:$C, 0), MATCH(B642, CO2_Em!$E$1:$ZZ$1, 0))</f>
        <v>1.9632000000000001</v>
      </c>
      <c r="H642">
        <f>INDEX(Agri_VA!$E:$ZZ, MATCH(A642, Agri_VA!$C:$C, 0), MATCH(B642, Agri_VA!$E$1:$ZZ$1, 0))</f>
        <v>2.6237968659563977</v>
      </c>
      <c r="I642" s="6">
        <f>INDEX('Agri_land '!$E:$ZZ, MATCH(A642, 'Agri_land '!$C:$C, 0), MATCH(B642, 'Agri_land '!$E$1:$ZZ$1, 0))</f>
        <v>46.944707534537379</v>
      </c>
      <c r="J642">
        <f>INDEX(Cereal_Yield!$E:$ZZ, MATCH(A642, Cereal_Yield!$C:$C, 0), MATCH(B642, Cereal_Yield!$E$1:$ZZ$1, 0))</f>
        <v>4033.5</v>
      </c>
    </row>
    <row r="643" spans="1:10" x14ac:dyDescent="0.3">
      <c r="A643" t="s">
        <v>32</v>
      </c>
      <c r="B643" s="4">
        <v>2017</v>
      </c>
      <c r="C643" t="s">
        <v>49</v>
      </c>
      <c r="D643" s="8">
        <f>INDEX(GDP_pc!$E:$ZZ, MATCH(A643, GDP_pc!$C:$C, 0), MATCH(B643, GDP_pc!$E$1:$ZZ$1, 0))</f>
        <v>528356676667.21075</v>
      </c>
      <c r="E643">
        <f>INDEX(CH4_Em!$E:$ZZ, MATCH(A643, CH4_Em!$C:$C, 0), MATCH(B643, CH4_Em!$E$1:$ZZ$1, 0))</f>
        <v>19.668600000000001</v>
      </c>
      <c r="F643">
        <f>INDEX(N2O_Em!$E:$ZZ, MATCH(A643, N2O_Em!$C:$C, 0), MATCH(B643, N2O_Em!$E$1:$ZZ$1, 0))</f>
        <v>16.988499999999998</v>
      </c>
      <c r="G643">
        <f>INDEX(CO2_Em!$E:$ZZ, MATCH(A643, CO2_Em!$C:$C, 0), MATCH(B643, CO2_Em!$E$1:$ZZ$1, 0))</f>
        <v>2.0226000000000002</v>
      </c>
      <c r="H643">
        <f>INDEX(Agri_VA!$E:$ZZ, MATCH(A643, Agri_VA!$C:$C, 0), MATCH(B643, Agri_VA!$E$1:$ZZ$1, 0))</f>
        <v>2.9853728598643055</v>
      </c>
      <c r="I643" s="6">
        <f>INDEX('Agri_land '!$E:$ZZ, MATCH(A643, 'Agri_land '!$C:$C, 0), MATCH(B643, 'Agri_land '!$E$1:$ZZ$1, 0))</f>
        <v>47.23211078088768</v>
      </c>
      <c r="J643">
        <f>INDEX(Cereal_Yield!$E:$ZZ, MATCH(A643, Cereal_Yield!$C:$C, 0), MATCH(B643, Cereal_Yield!$E$1:$ZZ$1, 0))</f>
        <v>4199.6000000000004</v>
      </c>
    </row>
    <row r="644" spans="1:10" x14ac:dyDescent="0.3">
      <c r="A644" t="s">
        <v>32</v>
      </c>
      <c r="B644" s="4">
        <v>2018</v>
      </c>
      <c r="C644" t="s">
        <v>49</v>
      </c>
      <c r="D644" s="8">
        <f>INDEX(GDP_pc!$E:$ZZ, MATCH(A644, GDP_pc!$C:$C, 0), MATCH(B644, GDP_pc!$E$1:$ZZ$1, 0))</f>
        <v>594616687350.01709</v>
      </c>
      <c r="E644">
        <f>INDEX(CH4_Em!$E:$ZZ, MATCH(A644, CH4_Em!$C:$C, 0), MATCH(B644, CH4_Em!$E$1:$ZZ$1, 0))</f>
        <v>19.848600000000001</v>
      </c>
      <c r="F644">
        <f>INDEX(N2O_Em!$E:$ZZ, MATCH(A644, N2O_Em!$C:$C, 0), MATCH(B644, N2O_Em!$E$1:$ZZ$1, 0))</f>
        <v>15.9369</v>
      </c>
      <c r="G644">
        <f>INDEX(CO2_Em!$E:$ZZ, MATCH(A644, CO2_Em!$C:$C, 0), MATCH(B644, CO2_Em!$E$1:$ZZ$1, 0))</f>
        <v>1.7432000000000001</v>
      </c>
      <c r="H644">
        <f>INDEX(Agri_VA!$E:$ZZ, MATCH(A644, Agri_VA!$C:$C, 0), MATCH(B644, Agri_VA!$E$1:$ZZ$1, 0))</f>
        <v>2.4156413686616656</v>
      </c>
      <c r="I644" s="6">
        <f>INDEX('Agri_land '!$E:$ZZ, MATCH(A644, 'Agri_land '!$C:$C, 0), MATCH(B644, 'Agri_land '!$E$1:$ZZ$1, 0))</f>
        <v>47.398504099029957</v>
      </c>
      <c r="J644">
        <f>INDEX(Cereal_Yield!$E:$ZZ, MATCH(A644, Cereal_Yield!$C:$C, 0), MATCH(B644, Cereal_Yield!$E$1:$ZZ$1, 0))</f>
        <v>3366.7</v>
      </c>
    </row>
    <row r="645" spans="1:10" x14ac:dyDescent="0.3">
      <c r="A645" t="s">
        <v>32</v>
      </c>
      <c r="B645" s="4">
        <v>2019</v>
      </c>
      <c r="C645" t="s">
        <v>49</v>
      </c>
      <c r="D645" s="8">
        <f>INDEX(GDP_pc!$E:$ZZ, MATCH(A645, GDP_pc!$C:$C, 0), MATCH(B645, GDP_pc!$E$1:$ZZ$1, 0))</f>
        <v>602683770144.88037</v>
      </c>
      <c r="E645">
        <f>INDEX(CH4_Em!$E:$ZZ, MATCH(A645, CH4_Em!$C:$C, 0), MATCH(B645, CH4_Em!$E$1:$ZZ$1, 0))</f>
        <v>19.988099999999999</v>
      </c>
      <c r="F645">
        <f>INDEX(N2O_Em!$E:$ZZ, MATCH(A645, N2O_Em!$C:$C, 0), MATCH(B645, N2O_Em!$E$1:$ZZ$1, 0))</f>
        <v>16.2438</v>
      </c>
      <c r="G645">
        <f>INDEX(CO2_Em!$E:$ZZ, MATCH(A645, CO2_Em!$C:$C, 0), MATCH(B645, CO2_Em!$E$1:$ZZ$1, 0))</f>
        <v>1.8977999999999999</v>
      </c>
      <c r="H645">
        <f>INDEX(Agri_VA!$E:$ZZ, MATCH(A645, Agri_VA!$C:$C, 0), MATCH(B645, Agri_VA!$E$1:$ZZ$1, 0))</f>
        <v>2.3702974464644333</v>
      </c>
      <c r="I645" s="6">
        <f>INDEX('Agri_land '!$E:$ZZ, MATCH(A645, 'Agri_land '!$C:$C, 0), MATCH(B645, 'Agri_land '!$E$1:$ZZ$1, 0))</f>
        <v>47.443729378328051</v>
      </c>
      <c r="J645">
        <f>INDEX(Cereal_Yield!$E:$ZZ, MATCH(A645, Cereal_Yield!$C:$C, 0), MATCH(B645, Cereal_Yield!$E$1:$ZZ$1, 0))</f>
        <v>3605.3</v>
      </c>
    </row>
    <row r="646" spans="1:10" x14ac:dyDescent="0.3">
      <c r="A646" t="s">
        <v>32</v>
      </c>
      <c r="B646" s="4">
        <v>2020</v>
      </c>
      <c r="C646" t="s">
        <v>49</v>
      </c>
      <c r="D646" s="8">
        <f>INDEX(GDP_pc!$E:$ZZ, MATCH(A646, GDP_pc!$C:$C, 0), MATCH(B646, GDP_pc!$E$1:$ZZ$1, 0))</f>
        <v>605914237903.74219</v>
      </c>
      <c r="E646">
        <f>INDEX(CH4_Em!$E:$ZZ, MATCH(A646, CH4_Em!$C:$C, 0), MATCH(B646, CH4_Em!$E$1:$ZZ$1, 0))</f>
        <v>20.154499999999999</v>
      </c>
      <c r="F646">
        <f>INDEX(N2O_Em!$E:$ZZ, MATCH(A646, N2O_Em!$C:$C, 0), MATCH(B646, N2O_Em!$E$1:$ZZ$1, 0))</f>
        <v>16.590599999999998</v>
      </c>
      <c r="G646">
        <f>INDEX(CO2_Em!$E:$ZZ, MATCH(A646, CO2_Em!$C:$C, 0), MATCH(B646, CO2_Em!$E$1:$ZZ$1, 0))</f>
        <v>1.9052</v>
      </c>
      <c r="H646">
        <f>INDEX(Agri_VA!$E:$ZZ, MATCH(A646, Agri_VA!$C:$C, 0), MATCH(B646, Agri_VA!$E$1:$ZZ$1, 0))</f>
        <v>2.5684442354741552</v>
      </c>
      <c r="I646" s="6">
        <f>INDEX('Agri_land '!$E:$ZZ, MATCH(A646, 'Agri_land '!$C:$C, 0), MATCH(B646, 'Agri_land '!$E$1:$ZZ$1, 0))</f>
        <v>48.126612876882369</v>
      </c>
      <c r="J646">
        <f>INDEX(Cereal_Yield!$E:$ZZ, MATCH(A646, Cereal_Yield!$C:$C, 0), MATCH(B646, Cereal_Yield!$E$1:$ZZ$1, 0))</f>
        <v>4691.7</v>
      </c>
    </row>
    <row r="647" spans="1:10" x14ac:dyDescent="0.3">
      <c r="A647" t="s">
        <v>32</v>
      </c>
      <c r="B647" s="4">
        <v>2021</v>
      </c>
      <c r="C647" t="s">
        <v>49</v>
      </c>
      <c r="D647" s="8">
        <f>INDEX(GDP_pc!$E:$ZZ, MATCH(A647, GDP_pc!$C:$C, 0), MATCH(B647, GDP_pc!$E$1:$ZZ$1, 0))</f>
        <v>689170230665.35034</v>
      </c>
      <c r="E647">
        <f>INDEX(CH4_Em!$E:$ZZ, MATCH(A647, CH4_Em!$C:$C, 0), MATCH(B647, CH4_Em!$E$1:$ZZ$1, 0))</f>
        <v>19.7818</v>
      </c>
      <c r="F647">
        <f>INDEX(N2O_Em!$E:$ZZ, MATCH(A647, N2O_Em!$C:$C, 0), MATCH(B647, N2O_Em!$E$1:$ZZ$1, 0))</f>
        <v>15.775600000000001</v>
      </c>
      <c r="G647">
        <f>INDEX(CO2_Em!$E:$ZZ, MATCH(A647, CO2_Em!$C:$C, 0), MATCH(B647, CO2_Em!$E$1:$ZZ$1, 0))</f>
        <v>1.7746999999999999</v>
      </c>
      <c r="H647">
        <f>INDEX(Agri_VA!$E:$ZZ, MATCH(A647, Agri_VA!$C:$C, 0), MATCH(B647, Agri_VA!$E$1:$ZZ$1, 0))</f>
        <v>2.2455230436164624</v>
      </c>
      <c r="I647" s="6">
        <f>INDEX('Agri_land '!$E:$ZZ, MATCH(A647, 'Agri_land '!$C:$C, 0), MATCH(B647, 'Agri_land '!$E$1:$ZZ$1, 0))</f>
        <v>47.369160405096373</v>
      </c>
      <c r="J647">
        <f>INDEX(Cereal_Yield!$E:$ZZ, MATCH(A647, Cereal_Yield!$C:$C, 0), MATCH(B647, Cereal_Yield!$E$1:$ZZ$1, 0))</f>
        <v>4562.5</v>
      </c>
    </row>
    <row r="648" spans="1:10" x14ac:dyDescent="0.3">
      <c r="A648" t="s">
        <v>32</v>
      </c>
      <c r="B648" s="4">
        <v>2022</v>
      </c>
      <c r="C648" t="s">
        <v>49</v>
      </c>
      <c r="D648" s="8">
        <f>INDEX(GDP_pc!$E:$ZZ, MATCH(A648, GDP_pc!$C:$C, 0), MATCH(B648, GDP_pc!$E$1:$ZZ$1, 0))</f>
        <v>695607470875.27625</v>
      </c>
      <c r="E648">
        <f>INDEX(CH4_Em!$E:$ZZ, MATCH(A648, CH4_Em!$C:$C, 0), MATCH(B648, CH4_Em!$E$1:$ZZ$1, 0))</f>
        <v>19.928899999999999</v>
      </c>
      <c r="F648">
        <f>INDEX(N2O_Em!$E:$ZZ, MATCH(A648, N2O_Em!$C:$C, 0), MATCH(B648, N2O_Em!$E$1:$ZZ$1, 0))</f>
        <v>15.4544</v>
      </c>
      <c r="G648">
        <f>INDEX(CO2_Em!$E:$ZZ, MATCH(A648, CO2_Em!$C:$C, 0), MATCH(B648, CO2_Em!$E$1:$ZZ$1, 0))</f>
        <v>1.6149</v>
      </c>
      <c r="H648">
        <f>INDEX(Agri_VA!$E:$ZZ, MATCH(A648, Agri_VA!$C:$C, 0), MATCH(B648, Agri_VA!$E$1:$ZZ$1, 0))</f>
        <v>2.8060693035780511</v>
      </c>
      <c r="I648" s="6">
        <f>INDEX('Agri_land '!$E:$ZZ, MATCH(A648, 'Agri_land '!$C:$C, 0), MATCH(B648, 'Agri_land '!$E$1:$ZZ$1, 0))</f>
        <v>46.313175863308174</v>
      </c>
      <c r="J648">
        <f>INDEX(Cereal_Yield!$E:$ZZ, MATCH(A648, Cereal_Yield!$C:$C, 0), MATCH(B648, Cereal_Yield!$E$1:$ZZ$1, 0))</f>
        <v>4861.5</v>
      </c>
    </row>
    <row r="649" spans="1:10" x14ac:dyDescent="0.3">
      <c r="A649" t="s">
        <v>32</v>
      </c>
      <c r="B649" s="4">
        <v>2023</v>
      </c>
      <c r="C649" t="s">
        <v>49</v>
      </c>
      <c r="D649" s="8">
        <f>INDEX(GDP_pc!$E:$ZZ, MATCH(A649, GDP_pc!$C:$C, 0), MATCH(B649, GDP_pc!$E$1:$ZZ$1, 0))</f>
        <v>812451193396.14258</v>
      </c>
      <c r="E649">
        <f>INDEX(CH4_Em!$E:$ZZ, MATCH(A649, CH4_Em!$C:$C, 0), MATCH(B649, CH4_Em!$E$1:$ZZ$1, 0))</f>
        <v>20.0154</v>
      </c>
      <c r="F649">
        <f>INDEX(N2O_Em!$E:$ZZ, MATCH(A649, N2O_Em!$C:$C, 0), MATCH(B649, N2O_Em!$E$1:$ZZ$1, 0))</f>
        <v>15.2333</v>
      </c>
      <c r="G649">
        <f>INDEX(CO2_Em!$E:$ZZ, MATCH(A649, CO2_Em!$C:$C, 0), MATCH(B649, CO2_Em!$E$1:$ZZ$1, 0))</f>
        <v>1.3496999999999999</v>
      </c>
      <c r="H649">
        <f>INDEX(Agri_VA!$E:$ZZ, MATCH(A649, Agri_VA!$C:$C, 0), MATCH(B649, Agri_VA!$E$1:$ZZ$1, 0))</f>
        <v>2.7653710946764445</v>
      </c>
      <c r="I649" s="6">
        <f>INDEX('Agri_land '!$E:$ZZ, MATCH(A649, 'Agri_land '!$C:$C, 0), MATCH(B649, 'Agri_land '!$E$1:$ZZ$1, 0))</f>
        <v>47.605054363796654</v>
      </c>
      <c r="J649">
        <f>INDEX(Cereal_Yield!$E:$ZZ, MATCH(A649, Cereal_Yield!$C:$C, 0), MATCH(B649, Cereal_Yield!$E$1:$ZZ$1, 0))</f>
        <v>4894.7</v>
      </c>
    </row>
    <row r="650" spans="1:10" x14ac:dyDescent="0.3">
      <c r="A650" t="s">
        <v>33</v>
      </c>
      <c r="B650" s="4">
        <v>2000</v>
      </c>
      <c r="C650" t="s">
        <v>49</v>
      </c>
      <c r="D650" s="8">
        <f>INDEX(GDP_pc!$E:$ZZ, MATCH(A650, GDP_pc!$C:$C, 0), MATCH(B650, GDP_pc!$E$1:$ZZ$1, 0))</f>
        <v>118605192877.38849</v>
      </c>
      <c r="E650">
        <f>INDEX(CH4_Em!$E:$ZZ, MATCH(A650, CH4_Em!$C:$C, 0), MATCH(B650, CH4_Em!$E$1:$ZZ$1, 0))</f>
        <v>5.2222</v>
      </c>
      <c r="F650">
        <f>INDEX(N2O_Em!$E:$ZZ, MATCH(A650, N2O_Em!$C:$C, 0), MATCH(B650, N2O_Em!$E$1:$ZZ$1, 0))</f>
        <v>2.3378000000000001</v>
      </c>
      <c r="G650">
        <f>INDEX(CO2_Em!$E:$ZZ, MATCH(A650, CO2_Em!$C:$C, 0), MATCH(B650, CO2_Em!$E$1:$ZZ$1, 0))</f>
        <v>5.3999999999999999E-2</v>
      </c>
      <c r="H650">
        <f>INDEX(Agri_VA!$E:$ZZ, MATCH(A650, Agri_VA!$C:$C, 0), MATCH(B650, Agri_VA!$E$1:$ZZ$1, 0))</f>
        <v>3.1097482841591537</v>
      </c>
      <c r="I650" s="6">
        <f>INDEX('Agri_land '!$E:$ZZ, MATCH(A650, 'Agri_land '!$C:$C, 0), MATCH(B650, 'Agri_land '!$E$1:$ZZ$1, 0))</f>
        <v>43.239125683060109</v>
      </c>
      <c r="J650">
        <f>INDEX(Cereal_Yield!$E:$ZZ, MATCH(A650, Cereal_Yield!$C:$C, 0), MATCH(B650, Cereal_Yield!$E$1:$ZZ$1, 0))</f>
        <v>2793.5</v>
      </c>
    </row>
    <row r="651" spans="1:10" x14ac:dyDescent="0.3">
      <c r="A651" t="s">
        <v>33</v>
      </c>
      <c r="B651" s="4">
        <v>2001</v>
      </c>
      <c r="C651" t="s">
        <v>49</v>
      </c>
      <c r="D651" s="8">
        <f>INDEX(GDP_pc!$E:$ZZ, MATCH(A651, GDP_pc!$C:$C, 0), MATCH(B651, GDP_pc!$E$1:$ZZ$1, 0))</f>
        <v>121604107164.9966</v>
      </c>
      <c r="E651">
        <f>INDEX(CH4_Em!$E:$ZZ, MATCH(A651, CH4_Em!$C:$C, 0), MATCH(B651, CH4_Em!$E$1:$ZZ$1, 0))</f>
        <v>4.8792999999999997</v>
      </c>
      <c r="F651">
        <f>INDEX(N2O_Em!$E:$ZZ, MATCH(A651, N2O_Em!$C:$C, 0), MATCH(B651, N2O_Em!$E$1:$ZZ$1, 0))</f>
        <v>2.1753999999999998</v>
      </c>
      <c r="G651">
        <f>INDEX(CO2_Em!$E:$ZZ, MATCH(A651, CO2_Em!$C:$C, 0), MATCH(B651, CO2_Em!$E$1:$ZZ$1, 0))</f>
        <v>5.2400000000000002E-2</v>
      </c>
      <c r="H651">
        <f>INDEX(Agri_VA!$E:$ZZ, MATCH(A651, Agri_VA!$C:$C, 0), MATCH(B651, Agri_VA!$E$1:$ZZ$1, 0))</f>
        <v>2.9607495735831626</v>
      </c>
      <c r="I651" s="6">
        <f>INDEX('Agri_land '!$E:$ZZ, MATCH(A651, 'Agri_land '!$C:$C, 0), MATCH(B651, 'Agri_land '!$E$1:$ZZ$1, 0))</f>
        <v>42.118251366120219</v>
      </c>
      <c r="J651">
        <f>INDEX(Cereal_Yield!$E:$ZZ, MATCH(A651, Cereal_Yield!$C:$C, 0), MATCH(B651, Cereal_Yield!$E$1:$ZZ$1, 0))</f>
        <v>2645.3</v>
      </c>
    </row>
    <row r="652" spans="1:10" x14ac:dyDescent="0.3">
      <c r="A652" t="s">
        <v>33</v>
      </c>
      <c r="B652" s="4">
        <v>2002</v>
      </c>
      <c r="C652" t="s">
        <v>49</v>
      </c>
      <c r="D652" s="8">
        <f>INDEX(GDP_pc!$E:$ZZ, MATCH(A652, GDP_pc!$C:$C, 0), MATCH(B652, GDP_pc!$E$1:$ZZ$1, 0))</f>
        <v>134795565549.41945</v>
      </c>
      <c r="E652">
        <f>INDEX(CH4_Em!$E:$ZZ, MATCH(A652, CH4_Em!$C:$C, 0), MATCH(B652, CH4_Em!$E$1:$ZZ$1, 0))</f>
        <v>4.8578999999999999</v>
      </c>
      <c r="F652">
        <f>INDEX(N2O_Em!$E:$ZZ, MATCH(A652, N2O_Em!$C:$C, 0), MATCH(B652, N2O_Em!$E$1:$ZZ$1, 0))</f>
        <v>2.1488999999999998</v>
      </c>
      <c r="G652">
        <f>INDEX(CO2_Em!$E:$ZZ, MATCH(A652, CO2_Em!$C:$C, 0), MATCH(B652, CO2_Em!$E$1:$ZZ$1, 0))</f>
        <v>5.2400000000000002E-2</v>
      </c>
      <c r="H652">
        <f>INDEX(Agri_VA!$E:$ZZ, MATCH(A652, Agri_VA!$C:$C, 0), MATCH(B652, Agri_VA!$E$1:$ZZ$1, 0))</f>
        <v>2.7228908615661673</v>
      </c>
      <c r="I652" s="6">
        <f>INDEX('Agri_land '!$E:$ZZ, MATCH(A652, 'Agri_land '!$C:$C, 0), MATCH(B652, 'Agri_land '!$E$1:$ZZ$1, 0))</f>
        <v>42.379453551912569</v>
      </c>
      <c r="J652">
        <f>INDEX(Cereal_Yield!$E:$ZZ, MATCH(A652, Cereal_Yield!$C:$C, 0), MATCH(B652, Cereal_Yield!$E$1:$ZZ$1, 0))</f>
        <v>2918.6</v>
      </c>
    </row>
    <row r="653" spans="1:10" x14ac:dyDescent="0.3">
      <c r="A653" t="s">
        <v>33</v>
      </c>
      <c r="B653" s="4">
        <v>2003</v>
      </c>
      <c r="C653" t="s">
        <v>49</v>
      </c>
      <c r="D653" s="8">
        <f>INDEX(GDP_pc!$E:$ZZ, MATCH(A653, GDP_pc!$C:$C, 0), MATCH(B653, GDP_pc!$E$1:$ZZ$1, 0))</f>
        <v>165226175536.7926</v>
      </c>
      <c r="E653">
        <f>INDEX(CH4_Em!$E:$ZZ, MATCH(A653, CH4_Em!$C:$C, 0), MATCH(B653, CH4_Em!$E$1:$ZZ$1, 0))</f>
        <v>4.7637999999999998</v>
      </c>
      <c r="F653">
        <f>INDEX(N2O_Em!$E:$ZZ, MATCH(A653, N2O_Em!$C:$C, 0), MATCH(B653, N2O_Em!$E$1:$ZZ$1, 0))</f>
        <v>2.1122999999999998</v>
      </c>
      <c r="G653">
        <f>INDEX(CO2_Em!$E:$ZZ, MATCH(A653, CO2_Em!$C:$C, 0), MATCH(B653, CO2_Em!$E$1:$ZZ$1, 0))</f>
        <v>5.2400000000000002E-2</v>
      </c>
      <c r="H653">
        <f>INDEX(Agri_VA!$E:$ZZ, MATCH(A653, Agri_VA!$C:$C, 0), MATCH(B653, Agri_VA!$E$1:$ZZ$1, 0))</f>
        <v>2.6511807957093474</v>
      </c>
      <c r="I653" s="6">
        <f>INDEX('Agri_land '!$E:$ZZ, MATCH(A653, 'Agri_land '!$C:$C, 0), MATCH(B653, 'Agri_land '!$E$1:$ZZ$1, 0))</f>
        <v>41.679562841530057</v>
      </c>
      <c r="J653">
        <f>INDEX(Cereal_Yield!$E:$ZZ, MATCH(A653, Cereal_Yield!$C:$C, 0), MATCH(B653, Cereal_Yield!$E$1:$ZZ$1, 0))</f>
        <v>2643.2</v>
      </c>
    </row>
    <row r="654" spans="1:10" x14ac:dyDescent="0.3">
      <c r="A654" t="s">
        <v>33</v>
      </c>
      <c r="B654" s="4">
        <v>2004</v>
      </c>
      <c r="C654" t="s">
        <v>49</v>
      </c>
      <c r="D654" s="8">
        <f>INDEX(GDP_pc!$E:$ZZ, MATCH(A654, GDP_pc!$C:$C, 0), MATCH(B654, GDP_pc!$E$1:$ZZ$1, 0))</f>
        <v>189382122532.16882</v>
      </c>
      <c r="E654">
        <f>INDEX(CH4_Em!$E:$ZZ, MATCH(A654, CH4_Em!$C:$C, 0), MATCH(B654, CH4_Em!$E$1:$ZZ$1, 0))</f>
        <v>4.8437999999999999</v>
      </c>
      <c r="F654">
        <f>INDEX(N2O_Em!$E:$ZZ, MATCH(A654, N2O_Em!$C:$C, 0), MATCH(B654, N2O_Em!$E$1:$ZZ$1, 0))</f>
        <v>2.1059000000000001</v>
      </c>
      <c r="G654">
        <f>INDEX(CO2_Em!$E:$ZZ, MATCH(A654, CO2_Em!$C:$C, 0), MATCH(B654, CO2_Em!$E$1:$ZZ$1, 0))</f>
        <v>5.2900000000000003E-2</v>
      </c>
      <c r="H654">
        <f>INDEX(Agri_VA!$E:$ZZ, MATCH(A654, Agri_VA!$C:$C, 0), MATCH(B654, Agri_VA!$E$1:$ZZ$1, 0))</f>
        <v>2.6021411799775507</v>
      </c>
      <c r="I654" s="6">
        <f>INDEX('Agri_land '!$E:$ZZ, MATCH(A654, 'Agri_land '!$C:$C, 0), MATCH(B654, 'Agri_land '!$E$1:$ZZ$1, 0))</f>
        <v>42.29081967213115</v>
      </c>
      <c r="J654">
        <f>INDEX(Cereal_Yield!$E:$ZZ, MATCH(A654, Cereal_Yield!$C:$C, 0), MATCH(B654, Cereal_Yield!$E$1:$ZZ$1, 0))</f>
        <v>2965.6</v>
      </c>
    </row>
    <row r="655" spans="1:10" x14ac:dyDescent="0.3">
      <c r="A655" t="s">
        <v>33</v>
      </c>
      <c r="B655" s="4">
        <v>2005</v>
      </c>
      <c r="C655" t="s">
        <v>49</v>
      </c>
      <c r="D655" s="8">
        <f>INDEX(GDP_pc!$E:$ZZ, MATCH(A655, GDP_pc!$C:$C, 0), MATCH(B655, GDP_pc!$E$1:$ZZ$1, 0))</f>
        <v>197253876704.9213</v>
      </c>
      <c r="E655">
        <f>INDEX(CH4_Em!$E:$ZZ, MATCH(A655, CH4_Em!$C:$C, 0), MATCH(B655, CH4_Em!$E$1:$ZZ$1, 0))</f>
        <v>4.8593999999999999</v>
      </c>
      <c r="F655">
        <f>INDEX(N2O_Em!$E:$ZZ, MATCH(A655, N2O_Em!$C:$C, 0), MATCH(B655, N2O_Em!$E$1:$ZZ$1, 0))</f>
        <v>2.0937000000000001</v>
      </c>
      <c r="G655">
        <f>INDEX(CO2_Em!$E:$ZZ, MATCH(A655, CO2_Em!$C:$C, 0), MATCH(B655, CO2_Em!$E$1:$ZZ$1, 0))</f>
        <v>5.0799999999999998E-2</v>
      </c>
      <c r="H655">
        <f>INDEX(Agri_VA!$E:$ZZ, MATCH(A655, Agri_VA!$C:$C, 0), MATCH(B655, Agri_VA!$E$1:$ZZ$1, 0))</f>
        <v>2.3034933544873506</v>
      </c>
      <c r="I655" s="6">
        <f>INDEX('Agri_land '!$E:$ZZ, MATCH(A655, 'Agri_land '!$C:$C, 0), MATCH(B655, 'Agri_land '!$E$1:$ZZ$1, 0))</f>
        <v>41.804854050508361</v>
      </c>
      <c r="J655">
        <f>INDEX(Cereal_Yield!$E:$ZZ, MATCH(A655, Cereal_Yield!$C:$C, 0), MATCH(B655, Cereal_Yield!$E$1:$ZZ$1, 0))</f>
        <v>2114</v>
      </c>
    </row>
    <row r="656" spans="1:10" x14ac:dyDescent="0.3">
      <c r="A656" t="s">
        <v>33</v>
      </c>
      <c r="B656" s="4">
        <v>2006</v>
      </c>
      <c r="C656" t="s">
        <v>49</v>
      </c>
      <c r="D656" s="8">
        <f>INDEX(GDP_pc!$E:$ZZ, MATCH(A656, GDP_pc!$C:$C, 0), MATCH(B656, GDP_pc!$E$1:$ZZ$1, 0))</f>
        <v>208756449275.84793</v>
      </c>
      <c r="E656">
        <f>INDEX(CH4_Em!$E:$ZZ, MATCH(A656, CH4_Em!$C:$C, 0), MATCH(B656, CH4_Em!$E$1:$ZZ$1, 0))</f>
        <v>4.8068</v>
      </c>
      <c r="F656">
        <f>INDEX(N2O_Em!$E:$ZZ, MATCH(A656, N2O_Em!$C:$C, 0), MATCH(B656, N2O_Em!$E$1:$ZZ$1, 0))</f>
        <v>2.0798999999999999</v>
      </c>
      <c r="G656">
        <f>INDEX(CO2_Em!$E:$ZZ, MATCH(A656, CO2_Em!$C:$C, 0), MATCH(B656, CO2_Em!$E$1:$ZZ$1, 0))</f>
        <v>5.1299999999999998E-2</v>
      </c>
      <c r="H656">
        <f>INDEX(Agri_VA!$E:$ZZ, MATCH(A656, Agri_VA!$C:$C, 0), MATCH(B656, Agri_VA!$E$1:$ZZ$1, 0))</f>
        <v>2.2531375152081403</v>
      </c>
      <c r="I656" s="6">
        <f>INDEX('Agri_land '!$E:$ZZ, MATCH(A656, 'Agri_land '!$C:$C, 0), MATCH(B656, 'Agri_land '!$E$1:$ZZ$1, 0))</f>
        <v>41.080791516344156</v>
      </c>
      <c r="J656">
        <f>INDEX(Cereal_Yield!$E:$ZZ, MATCH(A656, Cereal_Yield!$C:$C, 0), MATCH(B656, Cereal_Yield!$E$1:$ZZ$1, 0))</f>
        <v>3209</v>
      </c>
    </row>
    <row r="657" spans="1:10" x14ac:dyDescent="0.3">
      <c r="A657" t="s">
        <v>33</v>
      </c>
      <c r="B657" s="4">
        <v>2007</v>
      </c>
      <c r="C657" t="s">
        <v>49</v>
      </c>
      <c r="D657" s="8">
        <f>INDEX(GDP_pc!$E:$ZZ, MATCH(A657, GDP_pc!$C:$C, 0), MATCH(B657, GDP_pc!$E$1:$ZZ$1, 0))</f>
        <v>240496147317.38077</v>
      </c>
      <c r="E657">
        <f>INDEX(CH4_Em!$E:$ZZ, MATCH(A657, CH4_Em!$C:$C, 0), MATCH(B657, CH4_Em!$E$1:$ZZ$1, 0))</f>
        <v>4.8223000000000003</v>
      </c>
      <c r="F657">
        <f>INDEX(N2O_Em!$E:$ZZ, MATCH(A657, N2O_Em!$C:$C, 0), MATCH(B657, N2O_Em!$E$1:$ZZ$1, 0))</f>
        <v>2.0628000000000002</v>
      </c>
      <c r="G657">
        <f>INDEX(CO2_Em!$E:$ZZ, MATCH(A657, CO2_Em!$C:$C, 0), MATCH(B657, CO2_Em!$E$1:$ZZ$1, 0))</f>
        <v>4.7100000000000003E-2</v>
      </c>
      <c r="H657">
        <f>INDEX(Agri_VA!$E:$ZZ, MATCH(A657, Agri_VA!$C:$C, 0), MATCH(B657, Agri_VA!$E$1:$ZZ$1, 0))</f>
        <v>1.9981559395466697</v>
      </c>
      <c r="I657" s="6">
        <f>INDEX('Agri_land '!$E:$ZZ, MATCH(A657, 'Agri_land '!$C:$C, 0), MATCH(B657, 'Agri_land '!$E$1:$ZZ$1, 0))</f>
        <v>40.023176997922818</v>
      </c>
      <c r="J657">
        <f>INDEX(Cereal_Yield!$E:$ZZ, MATCH(A657, Cereal_Yield!$C:$C, 0), MATCH(B657, Cereal_Yield!$E$1:$ZZ$1, 0))</f>
        <v>3415.7</v>
      </c>
    </row>
    <row r="658" spans="1:10" x14ac:dyDescent="0.3">
      <c r="A658" t="s">
        <v>33</v>
      </c>
      <c r="B658" s="4">
        <v>2008</v>
      </c>
      <c r="C658" t="s">
        <v>49</v>
      </c>
      <c r="D658" s="8">
        <f>INDEX(GDP_pc!$E:$ZZ, MATCH(A658, GDP_pc!$C:$C, 0), MATCH(B658, GDP_pc!$E$1:$ZZ$1, 0))</f>
        <v>263416394624.08353</v>
      </c>
      <c r="E658">
        <f>INDEX(CH4_Em!$E:$ZZ, MATCH(A658, CH4_Em!$C:$C, 0), MATCH(B658, CH4_Em!$E$1:$ZZ$1, 0))</f>
        <v>4.8026999999999997</v>
      </c>
      <c r="F658">
        <f>INDEX(N2O_Em!$E:$ZZ, MATCH(A658, N2O_Em!$C:$C, 0), MATCH(B658, N2O_Em!$E$1:$ZZ$1, 0))</f>
        <v>2.0491000000000001</v>
      </c>
      <c r="G658">
        <f>INDEX(CO2_Em!$E:$ZZ, MATCH(A658, CO2_Em!$C:$C, 0), MATCH(B658, CO2_Em!$E$1:$ZZ$1, 0))</f>
        <v>5.0200000000000002E-2</v>
      </c>
      <c r="H658">
        <f>INDEX(Agri_VA!$E:$ZZ, MATCH(A658, Agri_VA!$C:$C, 0), MATCH(B658, Agri_VA!$E$1:$ZZ$1, 0))</f>
        <v>1.963771852319814</v>
      </c>
      <c r="I658" s="6">
        <f>INDEX('Agri_land '!$E:$ZZ, MATCH(A658, 'Agri_land '!$C:$C, 0), MATCH(B658, 'Agri_land '!$E$1:$ZZ$1, 0))</f>
        <v>40.733136547501914</v>
      </c>
      <c r="J658">
        <f>INDEX(Cereal_Yield!$E:$ZZ, MATCH(A658, Cereal_Yield!$C:$C, 0), MATCH(B658, Cereal_Yield!$E$1:$ZZ$1, 0))</f>
        <v>3589.7</v>
      </c>
    </row>
    <row r="659" spans="1:10" x14ac:dyDescent="0.3">
      <c r="A659" t="s">
        <v>33</v>
      </c>
      <c r="B659" s="4">
        <v>2009</v>
      </c>
      <c r="C659" t="s">
        <v>49</v>
      </c>
      <c r="D659" s="8">
        <f>INDEX(GDP_pc!$E:$ZZ, MATCH(A659, GDP_pc!$C:$C, 0), MATCH(B659, GDP_pc!$E$1:$ZZ$1, 0))</f>
        <v>244667762835.54318</v>
      </c>
      <c r="E659">
        <f>INDEX(CH4_Em!$E:$ZZ, MATCH(A659, CH4_Em!$C:$C, 0), MATCH(B659, CH4_Em!$E$1:$ZZ$1, 0))</f>
        <v>4.7367999999999997</v>
      </c>
      <c r="F659">
        <f>INDEX(N2O_Em!$E:$ZZ, MATCH(A659, N2O_Em!$C:$C, 0), MATCH(B659, N2O_Em!$E$1:$ZZ$1, 0))</f>
        <v>2.0066999999999999</v>
      </c>
      <c r="G659">
        <f>INDEX(CO2_Em!$E:$ZZ, MATCH(A659, CO2_Em!$C:$C, 0), MATCH(B659, CO2_Em!$E$1:$ZZ$1, 0))</f>
        <v>5.1900000000000002E-2</v>
      </c>
      <c r="H659">
        <f>INDEX(Agri_VA!$E:$ZZ, MATCH(A659, Agri_VA!$C:$C, 0), MATCH(B659, Agri_VA!$E$1:$ZZ$1, 0))</f>
        <v>1.9506262118412541</v>
      </c>
      <c r="I659" s="6">
        <f>INDEX('Agri_land '!$E:$ZZ, MATCH(A659, 'Agri_land '!$C:$C, 0), MATCH(B659, 'Agri_land '!$E$1:$ZZ$1, 0))</f>
        <v>40.349164755977732</v>
      </c>
      <c r="J659">
        <f>INDEX(Cereal_Yield!$E:$ZZ, MATCH(A659, Cereal_Yield!$C:$C, 0), MATCH(B659, Cereal_Yield!$E$1:$ZZ$1, 0))</f>
        <v>3289.9</v>
      </c>
    </row>
    <row r="660" spans="1:10" x14ac:dyDescent="0.3">
      <c r="A660" t="s">
        <v>33</v>
      </c>
      <c r="B660" s="4">
        <v>2010</v>
      </c>
      <c r="C660" t="s">
        <v>49</v>
      </c>
      <c r="D660" s="8">
        <f>INDEX(GDP_pc!$E:$ZZ, MATCH(A660, GDP_pc!$C:$C, 0), MATCH(B660, GDP_pc!$E$1:$ZZ$1, 0))</f>
        <v>238443864993.21713</v>
      </c>
      <c r="E660">
        <f>INDEX(CH4_Em!$E:$ZZ, MATCH(A660, CH4_Em!$C:$C, 0), MATCH(B660, CH4_Em!$E$1:$ZZ$1, 0))</f>
        <v>4.5903</v>
      </c>
      <c r="F660">
        <f>INDEX(N2O_Em!$E:$ZZ, MATCH(A660, N2O_Em!$C:$C, 0), MATCH(B660, N2O_Em!$E$1:$ZZ$1, 0))</f>
        <v>1.972</v>
      </c>
      <c r="G660">
        <f>INDEX(CO2_Em!$E:$ZZ, MATCH(A660, CO2_Em!$C:$C, 0), MATCH(B660, CO2_Em!$E$1:$ZZ$1, 0))</f>
        <v>5.5100000000000003E-2</v>
      </c>
      <c r="H660">
        <f>INDEX(Agri_VA!$E:$ZZ, MATCH(A660, Agri_VA!$C:$C, 0), MATCH(B660, Agri_VA!$E$1:$ZZ$1, 0))</f>
        <v>1.9403487097609411</v>
      </c>
      <c r="I660" s="6">
        <f>INDEX('Agri_land '!$E:$ZZ, MATCH(A660, 'Agri_land '!$C:$C, 0), MATCH(B660, 'Agri_land '!$E$1:$ZZ$1, 0))</f>
        <v>39.89704116169888</v>
      </c>
      <c r="J660">
        <f>INDEX(Cereal_Yield!$E:$ZZ, MATCH(A660, Cereal_Yield!$C:$C, 0), MATCH(B660, Cereal_Yield!$E$1:$ZZ$1, 0))</f>
        <v>3351.3</v>
      </c>
    </row>
    <row r="661" spans="1:10" x14ac:dyDescent="0.3">
      <c r="A661" t="s">
        <v>33</v>
      </c>
      <c r="B661" s="4">
        <v>2011</v>
      </c>
      <c r="C661" t="s">
        <v>49</v>
      </c>
      <c r="D661" s="8">
        <f>INDEX(GDP_pc!$E:$ZZ, MATCH(A661, GDP_pc!$C:$C, 0), MATCH(B661, GDP_pc!$E$1:$ZZ$1, 0))</f>
        <v>245426767676.00244</v>
      </c>
      <c r="E661">
        <f>INDEX(CH4_Em!$E:$ZZ, MATCH(A661, CH4_Em!$C:$C, 0), MATCH(B661, CH4_Em!$E$1:$ZZ$1, 0))</f>
        <v>4.6868999999999996</v>
      </c>
      <c r="F661">
        <f>INDEX(N2O_Em!$E:$ZZ, MATCH(A661, N2O_Em!$C:$C, 0), MATCH(B661, N2O_Em!$E$1:$ZZ$1, 0))</f>
        <v>2.0009999999999999</v>
      </c>
      <c r="G661">
        <f>INDEX(CO2_Em!$E:$ZZ, MATCH(A661, CO2_Em!$C:$C, 0), MATCH(B661, CO2_Em!$E$1:$ZZ$1, 0))</f>
        <v>4.1399999999999999E-2</v>
      </c>
      <c r="H661">
        <f>INDEX(Agri_VA!$E:$ZZ, MATCH(A661, Agri_VA!$C:$C, 0), MATCH(B661, Agri_VA!$E$1:$ZZ$1, 0))</f>
        <v>1.8384390598892963</v>
      </c>
      <c r="I661" s="6">
        <f>INDEX('Agri_land '!$E:$ZZ, MATCH(A661, 'Agri_land '!$C:$C, 0), MATCH(B661, 'Agri_land '!$E$1:$ZZ$1, 0))</f>
        <v>39.844524511409539</v>
      </c>
      <c r="J661">
        <f>INDEX(Cereal_Yield!$E:$ZZ, MATCH(A661, Cereal_Yield!$C:$C, 0), MATCH(B661, Cereal_Yield!$E$1:$ZZ$1, 0))</f>
        <v>4088.4</v>
      </c>
    </row>
    <row r="662" spans="1:10" x14ac:dyDescent="0.3">
      <c r="A662" t="s">
        <v>33</v>
      </c>
      <c r="B662" s="4">
        <v>2012</v>
      </c>
      <c r="C662" t="s">
        <v>49</v>
      </c>
      <c r="D662" s="8">
        <f>INDEX(GDP_pc!$E:$ZZ, MATCH(A662, GDP_pc!$C:$C, 0), MATCH(B662, GDP_pc!$E$1:$ZZ$1, 0))</f>
        <v>216536676771.97272</v>
      </c>
      <c r="E662">
        <f>INDEX(CH4_Em!$E:$ZZ, MATCH(A662, CH4_Em!$C:$C, 0), MATCH(B662, CH4_Em!$E$1:$ZZ$1, 0))</f>
        <v>4.6896000000000004</v>
      </c>
      <c r="F662">
        <f>INDEX(N2O_Em!$E:$ZZ, MATCH(A662, N2O_Em!$C:$C, 0), MATCH(B662, N2O_Em!$E$1:$ZZ$1, 0))</f>
        <v>2.0068000000000001</v>
      </c>
      <c r="G662">
        <f>INDEX(CO2_Em!$E:$ZZ, MATCH(A662, CO2_Em!$C:$C, 0), MATCH(B662, CO2_Em!$E$1:$ZZ$1, 0))</f>
        <v>4.1399999999999999E-2</v>
      </c>
      <c r="H662">
        <f>INDEX(Agri_VA!$E:$ZZ, MATCH(A662, Agri_VA!$C:$C, 0), MATCH(B662, Agri_VA!$E$1:$ZZ$1, 0))</f>
        <v>1.9200468734934844</v>
      </c>
      <c r="I662" s="6">
        <f>INDEX('Agri_land '!$E:$ZZ, MATCH(A662, 'Agri_land '!$C:$C, 0), MATCH(B662, 'Agri_land '!$E$1:$ZZ$1, 0))</f>
        <v>40.008843760235834</v>
      </c>
      <c r="J662">
        <f>INDEX(Cereal_Yield!$E:$ZZ, MATCH(A662, Cereal_Yield!$C:$C, 0), MATCH(B662, Cereal_Yield!$E$1:$ZZ$1, 0))</f>
        <v>4091.6</v>
      </c>
    </row>
    <row r="663" spans="1:10" x14ac:dyDescent="0.3">
      <c r="A663" t="s">
        <v>33</v>
      </c>
      <c r="B663" s="4">
        <v>2013</v>
      </c>
      <c r="C663" t="s">
        <v>49</v>
      </c>
      <c r="D663" s="8">
        <f>INDEX(GDP_pc!$E:$ZZ, MATCH(A663, GDP_pc!$C:$C, 0), MATCH(B663, GDP_pc!$E$1:$ZZ$1, 0))</f>
        <v>226677408291.74533</v>
      </c>
      <c r="E663">
        <f>INDEX(CH4_Em!$E:$ZZ, MATCH(A663, CH4_Em!$C:$C, 0), MATCH(B663, CH4_Em!$E$1:$ZZ$1, 0))</f>
        <v>4.6178999999999997</v>
      </c>
      <c r="F663">
        <f>INDEX(N2O_Em!$E:$ZZ, MATCH(A663, N2O_Em!$C:$C, 0), MATCH(B663, N2O_Em!$E$1:$ZZ$1, 0))</f>
        <v>1.9996</v>
      </c>
      <c r="G663">
        <f>INDEX(CO2_Em!$E:$ZZ, MATCH(A663, CO2_Em!$C:$C, 0), MATCH(B663, CO2_Em!$E$1:$ZZ$1, 0))</f>
        <v>4.1399999999999999E-2</v>
      </c>
      <c r="H663">
        <f>INDEX(Agri_VA!$E:$ZZ, MATCH(A663, Agri_VA!$C:$C, 0), MATCH(B663, Agri_VA!$E$1:$ZZ$1, 0))</f>
        <v>2.0418870649790235</v>
      </c>
      <c r="I663" s="6">
        <f>INDEX('Agri_land '!$E:$ZZ, MATCH(A663, 'Agri_land '!$C:$C, 0), MATCH(B663, 'Agri_land '!$E$1:$ZZ$1, 0))</f>
        <v>40.402728229401824</v>
      </c>
      <c r="J663">
        <f>INDEX(Cereal_Yield!$E:$ZZ, MATCH(A663, Cereal_Yield!$C:$C, 0), MATCH(B663, Cereal_Yield!$E$1:$ZZ$1, 0))</f>
        <v>4336.3999999999996</v>
      </c>
    </row>
    <row r="664" spans="1:10" x14ac:dyDescent="0.3">
      <c r="A664" t="s">
        <v>33</v>
      </c>
      <c r="B664" s="4">
        <v>2014</v>
      </c>
      <c r="C664" t="s">
        <v>49</v>
      </c>
      <c r="D664" s="8">
        <f>INDEX(GDP_pc!$E:$ZZ, MATCH(A664, GDP_pc!$C:$C, 0), MATCH(B664, GDP_pc!$E$1:$ZZ$1, 0))</f>
        <v>230078616299.67526</v>
      </c>
      <c r="E664">
        <f>INDEX(CH4_Em!$E:$ZZ, MATCH(A664, CH4_Em!$C:$C, 0), MATCH(B664, CH4_Em!$E$1:$ZZ$1, 0))</f>
        <v>4.7961999999999998</v>
      </c>
      <c r="F664">
        <f>INDEX(N2O_Em!$E:$ZZ, MATCH(A664, N2O_Em!$C:$C, 0), MATCH(B664, N2O_Em!$E$1:$ZZ$1, 0))</f>
        <v>2.0276999999999998</v>
      </c>
      <c r="G664">
        <f>INDEX(CO2_Em!$E:$ZZ, MATCH(A664, CO2_Em!$C:$C, 0), MATCH(B664, CO2_Em!$E$1:$ZZ$1, 0))</f>
        <v>3.3500000000000002E-2</v>
      </c>
      <c r="H664">
        <f>INDEX(Agri_VA!$E:$ZZ, MATCH(A664, Agri_VA!$C:$C, 0), MATCH(B664, Agri_VA!$E$1:$ZZ$1, 0))</f>
        <v>1.9765910148438568</v>
      </c>
      <c r="I664" s="6">
        <f>INDEX('Agri_land '!$E:$ZZ, MATCH(A664, 'Agri_land '!$C:$C, 0), MATCH(B664, 'Agri_land '!$E$1:$ZZ$1, 0))</f>
        <v>39.996244771062031</v>
      </c>
      <c r="J664">
        <f>INDEX(Cereal_Yield!$E:$ZZ, MATCH(A664, Cereal_Yield!$C:$C, 0), MATCH(B664, Cereal_Yield!$E$1:$ZZ$1, 0))</f>
        <v>4416</v>
      </c>
    </row>
    <row r="665" spans="1:10" x14ac:dyDescent="0.3">
      <c r="A665" t="s">
        <v>33</v>
      </c>
      <c r="B665" s="4">
        <v>2015</v>
      </c>
      <c r="C665" t="s">
        <v>49</v>
      </c>
      <c r="D665" s="8">
        <f>INDEX(GDP_pc!$E:$ZZ, MATCH(A665, GDP_pc!$C:$C, 0), MATCH(B665, GDP_pc!$E$1:$ZZ$1, 0))</f>
        <v>199038523119.63934</v>
      </c>
      <c r="E665">
        <f>INDEX(CH4_Em!$E:$ZZ, MATCH(A665, CH4_Em!$C:$C, 0), MATCH(B665, CH4_Em!$E$1:$ZZ$1, 0))</f>
        <v>4.9874999999999998</v>
      </c>
      <c r="F665">
        <f>INDEX(N2O_Em!$E:$ZZ, MATCH(A665, N2O_Em!$C:$C, 0), MATCH(B665, N2O_Em!$E$1:$ZZ$1, 0))</f>
        <v>2.0954999999999999</v>
      </c>
      <c r="G665">
        <f>INDEX(CO2_Em!$E:$ZZ, MATCH(A665, CO2_Em!$C:$C, 0), MATCH(B665, CO2_Em!$E$1:$ZZ$1, 0))</f>
        <v>3.9800000000000002E-2</v>
      </c>
      <c r="H665">
        <f>INDEX(Agri_VA!$E:$ZZ, MATCH(A665, Agri_VA!$C:$C, 0), MATCH(B665, Agri_VA!$E$1:$ZZ$1, 0))</f>
        <v>1.9754125012962482</v>
      </c>
      <c r="I665" s="6">
        <f>INDEX('Agri_land '!$E:$ZZ, MATCH(A665, 'Agri_land '!$C:$C, 0), MATCH(B665, 'Agri_land '!$E$1:$ZZ$1, 0))</f>
        <v>39.722244054948611</v>
      </c>
      <c r="J665">
        <f>INDEX(Cereal_Yield!$E:$ZZ, MATCH(A665, Cereal_Yield!$C:$C, 0), MATCH(B665, Cereal_Yield!$E$1:$ZZ$1, 0))</f>
        <v>4606.8999999999996</v>
      </c>
    </row>
    <row r="666" spans="1:10" x14ac:dyDescent="0.3">
      <c r="A666" t="s">
        <v>33</v>
      </c>
      <c r="B666" s="4">
        <v>2016</v>
      </c>
      <c r="C666" t="s">
        <v>49</v>
      </c>
      <c r="D666" s="8">
        <f>INDEX(GDP_pc!$E:$ZZ, MATCH(A666, GDP_pc!$C:$C, 0), MATCH(B666, GDP_pc!$E$1:$ZZ$1, 0))</f>
        <v>206305431241.63824</v>
      </c>
      <c r="E666">
        <f>INDEX(CH4_Em!$E:$ZZ, MATCH(A666, CH4_Em!$C:$C, 0), MATCH(B666, CH4_Em!$E$1:$ZZ$1, 0))</f>
        <v>5.0167000000000002</v>
      </c>
      <c r="F666">
        <f>INDEX(N2O_Em!$E:$ZZ, MATCH(A666, N2O_Em!$C:$C, 0), MATCH(B666, N2O_Em!$E$1:$ZZ$1, 0))</f>
        <v>2.0922999999999998</v>
      </c>
      <c r="G666">
        <f>INDEX(CO2_Em!$E:$ZZ, MATCH(A666, CO2_Em!$C:$C, 0), MATCH(B666, CO2_Em!$E$1:$ZZ$1, 0))</f>
        <v>3.3500000000000002E-2</v>
      </c>
      <c r="H666">
        <f>INDEX(Agri_VA!$E:$ZZ, MATCH(A666, Agri_VA!$C:$C, 0), MATCH(B666, Agri_VA!$E$1:$ZZ$1, 0))</f>
        <v>1.9223584083783245</v>
      </c>
      <c r="I666" s="6">
        <f>INDEX('Agri_land '!$E:$ZZ, MATCH(A666, 'Agri_land '!$C:$C, 0), MATCH(B666, 'Agri_land '!$E$1:$ZZ$1, 0))</f>
        <v>39.506645881911155</v>
      </c>
      <c r="J666">
        <f>INDEX(Cereal_Yield!$E:$ZZ, MATCH(A666, Cereal_Yield!$C:$C, 0), MATCH(B666, Cereal_Yield!$E$1:$ZZ$1, 0))</f>
        <v>4422.3999999999996</v>
      </c>
    </row>
    <row r="667" spans="1:10" x14ac:dyDescent="0.3">
      <c r="A667" t="s">
        <v>33</v>
      </c>
      <c r="B667" s="4">
        <v>2017</v>
      </c>
      <c r="C667" t="s">
        <v>49</v>
      </c>
      <c r="D667" s="8">
        <f>INDEX(GDP_pc!$E:$ZZ, MATCH(A667, GDP_pc!$C:$C, 0), MATCH(B667, GDP_pc!$E$1:$ZZ$1, 0))</f>
        <v>220862990767.22861</v>
      </c>
      <c r="E667">
        <f>INDEX(CH4_Em!$E:$ZZ, MATCH(A667, CH4_Em!$C:$C, 0), MATCH(B667, CH4_Em!$E$1:$ZZ$1, 0))</f>
        <v>5.1559999999999997</v>
      </c>
      <c r="F667">
        <f>INDEX(N2O_Em!$E:$ZZ, MATCH(A667, N2O_Em!$C:$C, 0), MATCH(B667, N2O_Em!$E$1:$ZZ$1, 0))</f>
        <v>2.1265000000000001</v>
      </c>
      <c r="G667">
        <f>INDEX(CO2_Em!$E:$ZZ, MATCH(A667, CO2_Em!$C:$C, 0), MATCH(B667, CO2_Em!$E$1:$ZZ$1, 0))</f>
        <v>3.6799999999999999E-2</v>
      </c>
      <c r="H667">
        <f>INDEX(Agri_VA!$E:$ZZ, MATCH(A667, Agri_VA!$C:$C, 0), MATCH(B667, Agri_VA!$E$1:$ZZ$1, 0))</f>
        <v>1.9636734520682451</v>
      </c>
      <c r="I667" s="6">
        <f>INDEX('Agri_land '!$E:$ZZ, MATCH(A667, 'Agri_land '!$C:$C, 0), MATCH(B667, 'Agri_land '!$E$1:$ZZ$1, 0))</f>
        <v>40.100089950832697</v>
      </c>
      <c r="J667">
        <f>INDEX(Cereal_Yield!$E:$ZZ, MATCH(A667, Cereal_Yield!$C:$C, 0), MATCH(B667, Cereal_Yield!$E$1:$ZZ$1, 0))</f>
        <v>4759.7</v>
      </c>
    </row>
    <row r="668" spans="1:10" x14ac:dyDescent="0.3">
      <c r="A668" t="s">
        <v>33</v>
      </c>
      <c r="B668" s="4">
        <v>2018</v>
      </c>
      <c r="C668" t="s">
        <v>49</v>
      </c>
      <c r="D668" s="8">
        <f>INDEX(GDP_pc!$E:$ZZ, MATCH(A668, GDP_pc!$C:$C, 0), MATCH(B668, GDP_pc!$E$1:$ZZ$1, 0))</f>
        <v>242092894542.88766</v>
      </c>
      <c r="E668">
        <f>INDEX(CH4_Em!$E:$ZZ, MATCH(A668, CH4_Em!$C:$C, 0), MATCH(B668, CH4_Em!$E$1:$ZZ$1, 0))</f>
        <v>5.1271000000000004</v>
      </c>
      <c r="F668">
        <f>INDEX(N2O_Em!$E:$ZZ, MATCH(A668, N2O_Em!$C:$C, 0), MATCH(B668, N2O_Em!$E$1:$ZZ$1, 0))</f>
        <v>2.1374</v>
      </c>
      <c r="G668">
        <f>INDEX(CO2_Em!$E:$ZZ, MATCH(A668, CO2_Em!$C:$C, 0), MATCH(B668, CO2_Em!$E$1:$ZZ$1, 0))</f>
        <v>3.3799999999999997E-2</v>
      </c>
      <c r="H668">
        <f>INDEX(Agri_VA!$E:$ZZ, MATCH(A668, Agri_VA!$C:$C, 0), MATCH(B668, Agri_VA!$E$1:$ZZ$1, 0))</f>
        <v>1.9181747091866608</v>
      </c>
      <c r="I668" s="6">
        <f>INDEX('Agri_land '!$E:$ZZ, MATCH(A668, 'Agri_land '!$C:$C, 0), MATCH(B668, 'Agri_land '!$E$1:$ZZ$1, 0))</f>
        <v>40.791900276838973</v>
      </c>
      <c r="J668">
        <f>INDEX(Cereal_Yield!$E:$ZZ, MATCH(A668, Cereal_Yield!$C:$C, 0), MATCH(B668, Cereal_Yield!$E$1:$ZZ$1, 0))</f>
        <v>4809</v>
      </c>
    </row>
    <row r="669" spans="1:10" x14ac:dyDescent="0.3">
      <c r="A669" t="s">
        <v>33</v>
      </c>
      <c r="B669" s="4">
        <v>2019</v>
      </c>
      <c r="C669" t="s">
        <v>49</v>
      </c>
      <c r="D669" s="8">
        <f>INDEX(GDP_pc!$E:$ZZ, MATCH(A669, GDP_pc!$C:$C, 0), MATCH(B669, GDP_pc!$E$1:$ZZ$1, 0))</f>
        <v>240115970063.01923</v>
      </c>
      <c r="E669">
        <f>INDEX(CH4_Em!$E:$ZZ, MATCH(A669, CH4_Em!$C:$C, 0), MATCH(B669, CH4_Em!$E$1:$ZZ$1, 0))</f>
        <v>5.2449000000000003</v>
      </c>
      <c r="F669">
        <f>INDEX(N2O_Em!$E:$ZZ, MATCH(A669, N2O_Em!$C:$C, 0), MATCH(B669, N2O_Em!$E$1:$ZZ$1, 0))</f>
        <v>2.2084999999999999</v>
      </c>
      <c r="G669">
        <f>INDEX(CO2_Em!$E:$ZZ, MATCH(A669, CO2_Em!$C:$C, 0), MATCH(B669, CO2_Em!$E$1:$ZZ$1, 0))</f>
        <v>3.6499999999999998E-2</v>
      </c>
      <c r="H669">
        <f>INDEX(Agri_VA!$E:$ZZ, MATCH(A669, Agri_VA!$C:$C, 0), MATCH(B669, Agri_VA!$E$1:$ZZ$1, 0))</f>
        <v>1.9999184576970395</v>
      </c>
      <c r="I669" s="6">
        <f>INDEX('Agri_land '!$E:$ZZ, MATCH(A669, 'Agri_land '!$C:$C, 0), MATCH(B669, 'Agri_land '!$E$1:$ZZ$1, 0))</f>
        <v>43.125316574532562</v>
      </c>
      <c r="J669">
        <f>INDEX(Cereal_Yield!$E:$ZZ, MATCH(A669, Cereal_Yield!$C:$C, 0), MATCH(B669, Cereal_Yield!$E$1:$ZZ$1, 0))</f>
        <v>5176.5</v>
      </c>
    </row>
    <row r="670" spans="1:10" x14ac:dyDescent="0.3">
      <c r="A670" t="s">
        <v>33</v>
      </c>
      <c r="B670" s="4">
        <v>2020</v>
      </c>
      <c r="C670" t="s">
        <v>49</v>
      </c>
      <c r="D670" s="8">
        <f>INDEX(GDP_pc!$E:$ZZ, MATCH(A670, GDP_pc!$C:$C, 0), MATCH(B670, GDP_pc!$E$1:$ZZ$1, 0))</f>
        <v>229618773422.57651</v>
      </c>
      <c r="E670">
        <f>INDEX(CH4_Em!$E:$ZZ, MATCH(A670, CH4_Em!$C:$C, 0), MATCH(B670, CH4_Em!$E$1:$ZZ$1, 0))</f>
        <v>5.3158000000000003</v>
      </c>
      <c r="F670">
        <f>INDEX(N2O_Em!$E:$ZZ, MATCH(A670, N2O_Em!$C:$C, 0), MATCH(B670, N2O_Em!$E$1:$ZZ$1, 0))</f>
        <v>2.2179000000000002</v>
      </c>
      <c r="G670">
        <f>INDEX(CO2_Em!$E:$ZZ, MATCH(A670, CO2_Em!$C:$C, 0), MATCH(B670, CO2_Em!$E$1:$ZZ$1, 0))</f>
        <v>3.4799999999999998E-2</v>
      </c>
      <c r="H670">
        <f>INDEX(Agri_VA!$E:$ZZ, MATCH(A670, Agri_VA!$C:$C, 0), MATCH(B670, Agri_VA!$E$1:$ZZ$1, 0))</f>
        <v>2.1408969252042844</v>
      </c>
      <c r="I670" s="6">
        <f>INDEX('Agri_land '!$E:$ZZ, MATCH(A670, 'Agri_land '!$C:$C, 0), MATCH(B670, 'Agri_land '!$E$1:$ZZ$1, 0))</f>
        <v>43.166090282690142</v>
      </c>
      <c r="J670">
        <f>INDEX(Cereal_Yield!$E:$ZZ, MATCH(A670, Cereal_Yield!$C:$C, 0), MATCH(B670, Cereal_Yield!$E$1:$ZZ$1, 0))</f>
        <v>4881.3</v>
      </c>
    </row>
    <row r="671" spans="1:10" x14ac:dyDescent="0.3">
      <c r="A671" t="s">
        <v>33</v>
      </c>
      <c r="B671" s="4">
        <v>2021</v>
      </c>
      <c r="C671" t="s">
        <v>49</v>
      </c>
      <c r="D671" s="8">
        <f>INDEX(GDP_pc!$E:$ZZ, MATCH(A671, GDP_pc!$C:$C, 0), MATCH(B671, GDP_pc!$E$1:$ZZ$1, 0))</f>
        <v>256055879091.13928</v>
      </c>
      <c r="E671">
        <f>INDEX(CH4_Em!$E:$ZZ, MATCH(A671, CH4_Em!$C:$C, 0), MATCH(B671, CH4_Em!$E$1:$ZZ$1, 0))</f>
        <v>5.2587999999999999</v>
      </c>
      <c r="F671">
        <f>INDEX(N2O_Em!$E:$ZZ, MATCH(A671, N2O_Em!$C:$C, 0), MATCH(B671, N2O_Em!$E$1:$ZZ$1, 0))</f>
        <v>2.0882000000000001</v>
      </c>
      <c r="G671">
        <f>INDEX(CO2_Em!$E:$ZZ, MATCH(A671, CO2_Em!$C:$C, 0), MATCH(B671, CO2_Em!$E$1:$ZZ$1, 0))</f>
        <v>1.8800000000000001E-2</v>
      </c>
      <c r="H671">
        <f>INDEX(Agri_VA!$E:$ZZ, MATCH(A671, Agri_VA!$C:$C, 0), MATCH(B671, Agri_VA!$E$1:$ZZ$1, 0))</f>
        <v>2.1620462983815076</v>
      </c>
      <c r="I671" s="6">
        <f>INDEX('Agri_land '!$E:$ZZ, MATCH(A671, 'Agri_land '!$C:$C, 0), MATCH(B671, 'Agri_land '!$E$1:$ZZ$1, 0))</f>
        <v>43.253856751115656</v>
      </c>
      <c r="J671">
        <f>INDEX(Cereal_Yield!$E:$ZZ, MATCH(A671, Cereal_Yield!$C:$C, 0), MATCH(B671, Cereal_Yield!$E$1:$ZZ$1, 0))</f>
        <v>5379.7</v>
      </c>
    </row>
    <row r="672" spans="1:10" x14ac:dyDescent="0.3">
      <c r="A672" t="s">
        <v>33</v>
      </c>
      <c r="B672" s="4">
        <v>2022</v>
      </c>
      <c r="C672" t="s">
        <v>49</v>
      </c>
      <c r="D672" s="8">
        <f>INDEX(GDP_pc!$E:$ZZ, MATCH(A672, GDP_pc!$C:$C, 0), MATCH(B672, GDP_pc!$E$1:$ZZ$1, 0))</f>
        <v>256898677175.02435</v>
      </c>
      <c r="E672">
        <f>INDEX(CH4_Em!$E:$ZZ, MATCH(A672, CH4_Em!$C:$C, 0), MATCH(B672, CH4_Em!$E$1:$ZZ$1, 0))</f>
        <v>5.0080999999999998</v>
      </c>
      <c r="F672">
        <f>INDEX(N2O_Em!$E:$ZZ, MATCH(A672, N2O_Em!$C:$C, 0), MATCH(B672, N2O_Em!$E$1:$ZZ$1, 0))</f>
        <v>1.9003000000000001</v>
      </c>
      <c r="G672">
        <f>INDEX(CO2_Em!$E:$ZZ, MATCH(A672, CO2_Em!$C:$C, 0), MATCH(B672, CO2_Em!$E$1:$ZZ$1, 0))</f>
        <v>1.09E-2</v>
      </c>
      <c r="H672">
        <f>INDEX(Agri_VA!$E:$ZZ, MATCH(A672, Agri_VA!$C:$C, 0), MATCH(B672, Agri_VA!$E$1:$ZZ$1, 0))</f>
        <v>1.9054367619393517</v>
      </c>
      <c r="I672" s="6">
        <f>INDEX('Agri_land '!$E:$ZZ, MATCH(A672, 'Agri_land '!$C:$C, 0), MATCH(B672, 'Agri_land '!$E$1:$ZZ$1, 0))</f>
        <v>42.789496493664139</v>
      </c>
      <c r="J672">
        <f>INDEX(Cereal_Yield!$E:$ZZ, MATCH(A672, Cereal_Yield!$C:$C, 0), MATCH(B672, Cereal_Yield!$E$1:$ZZ$1, 0))</f>
        <v>5137.3999999999996</v>
      </c>
    </row>
    <row r="673" spans="1:10" x14ac:dyDescent="0.3">
      <c r="A673" t="s">
        <v>33</v>
      </c>
      <c r="B673" s="4">
        <v>2023</v>
      </c>
      <c r="C673" t="s">
        <v>49</v>
      </c>
      <c r="D673" s="8">
        <f>INDEX(GDP_pc!$E:$ZZ, MATCH(A673, GDP_pc!$C:$C, 0), MATCH(B673, GDP_pc!$E$1:$ZZ$1, 0))</f>
        <v>292323800948.8385</v>
      </c>
      <c r="E673">
        <f>INDEX(CH4_Em!$E:$ZZ, MATCH(A673, CH4_Em!$C:$C, 0), MATCH(B673, CH4_Em!$E$1:$ZZ$1, 0))</f>
        <v>4.9164000000000003</v>
      </c>
      <c r="F673">
        <f>INDEX(N2O_Em!$E:$ZZ, MATCH(A673, N2O_Em!$C:$C, 0), MATCH(B673, N2O_Em!$E$1:$ZZ$1, 0))</f>
        <v>1.8364</v>
      </c>
      <c r="G673">
        <f>INDEX(CO2_Em!$E:$ZZ, MATCH(A673, CO2_Em!$C:$C, 0), MATCH(B673, CO2_Em!$E$1:$ZZ$1, 0))</f>
        <v>9.2999999999999992E-3</v>
      </c>
      <c r="H673">
        <f>INDEX(Agri_VA!$E:$ZZ, MATCH(A673, Agri_VA!$C:$C, 0), MATCH(B673, Agri_VA!$E$1:$ZZ$1, 0))</f>
        <v>2.1372106942631199</v>
      </c>
      <c r="I673" s="6">
        <f>INDEX('Agri_land '!$E:$ZZ, MATCH(A673, 'Agri_land '!$C:$C, 0), MATCH(B673, 'Agri_land '!$E$1:$ZZ$1, 0))</f>
        <v>43.337521941890017</v>
      </c>
      <c r="J673">
        <f>INDEX(Cereal_Yield!$E:$ZZ, MATCH(A673, Cereal_Yield!$C:$C, 0), MATCH(B673, Cereal_Yield!$E$1:$ZZ$1, 0))</f>
        <v>5501.9</v>
      </c>
    </row>
    <row r="674" spans="1:10" x14ac:dyDescent="0.3">
      <c r="A674" t="s">
        <v>34</v>
      </c>
      <c r="B674" s="4">
        <v>2000</v>
      </c>
      <c r="C674" t="s">
        <v>49</v>
      </c>
      <c r="D674" s="8">
        <f>INDEX(GDP_pc!$E:$ZZ, MATCH(A674, GDP_pc!$C:$C, 0), MATCH(B674, GDP_pc!$E$1:$ZZ$1, 0))</f>
        <v>597487173479.1095</v>
      </c>
      <c r="E674">
        <f>INDEX(CH4_Em!$E:$ZZ, MATCH(A674, CH4_Em!$C:$C, 0), MATCH(B674, CH4_Em!$E$1:$ZZ$1, 0))</f>
        <v>19.5976</v>
      </c>
      <c r="F674">
        <f>INDEX(N2O_Em!$E:$ZZ, MATCH(A674, N2O_Em!$C:$C, 0), MATCH(B674, N2O_Em!$E$1:$ZZ$1, 0))</f>
        <v>4.1562999999999999</v>
      </c>
      <c r="G674">
        <f>INDEX(CO2_Em!$E:$ZZ, MATCH(A674, CO2_Em!$C:$C, 0), MATCH(B674, CO2_Em!$E$1:$ZZ$1, 0))</f>
        <v>0.2984</v>
      </c>
      <c r="H674">
        <f>INDEX(Agri_VA!$E:$ZZ, MATCH(A674, Agri_VA!$C:$C, 0), MATCH(B674, Agri_VA!$E$1:$ZZ$1, 0))</f>
        <v>3.7063477476149589</v>
      </c>
      <c r="I674" s="6">
        <f>INDEX('Agri_land '!$E:$ZZ, MATCH(A674, 'Agri_land '!$C:$C, 0), MATCH(B674, 'Agri_land '!$E$1:$ZZ$1, 0))</f>
        <v>20.454074227659135</v>
      </c>
      <c r="J674">
        <f>INDEX(Cereal_Yield!$E:$ZZ, MATCH(A674, Cereal_Yield!$C:$C, 0), MATCH(B674, Cereal_Yield!$E$1:$ZZ$1, 0))</f>
        <v>6379.5</v>
      </c>
    </row>
    <row r="675" spans="1:10" x14ac:dyDescent="0.3">
      <c r="A675" t="s">
        <v>34</v>
      </c>
      <c r="B675" s="4">
        <v>2001</v>
      </c>
      <c r="C675" t="s">
        <v>49</v>
      </c>
      <c r="D675" s="8">
        <f>INDEX(GDP_pc!$E:$ZZ, MATCH(A675, GDP_pc!$C:$C, 0), MATCH(B675, GDP_pc!$E$1:$ZZ$1, 0))</f>
        <v>567564806235.44055</v>
      </c>
      <c r="E675">
        <f>INDEX(CH4_Em!$E:$ZZ, MATCH(A675, CH4_Em!$C:$C, 0), MATCH(B675, CH4_Em!$E$1:$ZZ$1, 0))</f>
        <v>19.417400000000001</v>
      </c>
      <c r="F675">
        <f>INDEX(N2O_Em!$E:$ZZ, MATCH(A675, N2O_Em!$C:$C, 0), MATCH(B675, N2O_Em!$E$1:$ZZ$1, 0))</f>
        <v>3.8902999999999999</v>
      </c>
      <c r="G675">
        <f>INDEX(CO2_Em!$E:$ZZ, MATCH(A675, CO2_Em!$C:$C, 0), MATCH(B675, CO2_Em!$E$1:$ZZ$1, 0))</f>
        <v>0.3196</v>
      </c>
      <c r="H675">
        <f>INDEX(Agri_VA!$E:$ZZ, MATCH(A675, Agri_VA!$C:$C, 0), MATCH(B675, Agri_VA!$E$1:$ZZ$1, 0))</f>
        <v>3.4265877519079169</v>
      </c>
      <c r="I675" s="6">
        <f>INDEX('Agri_land '!$E:$ZZ, MATCH(A675, 'Agri_land '!$C:$C, 0), MATCH(B675, 'Agri_land '!$E$1:$ZZ$1, 0))</f>
        <v>20.105437254496589</v>
      </c>
      <c r="J675">
        <f>INDEX(Cereal_Yield!$E:$ZZ, MATCH(A675, Cereal_Yield!$C:$C, 0), MATCH(B675, Cereal_Yield!$E$1:$ZZ$1, 0))</f>
        <v>6465.6</v>
      </c>
    </row>
    <row r="676" spans="1:10" x14ac:dyDescent="0.3">
      <c r="A676" t="s">
        <v>34</v>
      </c>
      <c r="B676" s="4">
        <v>2002</v>
      </c>
      <c r="C676" t="s">
        <v>49</v>
      </c>
      <c r="D676" s="8">
        <f>INDEX(GDP_pc!$E:$ZZ, MATCH(A676, GDP_pc!$C:$C, 0), MATCH(B676, GDP_pc!$E$1:$ZZ$1, 0))</f>
        <v>650014391470.21045</v>
      </c>
      <c r="E676">
        <f>INDEX(CH4_Em!$E:$ZZ, MATCH(A676, CH4_Em!$C:$C, 0), MATCH(B676, CH4_Em!$E$1:$ZZ$1, 0))</f>
        <v>18.986699999999999</v>
      </c>
      <c r="F676">
        <f>INDEX(N2O_Em!$E:$ZZ, MATCH(A676, N2O_Em!$C:$C, 0), MATCH(B676, N2O_Em!$E$1:$ZZ$1, 0))</f>
        <v>3.7042000000000002</v>
      </c>
      <c r="G676">
        <f>INDEX(CO2_Em!$E:$ZZ, MATCH(A676, CO2_Em!$C:$C, 0), MATCH(B676, CO2_Em!$E$1:$ZZ$1, 0))</f>
        <v>0.21029999999999999</v>
      </c>
      <c r="H676">
        <f>INDEX(Agri_VA!$E:$ZZ, MATCH(A676, Agri_VA!$C:$C, 0), MATCH(B676, Agri_VA!$E$1:$ZZ$1, 0))</f>
        <v>3.0804128842999741</v>
      </c>
      <c r="I676" s="6">
        <f>INDEX('Agri_land '!$E:$ZZ, MATCH(A676, 'Agri_land '!$C:$C, 0), MATCH(B676, 'Agri_land '!$E$1:$ZZ$1, 0))</f>
        <v>19.82642835003616</v>
      </c>
      <c r="J676">
        <f>INDEX(Cereal_Yield!$E:$ZZ, MATCH(A676, Cereal_Yield!$C:$C, 0), MATCH(B676, Cereal_Yield!$E$1:$ZZ$1, 0))</f>
        <v>6017.1</v>
      </c>
    </row>
    <row r="677" spans="1:10" x14ac:dyDescent="0.3">
      <c r="A677" t="s">
        <v>34</v>
      </c>
      <c r="B677" s="4">
        <v>2003</v>
      </c>
      <c r="C677" t="s">
        <v>49</v>
      </c>
      <c r="D677" s="8">
        <f>INDEX(GDP_pc!$E:$ZZ, MATCH(A677, GDP_pc!$C:$C, 0), MATCH(B677, GDP_pc!$E$1:$ZZ$1, 0))</f>
        <v>728516494684.26941</v>
      </c>
      <c r="E677">
        <f>INDEX(CH4_Em!$E:$ZZ, MATCH(A677, CH4_Em!$C:$C, 0), MATCH(B677, CH4_Em!$E$1:$ZZ$1, 0))</f>
        <v>18.5444</v>
      </c>
      <c r="F677">
        <f>INDEX(N2O_Em!$E:$ZZ, MATCH(A677, N2O_Em!$C:$C, 0), MATCH(B677, N2O_Em!$E$1:$ZZ$1, 0))</f>
        <v>3.8757000000000001</v>
      </c>
      <c r="G677">
        <f>INDEX(CO2_Em!$E:$ZZ, MATCH(A677, CO2_Em!$C:$C, 0), MATCH(B677, CO2_Em!$E$1:$ZZ$1, 0))</f>
        <v>0.20699999999999999</v>
      </c>
      <c r="H677">
        <f>INDEX(Agri_VA!$E:$ZZ, MATCH(A677, Agri_VA!$C:$C, 0), MATCH(B677, Agri_VA!$E$1:$ZZ$1, 0))</f>
        <v>2.8453632521017482</v>
      </c>
      <c r="I677" s="6">
        <f>INDEX('Agri_land '!$E:$ZZ, MATCH(A677, 'Agri_land '!$C:$C, 0), MATCH(B677, 'Agri_land '!$E$1:$ZZ$1, 0))</f>
        <v>19.648760330578511</v>
      </c>
      <c r="J677">
        <f>INDEX(Cereal_Yield!$E:$ZZ, MATCH(A677, Cereal_Yield!$C:$C, 0), MATCH(B677, Cereal_Yield!$E$1:$ZZ$1, 0))</f>
        <v>5786.9</v>
      </c>
    </row>
    <row r="678" spans="1:10" x14ac:dyDescent="0.3">
      <c r="A678" t="s">
        <v>34</v>
      </c>
      <c r="B678" s="4">
        <v>2004</v>
      </c>
      <c r="C678" t="s">
        <v>49</v>
      </c>
      <c r="D678" s="8">
        <f>INDEX(GDP_pc!$E:$ZZ, MATCH(A678, GDP_pc!$C:$C, 0), MATCH(B678, GDP_pc!$E$1:$ZZ$1, 0))</f>
        <v>823251107638.81372</v>
      </c>
      <c r="E678">
        <f>INDEX(CH4_Em!$E:$ZZ, MATCH(A678, CH4_Em!$C:$C, 0), MATCH(B678, CH4_Em!$E$1:$ZZ$1, 0))</f>
        <v>19.1159</v>
      </c>
      <c r="F678">
        <f>INDEX(N2O_Em!$E:$ZZ, MATCH(A678, N2O_Em!$C:$C, 0), MATCH(B678, N2O_Em!$E$1:$ZZ$1, 0))</f>
        <v>4.1177000000000001</v>
      </c>
      <c r="G678">
        <f>INDEX(CO2_Em!$E:$ZZ, MATCH(A678, CO2_Em!$C:$C, 0), MATCH(B678, CO2_Em!$E$1:$ZZ$1, 0))</f>
        <v>0.26369999999999999</v>
      </c>
      <c r="H678">
        <f>INDEX(Agri_VA!$E:$ZZ, MATCH(A678, Agri_VA!$C:$C, 0), MATCH(B678, Agri_VA!$E$1:$ZZ$1, 0))</f>
        <v>2.8357744043734692</v>
      </c>
      <c r="I678" s="6">
        <f>INDEX('Agri_land '!$E:$ZZ, MATCH(A678, 'Agri_land '!$C:$C, 0), MATCH(B678, 'Agri_land '!$E$1:$ZZ$1, 0))</f>
        <v>19.551745507126629</v>
      </c>
      <c r="J678">
        <f>INDEX(Cereal_Yield!$E:$ZZ, MATCH(A678, Cereal_Yield!$C:$C, 0), MATCH(B678, Cereal_Yield!$E$1:$ZZ$1, 0))</f>
        <v>6427</v>
      </c>
    </row>
    <row r="679" spans="1:10" x14ac:dyDescent="0.3">
      <c r="A679" t="s">
        <v>34</v>
      </c>
      <c r="B679" s="4">
        <v>2005</v>
      </c>
      <c r="C679" t="s">
        <v>49</v>
      </c>
      <c r="D679" s="8">
        <f>INDEX(GDP_pc!$E:$ZZ, MATCH(A679, GDP_pc!$C:$C, 0), MATCH(B679, GDP_pc!$E$1:$ZZ$1, 0))</f>
        <v>971740329983.87781</v>
      </c>
      <c r="E679">
        <f>INDEX(CH4_Em!$E:$ZZ, MATCH(A679, CH4_Em!$C:$C, 0), MATCH(B679, CH4_Em!$E$1:$ZZ$1, 0))</f>
        <v>19.138999999999999</v>
      </c>
      <c r="F679">
        <f>INDEX(N2O_Em!$E:$ZZ, MATCH(A679, N2O_Em!$C:$C, 0), MATCH(B679, N2O_Em!$E$1:$ZZ$1, 0))</f>
        <v>4.0549999999999997</v>
      </c>
      <c r="G679">
        <f>INDEX(CO2_Em!$E:$ZZ, MATCH(A679, CO2_Em!$C:$C, 0), MATCH(B679, CO2_Em!$E$1:$ZZ$1, 0))</f>
        <v>0.20949999999999999</v>
      </c>
      <c r="H679">
        <f>INDEX(Agri_VA!$E:$ZZ, MATCH(A679, Agri_VA!$C:$C, 0), MATCH(B679, Agri_VA!$E$1:$ZZ$1, 0))</f>
        <v>2.5059399070817157</v>
      </c>
      <c r="I679" s="6">
        <f>INDEX('Agri_land '!$E:$ZZ, MATCH(A679, 'Agri_land '!$C:$C, 0), MATCH(B679, 'Agri_land '!$E$1:$ZZ$1, 0))</f>
        <v>19.421786267423851</v>
      </c>
      <c r="J679">
        <f>INDEX(Cereal_Yield!$E:$ZZ, MATCH(A679, Cereal_Yield!$C:$C, 0), MATCH(B679, Cereal_Yield!$E$1:$ZZ$1, 0))</f>
        <v>6302.3</v>
      </c>
    </row>
    <row r="680" spans="1:10" x14ac:dyDescent="0.3">
      <c r="A680" t="s">
        <v>34</v>
      </c>
      <c r="B680" s="4">
        <v>2006</v>
      </c>
      <c r="C680" t="s">
        <v>49</v>
      </c>
      <c r="D680" s="8">
        <f>INDEX(GDP_pc!$E:$ZZ, MATCH(A680, GDP_pc!$C:$C, 0), MATCH(B680, GDP_pc!$E$1:$ZZ$1, 0))</f>
        <v>1095175538508.1859</v>
      </c>
      <c r="E680">
        <f>INDEX(CH4_Em!$E:$ZZ, MATCH(A680, CH4_Em!$C:$C, 0), MATCH(B680, CH4_Em!$E$1:$ZZ$1, 0))</f>
        <v>19.502500000000001</v>
      </c>
      <c r="F680">
        <f>INDEX(N2O_Em!$E:$ZZ, MATCH(A680, N2O_Em!$C:$C, 0), MATCH(B680, N2O_Em!$E$1:$ZZ$1, 0))</f>
        <v>3.7816999999999998</v>
      </c>
      <c r="G680">
        <f>INDEX(CO2_Em!$E:$ZZ, MATCH(A680, CO2_Em!$C:$C, 0), MATCH(B680, CO2_Em!$E$1:$ZZ$1, 0))</f>
        <v>0.18099999999999999</v>
      </c>
      <c r="H680">
        <f>INDEX(Agri_VA!$E:$ZZ, MATCH(A680, Agri_VA!$C:$C, 0), MATCH(B680, Agri_VA!$E$1:$ZZ$1, 0))</f>
        <v>2.3878051747446021</v>
      </c>
      <c r="I680" s="6">
        <f>INDEX('Agri_land '!$E:$ZZ, MATCH(A680, 'Agri_land '!$C:$C, 0), MATCH(B680, 'Agri_land '!$E$1:$ZZ$1, 0))</f>
        <v>19.178364987613541</v>
      </c>
      <c r="J680">
        <f>INDEX(Cereal_Yield!$E:$ZZ, MATCH(A680, Cereal_Yield!$C:$C, 0), MATCH(B680, Cereal_Yield!$E$1:$ZZ$1, 0))</f>
        <v>6299.9</v>
      </c>
    </row>
    <row r="681" spans="1:10" x14ac:dyDescent="0.3">
      <c r="A681" t="s">
        <v>34</v>
      </c>
      <c r="B681" s="4">
        <v>2007</v>
      </c>
      <c r="C681" t="s">
        <v>49</v>
      </c>
      <c r="D681" s="8">
        <f>INDEX(GDP_pc!$E:$ZZ, MATCH(A681, GDP_pc!$C:$C, 0), MATCH(B681, GDP_pc!$E$1:$ZZ$1, 0))</f>
        <v>1220911904593.0552</v>
      </c>
      <c r="E681">
        <f>INDEX(CH4_Em!$E:$ZZ, MATCH(A681, CH4_Em!$C:$C, 0), MATCH(B681, CH4_Em!$E$1:$ZZ$1, 0))</f>
        <v>19.854500000000002</v>
      </c>
      <c r="F681">
        <f>INDEX(N2O_Em!$E:$ZZ, MATCH(A681, N2O_Em!$C:$C, 0), MATCH(B681, N2O_Em!$E$1:$ZZ$1, 0))</f>
        <v>4.1939000000000002</v>
      </c>
      <c r="G681">
        <f>INDEX(CO2_Em!$E:$ZZ, MATCH(A681, CO2_Em!$C:$C, 0), MATCH(B681, CO2_Em!$E$1:$ZZ$1, 0))</f>
        <v>0.17979999999999999</v>
      </c>
      <c r="H681">
        <f>INDEX(Agri_VA!$E:$ZZ, MATCH(A681, Agri_VA!$C:$C, 0), MATCH(B681, Agri_VA!$E$1:$ZZ$1, 0))</f>
        <v>2.1791273706827594</v>
      </c>
      <c r="I681" s="6">
        <f>INDEX('Agri_land '!$E:$ZZ, MATCH(A681, 'Agri_land '!$C:$C, 0), MATCH(B681, 'Agri_land '!$E$1:$ZZ$1, 0))</f>
        <v>18.984729673957904</v>
      </c>
      <c r="J681">
        <f>INDEX(Cereal_Yield!$E:$ZZ, MATCH(A681, Cereal_Yield!$C:$C, 0), MATCH(B681, Cereal_Yield!$E$1:$ZZ$1, 0))</f>
        <v>6035.3</v>
      </c>
    </row>
    <row r="682" spans="1:10" x14ac:dyDescent="0.3">
      <c r="A682" t="s">
        <v>34</v>
      </c>
      <c r="B682" s="4">
        <v>2008</v>
      </c>
      <c r="C682" t="s">
        <v>49</v>
      </c>
      <c r="D682" s="8">
        <f>INDEX(GDP_pc!$E:$ZZ, MATCH(A682, GDP_pc!$C:$C, 0), MATCH(B682, GDP_pc!$E$1:$ZZ$1, 0))</f>
        <v>1091580692542.3395</v>
      </c>
      <c r="E682">
        <f>INDEX(CH4_Em!$E:$ZZ, MATCH(A682, CH4_Em!$C:$C, 0), MATCH(B682, CH4_Em!$E$1:$ZZ$1, 0))</f>
        <v>20.443999999999999</v>
      </c>
      <c r="F682">
        <f>INDEX(N2O_Em!$E:$ZZ, MATCH(A682, N2O_Em!$C:$C, 0), MATCH(B682, N2O_Em!$E$1:$ZZ$1, 0))</f>
        <v>4.1981000000000002</v>
      </c>
      <c r="G682">
        <f>INDEX(CO2_Em!$E:$ZZ, MATCH(A682, CO2_Em!$C:$C, 0), MATCH(B682, CO2_Em!$E$1:$ZZ$1, 0))</f>
        <v>0.1681</v>
      </c>
      <c r="H682">
        <f>INDEX(Agri_VA!$E:$ZZ, MATCH(A682, Agri_VA!$C:$C, 0), MATCH(B682, Agri_VA!$E$1:$ZZ$1, 0))</f>
        <v>2.0417916313825524</v>
      </c>
      <c r="I682" s="6">
        <f>INDEX('Agri_land '!$E:$ZZ, MATCH(A682, 'Agri_land '!$C:$C, 0), MATCH(B682, 'Agri_land '!$E$1:$ZZ$1, 0))</f>
        <v>18.733890091762039</v>
      </c>
      <c r="J682">
        <f>INDEX(Cereal_Yield!$E:$ZZ, MATCH(A682, Cereal_Yield!$C:$C, 0), MATCH(B682, Cereal_Yield!$E$1:$ZZ$1, 0))</f>
        <v>6630</v>
      </c>
    </row>
    <row r="683" spans="1:10" x14ac:dyDescent="0.3">
      <c r="A683" t="s">
        <v>34</v>
      </c>
      <c r="B683" s="4">
        <v>2009</v>
      </c>
      <c r="C683" t="s">
        <v>49</v>
      </c>
      <c r="D683" s="8">
        <f>INDEX(GDP_pc!$E:$ZZ, MATCH(A683, GDP_pc!$C:$C, 0), MATCH(B683, GDP_pc!$E$1:$ZZ$1, 0))</f>
        <v>983065242417.36035</v>
      </c>
      <c r="E683">
        <f>INDEX(CH4_Em!$E:$ZZ, MATCH(A683, CH4_Em!$C:$C, 0), MATCH(B683, CH4_Em!$E$1:$ZZ$1, 0))</f>
        <v>21.108699999999999</v>
      </c>
      <c r="F683">
        <f>INDEX(N2O_Em!$E:$ZZ, MATCH(A683, N2O_Em!$C:$C, 0), MATCH(B683, N2O_Em!$E$1:$ZZ$1, 0))</f>
        <v>4.3433999999999999</v>
      </c>
      <c r="G683">
        <f>INDEX(CO2_Em!$E:$ZZ, MATCH(A683, CO2_Em!$C:$C, 0), MATCH(B683, CO2_Em!$E$1:$ZZ$1, 0))</f>
        <v>0.1603</v>
      </c>
      <c r="H683">
        <f>INDEX(Agri_VA!$E:$ZZ, MATCH(A683, Agri_VA!$C:$C, 0), MATCH(B683, Agri_VA!$E$1:$ZZ$1, 0))</f>
        <v>2.1380452806109744</v>
      </c>
      <c r="I683" s="6">
        <f>INDEX('Agri_land '!$E:$ZZ, MATCH(A683, 'Agri_land '!$C:$C, 0), MATCH(B683, 'Agri_land '!$E$1:$ZZ$1, 0))</f>
        <v>18.49371522769421</v>
      </c>
      <c r="J683">
        <f>INDEX(Cereal_Yield!$E:$ZZ, MATCH(A683, Cereal_Yield!$C:$C, 0), MATCH(B683, Cereal_Yield!$E$1:$ZZ$1, 0))</f>
        <v>6745.3</v>
      </c>
    </row>
    <row r="684" spans="1:10" x14ac:dyDescent="0.3">
      <c r="A684" t="s">
        <v>34</v>
      </c>
      <c r="B684" s="4">
        <v>2010</v>
      </c>
      <c r="C684" t="s">
        <v>49</v>
      </c>
      <c r="D684" s="8">
        <f>INDEX(GDP_pc!$E:$ZZ, MATCH(A684, GDP_pc!$C:$C, 0), MATCH(B684, GDP_pc!$E$1:$ZZ$1, 0))</f>
        <v>1192830015737.6821</v>
      </c>
      <c r="E684">
        <f>INDEX(CH4_Em!$E:$ZZ, MATCH(A684, CH4_Em!$C:$C, 0), MATCH(B684, CH4_Em!$E$1:$ZZ$1, 0))</f>
        <v>21.4315</v>
      </c>
      <c r="F684">
        <f>INDEX(N2O_Em!$E:$ZZ, MATCH(A684, N2O_Em!$C:$C, 0), MATCH(B684, N2O_Em!$E$1:$ZZ$1, 0))</f>
        <v>4.5152000000000001</v>
      </c>
      <c r="G684">
        <f>INDEX(CO2_Em!$E:$ZZ, MATCH(A684, CO2_Em!$C:$C, 0), MATCH(B684, CO2_Em!$E$1:$ZZ$1, 0))</f>
        <v>0.15240000000000001</v>
      </c>
      <c r="H684">
        <f>INDEX(Agri_VA!$E:$ZZ, MATCH(A684, Agri_VA!$C:$C, 0), MATCH(B684, Agri_VA!$E$1:$ZZ$1, 0))</f>
        <v>2.0444228836758027</v>
      </c>
      <c r="I684" s="6">
        <f>INDEX('Agri_land '!$E:$ZZ, MATCH(A684, 'Agri_land '!$C:$C, 0), MATCH(B684, 'Agri_land '!$E$1:$ZZ$1, 0))</f>
        <v>18.24074074074074</v>
      </c>
      <c r="J684">
        <f>INDEX(Cereal_Yield!$E:$ZZ, MATCH(A684, Cereal_Yield!$C:$C, 0), MATCH(B684, Cereal_Yield!$E$1:$ZZ$1, 0))</f>
        <v>6202.2</v>
      </c>
    </row>
    <row r="685" spans="1:10" x14ac:dyDescent="0.3">
      <c r="A685" t="s">
        <v>34</v>
      </c>
      <c r="B685" s="4">
        <v>2011</v>
      </c>
      <c r="C685" t="s">
        <v>49</v>
      </c>
      <c r="D685" s="8">
        <f>INDEX(GDP_pc!$E:$ZZ, MATCH(A685, GDP_pc!$C:$C, 0), MATCH(B685, GDP_pc!$E$1:$ZZ$1, 0))</f>
        <v>1307103477219.1016</v>
      </c>
      <c r="E685">
        <f>INDEX(CH4_Em!$E:$ZZ, MATCH(A685, CH4_Em!$C:$C, 0), MATCH(B685, CH4_Em!$E$1:$ZZ$1, 0))</f>
        <v>20.817799999999998</v>
      </c>
      <c r="F685">
        <f>INDEX(N2O_Em!$E:$ZZ, MATCH(A685, N2O_Em!$C:$C, 0), MATCH(B685, N2O_Em!$E$1:$ZZ$1, 0))</f>
        <v>4.3925999999999998</v>
      </c>
      <c r="G685">
        <f>INDEX(CO2_Em!$E:$ZZ, MATCH(A685, CO2_Em!$C:$C, 0), MATCH(B685, CO2_Em!$E$1:$ZZ$1, 0))</f>
        <v>0.1414</v>
      </c>
      <c r="H685">
        <f>INDEX(Agri_VA!$E:$ZZ, MATCH(A685, Agri_VA!$C:$C, 0), MATCH(B685, Agri_VA!$E$1:$ZZ$1, 0))</f>
        <v>2.1076566525074703</v>
      </c>
      <c r="I685" s="6">
        <f>INDEX('Agri_land '!$E:$ZZ, MATCH(A685, 'Agri_land '!$C:$C, 0), MATCH(B685, 'Agri_land '!$E$1:$ZZ$1, 0))</f>
        <v>18.068731350962032</v>
      </c>
      <c r="J685">
        <f>INDEX(Cereal_Yield!$E:$ZZ, MATCH(A685, Cereal_Yield!$C:$C, 0), MATCH(B685, Cereal_Yield!$E$1:$ZZ$1, 0))</f>
        <v>6292.7</v>
      </c>
    </row>
    <row r="686" spans="1:10" x14ac:dyDescent="0.3">
      <c r="A686" t="s">
        <v>34</v>
      </c>
      <c r="B686" s="4">
        <v>2012</v>
      </c>
      <c r="C686" t="s">
        <v>49</v>
      </c>
      <c r="D686" s="8">
        <f>INDEX(GDP_pc!$E:$ZZ, MATCH(A686, GDP_pc!$C:$C, 0), MATCH(B686, GDP_pc!$E$1:$ZZ$1, 0))</f>
        <v>1335343586437.6738</v>
      </c>
      <c r="E686">
        <f>INDEX(CH4_Em!$E:$ZZ, MATCH(A686, CH4_Em!$C:$C, 0), MATCH(B686, CH4_Em!$E$1:$ZZ$1, 0))</f>
        <v>21.125299999999999</v>
      </c>
      <c r="F686">
        <f>INDEX(N2O_Em!$E:$ZZ, MATCH(A686, N2O_Em!$C:$C, 0), MATCH(B686, N2O_Em!$E$1:$ZZ$1, 0))</f>
        <v>4.5359999999999996</v>
      </c>
      <c r="G686">
        <f>INDEX(CO2_Em!$E:$ZZ, MATCH(A686, CO2_Em!$C:$C, 0), MATCH(B686, CO2_Em!$E$1:$ZZ$1, 0))</f>
        <v>0.14460000000000001</v>
      </c>
      <c r="H686">
        <f>INDEX(Agri_VA!$E:$ZZ, MATCH(A686, Agri_VA!$C:$C, 0), MATCH(B686, Agri_VA!$E$1:$ZZ$1, 0))</f>
        <v>2.0821518759444322</v>
      </c>
      <c r="I686" s="6">
        <f>INDEX('Agri_land '!$E:$ZZ, MATCH(A686, 'Agri_land '!$C:$C, 0), MATCH(B686, 'Agri_land '!$E$1:$ZZ$1, 0))</f>
        <v>18.374267803925598</v>
      </c>
      <c r="J686">
        <f>INDEX(Cereal_Yield!$E:$ZZ, MATCH(A686, Cereal_Yield!$C:$C, 0), MATCH(B686, Cereal_Yield!$E$1:$ZZ$1, 0))</f>
        <v>6135.8</v>
      </c>
    </row>
    <row r="687" spans="1:10" x14ac:dyDescent="0.3">
      <c r="A687" t="s">
        <v>34</v>
      </c>
      <c r="B687" s="4">
        <v>2013</v>
      </c>
      <c r="C687" t="s">
        <v>49</v>
      </c>
      <c r="D687" s="8">
        <f>INDEX(GDP_pc!$E:$ZZ, MATCH(A687, GDP_pc!$C:$C, 0), MATCH(B687, GDP_pc!$E$1:$ZZ$1, 0))</f>
        <v>1434669686501.8389</v>
      </c>
      <c r="E687">
        <f>INDEX(CH4_Em!$E:$ZZ, MATCH(A687, CH4_Em!$C:$C, 0), MATCH(B687, CH4_Em!$E$1:$ZZ$1, 0))</f>
        <v>20.7423</v>
      </c>
      <c r="F687">
        <f>INDEX(N2O_Em!$E:$ZZ, MATCH(A687, N2O_Em!$C:$C, 0), MATCH(B687, N2O_Em!$E$1:$ZZ$1, 0))</f>
        <v>5.1342999999999996</v>
      </c>
      <c r="G687">
        <f>INDEX(CO2_Em!$E:$ZZ, MATCH(A687, CO2_Em!$C:$C, 0), MATCH(B687, CO2_Em!$E$1:$ZZ$1, 0))</f>
        <v>0.35349999999999998</v>
      </c>
      <c r="H687">
        <f>INDEX(Agri_VA!$E:$ZZ, MATCH(A687, Agri_VA!$C:$C, 0), MATCH(B687, Agri_VA!$E$1:$ZZ$1, 0))</f>
        <v>1.9950816652112731</v>
      </c>
      <c r="I687" s="6">
        <f>INDEX('Agri_land '!$E:$ZZ, MATCH(A687, 'Agri_land '!$C:$C, 0), MATCH(B687, 'Agri_land '!$E$1:$ZZ$1, 0))</f>
        <v>18.154291462238007</v>
      </c>
      <c r="J687">
        <f>INDEX(Cereal_Yield!$E:$ZZ, MATCH(A687, Cereal_Yield!$C:$C, 0), MATCH(B687, Cereal_Yield!$E$1:$ZZ$1, 0))</f>
        <v>6479.2</v>
      </c>
    </row>
    <row r="688" spans="1:10" x14ac:dyDescent="0.3">
      <c r="A688" t="s">
        <v>34</v>
      </c>
      <c r="B688" s="4">
        <v>2014</v>
      </c>
      <c r="C688" t="s">
        <v>49</v>
      </c>
      <c r="D688" s="8">
        <f>INDEX(GDP_pc!$E:$ZZ, MATCH(A688, GDP_pc!$C:$C, 0), MATCH(B688, GDP_pc!$E$1:$ZZ$1, 0))</f>
        <v>1556252422020.4402</v>
      </c>
      <c r="E688">
        <f>INDEX(CH4_Em!$E:$ZZ, MATCH(A688, CH4_Em!$C:$C, 0), MATCH(B688, CH4_Em!$E$1:$ZZ$1, 0))</f>
        <v>20.263300000000001</v>
      </c>
      <c r="F688">
        <f>INDEX(N2O_Em!$E:$ZZ, MATCH(A688, N2O_Em!$C:$C, 0), MATCH(B688, N2O_Em!$E$1:$ZZ$1, 0))</f>
        <v>5.0128000000000004</v>
      </c>
      <c r="G688">
        <f>INDEX(CO2_Em!$E:$ZZ, MATCH(A688, CO2_Em!$C:$C, 0), MATCH(B688, CO2_Em!$E$1:$ZZ$1, 0))</f>
        <v>0.35099999999999998</v>
      </c>
      <c r="H688">
        <f>INDEX(Agri_VA!$E:$ZZ, MATCH(A688, Agri_VA!$C:$C, 0), MATCH(B688, Agri_VA!$E$1:$ZZ$1, 0))</f>
        <v>1.9517666566085934</v>
      </c>
      <c r="I688" s="6">
        <f>INDEX('Agri_land '!$E:$ZZ, MATCH(A688, 'Agri_land '!$C:$C, 0), MATCH(B688, 'Agri_land '!$E$1:$ZZ$1, 0))</f>
        <v>17.944165041568304</v>
      </c>
      <c r="J688">
        <f>INDEX(Cereal_Yield!$E:$ZZ, MATCH(A688, Cereal_Yield!$C:$C, 0), MATCH(B688, Cereal_Yield!$E$1:$ZZ$1, 0))</f>
        <v>6618</v>
      </c>
    </row>
    <row r="689" spans="1:10" x14ac:dyDescent="0.3">
      <c r="A689" t="s">
        <v>34</v>
      </c>
      <c r="B689" s="4">
        <v>2015</v>
      </c>
      <c r="C689" t="s">
        <v>49</v>
      </c>
      <c r="D689" s="8">
        <f>INDEX(GDP_pc!$E:$ZZ, MATCH(A689, GDP_pc!$C:$C, 0), MATCH(B689, GDP_pc!$E$1:$ZZ$1, 0))</f>
        <v>1539212301135.5471</v>
      </c>
      <c r="E689">
        <f>INDEX(CH4_Em!$E:$ZZ, MATCH(A689, CH4_Em!$C:$C, 0), MATCH(B689, CH4_Em!$E$1:$ZZ$1, 0))</f>
        <v>20.636800000000001</v>
      </c>
      <c r="F689">
        <f>INDEX(N2O_Em!$E:$ZZ, MATCH(A689, N2O_Em!$C:$C, 0), MATCH(B689, N2O_Em!$E$1:$ZZ$1, 0))</f>
        <v>5.4978999999999996</v>
      </c>
      <c r="G689">
        <f>INDEX(CO2_Em!$E:$ZZ, MATCH(A689, CO2_Em!$C:$C, 0), MATCH(B689, CO2_Em!$E$1:$ZZ$1, 0))</f>
        <v>0.42299999999999999</v>
      </c>
      <c r="H689">
        <f>INDEX(Agri_VA!$E:$ZZ, MATCH(A689, Agri_VA!$C:$C, 0), MATCH(B689, Agri_VA!$E$1:$ZZ$1, 0))</f>
        <v>1.8985843095263262</v>
      </c>
      <c r="I689" s="6">
        <f>INDEX('Agri_land '!$E:$ZZ, MATCH(A689, 'Agri_land '!$C:$C, 0), MATCH(B689, 'Agri_land '!$E$1:$ZZ$1, 0))</f>
        <v>17.815177792600952</v>
      </c>
      <c r="J689">
        <f>INDEX(Cereal_Yield!$E:$ZZ, MATCH(A689, Cereal_Yield!$C:$C, 0), MATCH(B689, Cereal_Yield!$E$1:$ZZ$1, 0))</f>
        <v>6814.9</v>
      </c>
    </row>
    <row r="690" spans="1:10" x14ac:dyDescent="0.3">
      <c r="A690" t="s">
        <v>34</v>
      </c>
      <c r="B690" s="4">
        <v>2016</v>
      </c>
      <c r="C690" t="s">
        <v>49</v>
      </c>
      <c r="D690" s="8">
        <f>INDEX(GDP_pc!$E:$ZZ, MATCH(A690, GDP_pc!$C:$C, 0), MATCH(B690, GDP_pc!$E$1:$ZZ$1, 0))</f>
        <v>1579150518945.4392</v>
      </c>
      <c r="E690">
        <f>INDEX(CH4_Em!$E:$ZZ, MATCH(A690, CH4_Em!$C:$C, 0), MATCH(B690, CH4_Em!$E$1:$ZZ$1, 0))</f>
        <v>20.5901</v>
      </c>
      <c r="F690">
        <f>INDEX(N2O_Em!$E:$ZZ, MATCH(A690, N2O_Em!$C:$C, 0), MATCH(B690, N2O_Em!$E$1:$ZZ$1, 0))</f>
        <v>5.6083999999999996</v>
      </c>
      <c r="G690">
        <f>INDEX(CO2_Em!$E:$ZZ, MATCH(A690, CO2_Em!$C:$C, 0), MATCH(B690, CO2_Em!$E$1:$ZZ$1, 0))</f>
        <v>0.436</v>
      </c>
      <c r="H690">
        <f>INDEX(Agri_VA!$E:$ZZ, MATCH(A690, Agri_VA!$C:$C, 0), MATCH(B690, Agri_VA!$E$1:$ZZ$1, 0))</f>
        <v>1.739456481428038</v>
      </c>
      <c r="I690" s="6">
        <f>INDEX('Agri_land '!$E:$ZZ, MATCH(A690, 'Agri_land '!$C:$C, 0), MATCH(B690, 'Agri_land '!$E$1:$ZZ$1, 0))</f>
        <v>17.446070838761297</v>
      </c>
      <c r="J690">
        <f>INDEX(Cereal_Yield!$E:$ZZ, MATCH(A690, Cereal_Yield!$C:$C, 0), MATCH(B690, Cereal_Yield!$E$1:$ZZ$1, 0))</f>
        <v>6792.7</v>
      </c>
    </row>
    <row r="691" spans="1:10" x14ac:dyDescent="0.3">
      <c r="A691" t="s">
        <v>34</v>
      </c>
      <c r="B691" s="4">
        <v>2017</v>
      </c>
      <c r="C691" t="s">
        <v>49</v>
      </c>
      <c r="D691" s="8">
        <f>INDEX(GDP_pc!$E:$ZZ, MATCH(A691, GDP_pc!$C:$C, 0), MATCH(B691, GDP_pc!$E$1:$ZZ$1, 0))</f>
        <v>1710196756713.1694</v>
      </c>
      <c r="E691">
        <f>INDEX(CH4_Em!$E:$ZZ, MATCH(A691, CH4_Em!$C:$C, 0), MATCH(B691, CH4_Em!$E$1:$ZZ$1, 0))</f>
        <v>20.458100000000002</v>
      </c>
      <c r="F691">
        <f>INDEX(N2O_Em!$E:$ZZ, MATCH(A691, N2O_Em!$C:$C, 0), MATCH(B691, N2O_Em!$E$1:$ZZ$1, 0))</f>
        <v>5.5414000000000003</v>
      </c>
      <c r="G691">
        <f>INDEX(CO2_Em!$E:$ZZ, MATCH(A691, CO2_Em!$C:$C, 0), MATCH(B691, CO2_Em!$E$1:$ZZ$1, 0))</f>
        <v>0.41360000000000002</v>
      </c>
      <c r="H691">
        <f>INDEX(Agri_VA!$E:$ZZ, MATCH(A691, Agri_VA!$C:$C, 0), MATCH(B691, Agri_VA!$E$1:$ZZ$1, 0))</f>
        <v>1.7149425413338069</v>
      </c>
      <c r="I691" s="6">
        <f>INDEX('Agri_land '!$E:$ZZ, MATCH(A691, 'Agri_land '!$C:$C, 0), MATCH(B691, 'Agri_land '!$E$1:$ZZ$1, 0))</f>
        <v>17.195159470823505</v>
      </c>
      <c r="J691">
        <f>INDEX(Cereal_Yield!$E:$ZZ, MATCH(A691, Cereal_Yield!$C:$C, 0), MATCH(B691, Cereal_Yield!$E$1:$ZZ$1, 0))</f>
        <v>6678.5</v>
      </c>
    </row>
    <row r="692" spans="1:10" x14ac:dyDescent="0.3">
      <c r="A692" t="s">
        <v>34</v>
      </c>
      <c r="B692" s="4">
        <v>2018</v>
      </c>
      <c r="C692" t="s">
        <v>49</v>
      </c>
      <c r="D692" s="8">
        <f>INDEX(GDP_pc!$E:$ZZ, MATCH(A692, GDP_pc!$C:$C, 0), MATCH(B692, GDP_pc!$E$1:$ZZ$1, 0))</f>
        <v>1824251454306.8289</v>
      </c>
      <c r="E692">
        <f>INDEX(CH4_Em!$E:$ZZ, MATCH(A692, CH4_Em!$C:$C, 0), MATCH(B692, CH4_Em!$E$1:$ZZ$1, 0))</f>
        <v>20.540700000000001</v>
      </c>
      <c r="F692">
        <f>INDEX(N2O_Em!$E:$ZZ, MATCH(A692, N2O_Em!$C:$C, 0), MATCH(B692, N2O_Em!$E$1:$ZZ$1, 0))</f>
        <v>4.6574999999999998</v>
      </c>
      <c r="G692">
        <f>INDEX(CO2_Em!$E:$ZZ, MATCH(A692, CO2_Em!$C:$C, 0), MATCH(B692, CO2_Em!$E$1:$ZZ$1, 0))</f>
        <v>0.159</v>
      </c>
      <c r="H692">
        <f>INDEX(Agri_VA!$E:$ZZ, MATCH(A692, Agri_VA!$C:$C, 0), MATCH(B692, Agri_VA!$E$1:$ZZ$1, 0))</f>
        <v>1.5993277443236076</v>
      </c>
      <c r="I692" s="6">
        <f>INDEX('Agri_land '!$E:$ZZ, MATCH(A692, 'Agri_land '!$C:$C, 0), MATCH(B692, 'Agri_land '!$E$1:$ZZ$1, 0))</f>
        <v>16.940114848236259</v>
      </c>
      <c r="J692">
        <f>INDEX(Cereal_Yield!$E:$ZZ, MATCH(A692, Cereal_Yield!$C:$C, 0), MATCH(B692, Cereal_Yield!$E$1:$ZZ$1, 0))</f>
        <v>6607.2</v>
      </c>
    </row>
    <row r="693" spans="1:10" x14ac:dyDescent="0.3">
      <c r="A693" t="s">
        <v>34</v>
      </c>
      <c r="B693" s="4">
        <v>2019</v>
      </c>
      <c r="C693" t="s">
        <v>49</v>
      </c>
      <c r="D693" s="8">
        <f>INDEX(GDP_pc!$E:$ZZ, MATCH(A693, GDP_pc!$C:$C, 0), MATCH(B693, GDP_pc!$E$1:$ZZ$1, 0))</f>
        <v>1751045752054.627</v>
      </c>
      <c r="E693">
        <f>INDEX(CH4_Em!$E:$ZZ, MATCH(A693, CH4_Em!$C:$C, 0), MATCH(B693, CH4_Em!$E$1:$ZZ$1, 0))</f>
        <v>20.712900000000001</v>
      </c>
      <c r="F693">
        <f>INDEX(N2O_Em!$E:$ZZ, MATCH(A693, N2O_Em!$C:$C, 0), MATCH(B693, N2O_Em!$E$1:$ZZ$1, 0))</f>
        <v>4.6558999999999999</v>
      </c>
      <c r="G693">
        <f>INDEX(CO2_Em!$E:$ZZ, MATCH(A693, CO2_Em!$C:$C, 0), MATCH(B693, CO2_Em!$E$1:$ZZ$1, 0))</f>
        <v>0.15359999999999999</v>
      </c>
      <c r="H693">
        <f>INDEX(Agri_VA!$E:$ZZ, MATCH(A693, Agri_VA!$C:$C, 0), MATCH(B693, Agri_VA!$E$1:$ZZ$1, 0))</f>
        <v>1.5068943395558834</v>
      </c>
      <c r="I693" s="6">
        <f>INDEX('Agri_land '!$E:$ZZ, MATCH(A693, 'Agri_land '!$C:$C, 0), MATCH(B693, 'Agri_land '!$E$1:$ZZ$1, 0))</f>
        <v>16.772540983606557</v>
      </c>
      <c r="J693">
        <f>INDEX(Cereal_Yield!$E:$ZZ, MATCH(A693, Cereal_Yield!$C:$C, 0), MATCH(B693, Cereal_Yield!$E$1:$ZZ$1, 0))</f>
        <v>6538.1</v>
      </c>
    </row>
    <row r="694" spans="1:10" x14ac:dyDescent="0.3">
      <c r="A694" t="s">
        <v>34</v>
      </c>
      <c r="B694" s="4">
        <v>2020</v>
      </c>
      <c r="C694" t="s">
        <v>49</v>
      </c>
      <c r="D694" s="8">
        <f>INDEX(GDP_pc!$E:$ZZ, MATCH(A694, GDP_pc!$C:$C, 0), MATCH(B694, GDP_pc!$E$1:$ZZ$1, 0))</f>
        <v>1744070276373.3391</v>
      </c>
      <c r="E694">
        <f>INDEX(CH4_Em!$E:$ZZ, MATCH(A694, CH4_Em!$C:$C, 0), MATCH(B694, CH4_Em!$E$1:$ZZ$1, 0))</f>
        <v>20.998699999999999</v>
      </c>
      <c r="F694">
        <f>INDEX(N2O_Em!$E:$ZZ, MATCH(A694, N2O_Em!$C:$C, 0), MATCH(B694, N2O_Em!$E$1:$ZZ$1, 0))</f>
        <v>4.7226999999999997</v>
      </c>
      <c r="G694">
        <f>INDEX(CO2_Em!$E:$ZZ, MATCH(A694, CO2_Em!$C:$C, 0), MATCH(B694, CO2_Em!$E$1:$ZZ$1, 0))</f>
        <v>0.14799999999999999</v>
      </c>
      <c r="H694">
        <f>INDEX(Agri_VA!$E:$ZZ, MATCH(A694, Agri_VA!$C:$C, 0), MATCH(B694, Agri_VA!$E$1:$ZZ$1, 0))</f>
        <v>1.5779513535925895</v>
      </c>
      <c r="I694" s="6">
        <f>INDEX('Agri_land '!$E:$ZZ, MATCH(A694, 'Agri_land '!$C:$C, 0), MATCH(B694, 'Agri_land '!$E$1:$ZZ$1, 0))</f>
        <v>16.608606557377048</v>
      </c>
      <c r="J694">
        <f>INDEX(Cereal_Yield!$E:$ZZ, MATCH(A694, Cereal_Yield!$C:$C, 0), MATCH(B694, Cereal_Yield!$E$1:$ZZ$1, 0))</f>
        <v>6211.6</v>
      </c>
    </row>
    <row r="695" spans="1:10" x14ac:dyDescent="0.3">
      <c r="A695" t="s">
        <v>34</v>
      </c>
      <c r="B695" s="4">
        <v>2021</v>
      </c>
      <c r="C695" t="s">
        <v>49</v>
      </c>
      <c r="D695" s="8">
        <f>INDEX(GDP_pc!$E:$ZZ, MATCH(A695, GDP_pc!$C:$C, 0), MATCH(B695, GDP_pc!$E$1:$ZZ$1, 0))</f>
        <v>1942313560965.9043</v>
      </c>
      <c r="E695">
        <f>INDEX(CH4_Em!$E:$ZZ, MATCH(A695, CH4_Em!$C:$C, 0), MATCH(B695, CH4_Em!$E$1:$ZZ$1, 0))</f>
        <v>21.703399999999998</v>
      </c>
      <c r="F695">
        <f>INDEX(N2O_Em!$E:$ZZ, MATCH(A695, N2O_Em!$C:$C, 0), MATCH(B695, N2O_Em!$E$1:$ZZ$1, 0))</f>
        <v>4.9363999999999999</v>
      </c>
      <c r="G695">
        <f>INDEX(CO2_Em!$E:$ZZ, MATCH(A695, CO2_Em!$C:$C, 0), MATCH(B695, CO2_Em!$E$1:$ZZ$1, 0))</f>
        <v>0.1641</v>
      </c>
      <c r="H695">
        <f>INDEX(Agri_VA!$E:$ZZ, MATCH(A695, Agri_VA!$C:$C, 0), MATCH(B695, Agri_VA!$E$1:$ZZ$1, 0))</f>
        <v>1.6651597819158437</v>
      </c>
      <c r="I695" s="6">
        <f>INDEX('Agri_land '!$E:$ZZ, MATCH(A695, 'Agri_land '!$C:$C, 0), MATCH(B695, 'Agri_land '!$E$1:$ZZ$1, 0))</f>
        <v>16.424180327868854</v>
      </c>
      <c r="J695">
        <f>INDEX(Cereal_Yield!$E:$ZZ, MATCH(A695, Cereal_Yield!$C:$C, 0), MATCH(B695, Cereal_Yield!$E$1:$ZZ$1, 0))</f>
        <v>6826.1</v>
      </c>
    </row>
    <row r="696" spans="1:10" x14ac:dyDescent="0.3">
      <c r="A696" t="s">
        <v>34</v>
      </c>
      <c r="B696" s="4">
        <v>2022</v>
      </c>
      <c r="C696" t="s">
        <v>49</v>
      </c>
      <c r="D696" s="8">
        <f>INDEX(GDP_pc!$E:$ZZ, MATCH(A696, GDP_pc!$C:$C, 0), MATCH(B696, GDP_pc!$E$1:$ZZ$1, 0))</f>
        <v>1799363116866.521</v>
      </c>
      <c r="E696">
        <f>INDEX(CH4_Em!$E:$ZZ, MATCH(A696, CH4_Em!$C:$C, 0), MATCH(B696, CH4_Em!$E$1:$ZZ$1, 0))</f>
        <v>21.834900000000001</v>
      </c>
      <c r="F696">
        <f>INDEX(N2O_Em!$E:$ZZ, MATCH(A696, N2O_Em!$C:$C, 0), MATCH(B696, N2O_Em!$E$1:$ZZ$1, 0))</f>
        <v>4.8379000000000003</v>
      </c>
      <c r="G696">
        <f>INDEX(CO2_Em!$E:$ZZ, MATCH(A696, CO2_Em!$C:$C, 0), MATCH(B696, CO2_Em!$E$1:$ZZ$1, 0))</f>
        <v>0.13539999999999999</v>
      </c>
      <c r="H696">
        <f>INDEX(Agri_VA!$E:$ZZ, MATCH(A696, Agri_VA!$C:$C, 0), MATCH(B696, Agri_VA!$E$1:$ZZ$1, 0))</f>
        <v>1.4483461547481982</v>
      </c>
      <c r="I696" s="6">
        <f>INDEX('Agri_land '!$E:$ZZ, MATCH(A696, 'Agri_land '!$C:$C, 0), MATCH(B696, 'Agri_land '!$E$1:$ZZ$1, 0))</f>
        <v>16.229508196721312</v>
      </c>
      <c r="J696">
        <f>INDEX(Cereal_Yield!$E:$ZZ, MATCH(A696, Cereal_Yield!$C:$C, 0), MATCH(B696, Cereal_Yield!$E$1:$ZZ$1, 0))</f>
        <v>6612.2</v>
      </c>
    </row>
    <row r="697" spans="1:10" x14ac:dyDescent="0.3">
      <c r="A697" t="s">
        <v>34</v>
      </c>
      <c r="B697" s="4">
        <v>2023</v>
      </c>
      <c r="C697" t="s">
        <v>49</v>
      </c>
      <c r="D697" s="8">
        <f>INDEX(GDP_pc!$E:$ZZ, MATCH(A697, GDP_pc!$C:$C, 0), MATCH(B697, GDP_pc!$E$1:$ZZ$1, 0))</f>
        <v>1844800934391.5447</v>
      </c>
      <c r="E697">
        <f>INDEX(CH4_Em!$E:$ZZ, MATCH(A697, CH4_Em!$C:$C, 0), MATCH(B697, CH4_Em!$E$1:$ZZ$1, 0))</f>
        <v>21.508800000000001</v>
      </c>
      <c r="F697">
        <f>INDEX(N2O_Em!$E:$ZZ, MATCH(A697, N2O_Em!$C:$C, 0), MATCH(B697, N2O_Em!$E$1:$ZZ$1, 0))</f>
        <v>4.5594999999999999</v>
      </c>
      <c r="G697">
        <f>INDEX(CO2_Em!$E:$ZZ, MATCH(A697, CO2_Em!$C:$C, 0), MATCH(B697, CO2_Em!$E$1:$ZZ$1, 0))</f>
        <v>8.1199999999999994E-2</v>
      </c>
      <c r="H697">
        <f>INDEX(Agri_VA!$E:$ZZ, MATCH(A697, Agri_VA!$C:$C, 0), MATCH(B697, Agri_VA!$E$1:$ZZ$1, 0))</f>
        <v>1.447738714455018</v>
      </c>
      <c r="I697" s="6">
        <f>INDEX('Agri_land '!$E:$ZZ, MATCH(A697, 'Agri_land '!$C:$C, 0), MATCH(B697, 'Agri_land '!$E$1:$ZZ$1, 0))</f>
        <v>16.065573770491802</v>
      </c>
      <c r="J697">
        <f>INDEX(Cereal_Yield!$E:$ZZ, MATCH(A697, Cereal_Yield!$C:$C, 0), MATCH(B697, Cereal_Yield!$E$1:$ZZ$1, 0))</f>
        <v>6615.2</v>
      </c>
    </row>
    <row r="698" spans="1:10" x14ac:dyDescent="0.3">
      <c r="A698" t="s">
        <v>35</v>
      </c>
      <c r="B698" s="4">
        <v>2000</v>
      </c>
      <c r="C698" t="s">
        <v>48</v>
      </c>
      <c r="D698" s="8">
        <f>INDEX(GDP_pc!$E:$ZZ, MATCH(A698, GDP_pc!$C:$C, 0), MATCH(B698, GDP_pc!$E$1:$ZZ$1, 0))</f>
        <v>259710142196.94278</v>
      </c>
      <c r="E698">
        <f>INDEX(CH4_Em!$E:$ZZ, MATCH(A698, CH4_Em!$C:$C, 0), MATCH(B698, CH4_Em!$E$1:$ZZ$1, 0))</f>
        <v>76.766599999999997</v>
      </c>
      <c r="F698">
        <f>INDEX(N2O_Em!$E:$ZZ, MATCH(A698, N2O_Em!$C:$C, 0), MATCH(B698, N2O_Em!$E$1:$ZZ$1, 0))</f>
        <v>35.5242</v>
      </c>
      <c r="G698">
        <f>INDEX(CO2_Em!$E:$ZZ, MATCH(A698, CO2_Em!$C:$C, 0), MATCH(B698, CO2_Em!$E$1:$ZZ$1, 0))</f>
        <v>2.2037</v>
      </c>
      <c r="H698">
        <f>INDEX(Agri_VA!$E:$ZZ, MATCH(A698, Agri_VA!$C:$C, 0), MATCH(B698, Agri_VA!$E$1:$ZZ$1, 0))</f>
        <v>5.7517156284995616</v>
      </c>
      <c r="I698" s="6">
        <f>INDEX('Agri_land '!$E:$ZZ, MATCH(A698, 'Agri_land '!$C:$C, 0), MATCH(B698, 'Agri_land '!$E$1:$ZZ$1, 0))</f>
        <v>13.256668868358753</v>
      </c>
      <c r="J698">
        <f>INDEX(Cereal_Yield!$E:$ZZ, MATCH(A698, Cereal_Yield!$C:$C, 0), MATCH(B698, Cereal_Yield!$E$1:$ZZ$1, 0))</f>
        <v>1561.4</v>
      </c>
    </row>
    <row r="699" spans="1:10" x14ac:dyDescent="0.3">
      <c r="A699" t="s">
        <v>35</v>
      </c>
      <c r="B699" s="4">
        <v>2001</v>
      </c>
      <c r="C699" t="s">
        <v>48</v>
      </c>
      <c r="D699" s="8">
        <f>INDEX(GDP_pc!$E:$ZZ, MATCH(A699, GDP_pc!$C:$C, 0), MATCH(B699, GDP_pc!$E$1:$ZZ$1, 0))</f>
        <v>306602070620.50049</v>
      </c>
      <c r="E699">
        <f>INDEX(CH4_Em!$E:$ZZ, MATCH(A699, CH4_Em!$C:$C, 0), MATCH(B699, CH4_Em!$E$1:$ZZ$1, 0))</f>
        <v>75.854399999999998</v>
      </c>
      <c r="F699">
        <f>INDEX(N2O_Em!$E:$ZZ, MATCH(A699, N2O_Em!$C:$C, 0), MATCH(B699, N2O_Em!$E$1:$ZZ$1, 0))</f>
        <v>36.739600000000003</v>
      </c>
      <c r="G699">
        <f>INDEX(CO2_Em!$E:$ZZ, MATCH(A699, CO2_Em!$C:$C, 0), MATCH(B699, CO2_Em!$E$1:$ZZ$1, 0))</f>
        <v>2.3134000000000001</v>
      </c>
      <c r="H699">
        <f>INDEX(Agri_VA!$E:$ZZ, MATCH(A699, Agri_VA!$C:$C, 0), MATCH(B699, Agri_VA!$E$1:$ZZ$1, 0))</f>
        <v>5.8757215676796353</v>
      </c>
      <c r="I699" s="6">
        <f>INDEX('Agri_land '!$E:$ZZ, MATCH(A699, 'Agri_land '!$C:$C, 0), MATCH(B699, 'Agri_land '!$E$1:$ZZ$1, 0))</f>
        <v>13.239021662421765</v>
      </c>
      <c r="J699">
        <f>INDEX(Cereal_Yield!$E:$ZZ, MATCH(A699, Cereal_Yield!$C:$C, 0), MATCH(B699, Cereal_Yield!$E$1:$ZZ$1, 0))</f>
        <v>1934.7</v>
      </c>
    </row>
    <row r="700" spans="1:10" x14ac:dyDescent="0.3">
      <c r="A700" t="s">
        <v>35</v>
      </c>
      <c r="B700" s="4">
        <v>2002</v>
      </c>
      <c r="C700" t="s">
        <v>48</v>
      </c>
      <c r="D700" s="8">
        <f>INDEX(GDP_pc!$E:$ZZ, MATCH(A700, GDP_pc!$C:$C, 0), MATCH(B700, GDP_pc!$E$1:$ZZ$1, 0))</f>
        <v>345470494417.86279</v>
      </c>
      <c r="E700">
        <f>INDEX(CH4_Em!$E:$ZZ, MATCH(A700, CH4_Em!$C:$C, 0), MATCH(B700, CH4_Em!$E$1:$ZZ$1, 0))</f>
        <v>76.304599999999994</v>
      </c>
      <c r="F700">
        <f>INDEX(N2O_Em!$E:$ZZ, MATCH(A700, N2O_Em!$C:$C, 0), MATCH(B700, N2O_Em!$E$1:$ZZ$1, 0))</f>
        <v>36.013300000000001</v>
      </c>
      <c r="G700">
        <f>INDEX(CO2_Em!$E:$ZZ, MATCH(A700, CO2_Em!$C:$C, 0), MATCH(B700, CO2_Em!$E$1:$ZZ$1, 0))</f>
        <v>1.8826000000000001</v>
      </c>
      <c r="H700">
        <f>INDEX(Agri_VA!$E:$ZZ, MATCH(A700, Agri_VA!$C:$C, 0), MATCH(B700, Agri_VA!$E$1:$ZZ$1, 0))</f>
        <v>5.565713752827663</v>
      </c>
      <c r="I700" s="6">
        <f>INDEX('Agri_land '!$E:$ZZ, MATCH(A700, 'Agri_land '!$C:$C, 0), MATCH(B700, 'Agri_land '!$E$1:$ZZ$1, 0))</f>
        <v>13.225797786940188</v>
      </c>
      <c r="J700">
        <f>INDEX(Cereal_Yield!$E:$ZZ, MATCH(A700, Cereal_Yield!$C:$C, 0), MATCH(B700, Cereal_Yield!$E$1:$ZZ$1, 0))</f>
        <v>1969.1</v>
      </c>
    </row>
    <row r="701" spans="1:10" x14ac:dyDescent="0.3">
      <c r="A701" t="s">
        <v>35</v>
      </c>
      <c r="B701" s="4">
        <v>2003</v>
      </c>
      <c r="C701" t="s">
        <v>48</v>
      </c>
      <c r="D701" s="8">
        <f>INDEX(GDP_pc!$E:$ZZ, MATCH(A701, GDP_pc!$C:$C, 0), MATCH(B701, GDP_pc!$E$1:$ZZ$1, 0))</f>
        <v>430347420184.88513</v>
      </c>
      <c r="E701">
        <f>INDEX(CH4_Em!$E:$ZZ, MATCH(A701, CH4_Em!$C:$C, 0), MATCH(B701, CH4_Em!$E$1:$ZZ$1, 0))</f>
        <v>75.681600000000003</v>
      </c>
      <c r="F701">
        <f>INDEX(N2O_Em!$E:$ZZ, MATCH(A701, N2O_Em!$C:$C, 0), MATCH(B701, N2O_Em!$E$1:$ZZ$1, 0))</f>
        <v>34.566800000000001</v>
      </c>
      <c r="G701">
        <f>INDEX(CO2_Em!$E:$ZZ, MATCH(A701, CO2_Em!$C:$C, 0), MATCH(B701, CO2_Em!$E$1:$ZZ$1, 0))</f>
        <v>2.1192000000000002</v>
      </c>
      <c r="H701">
        <f>INDEX(Agri_VA!$E:$ZZ, MATCH(A701, Agri_VA!$C:$C, 0), MATCH(B701, Agri_VA!$E$1:$ZZ$1, 0))</f>
        <v>5.5029460521483093</v>
      </c>
      <c r="I701" s="6">
        <f>INDEX('Agri_land '!$E:$ZZ, MATCH(A701, 'Agri_land '!$C:$C, 0), MATCH(B701, 'Agri_land '!$E$1:$ZZ$1, 0))</f>
        <v>13.202934134587796</v>
      </c>
      <c r="J701">
        <f>INDEX(Cereal_Yield!$E:$ZZ, MATCH(A701, Cereal_Yield!$C:$C, 0), MATCH(B701, Cereal_Yield!$E$1:$ZZ$1, 0))</f>
        <v>1777.4</v>
      </c>
    </row>
    <row r="702" spans="1:10" x14ac:dyDescent="0.3">
      <c r="A702" t="s">
        <v>35</v>
      </c>
      <c r="B702" s="4">
        <v>2004</v>
      </c>
      <c r="C702" t="s">
        <v>48</v>
      </c>
      <c r="D702" s="8">
        <f>INDEX(GDP_pc!$E:$ZZ, MATCH(A702, GDP_pc!$C:$C, 0), MATCH(B702, GDP_pc!$E$1:$ZZ$1, 0))</f>
        <v>591016690732.38464</v>
      </c>
      <c r="E702">
        <f>INDEX(CH4_Em!$E:$ZZ, MATCH(A702, CH4_Em!$C:$C, 0), MATCH(B702, CH4_Em!$E$1:$ZZ$1, 0))</f>
        <v>72.117900000000006</v>
      </c>
      <c r="F702">
        <f>INDEX(N2O_Em!$E:$ZZ, MATCH(A702, N2O_Em!$C:$C, 0), MATCH(B702, N2O_Em!$E$1:$ZZ$1, 0))</f>
        <v>34.762599999999999</v>
      </c>
      <c r="G702">
        <f>INDEX(CO2_Em!$E:$ZZ, MATCH(A702, CO2_Em!$C:$C, 0), MATCH(B702, CO2_Em!$E$1:$ZZ$1, 0))</f>
        <v>2.2557</v>
      </c>
      <c r="H702">
        <f>INDEX(Agri_VA!$E:$ZZ, MATCH(A702, Agri_VA!$C:$C, 0), MATCH(B702, Agri_VA!$E$1:$ZZ$1, 0))</f>
        <v>4.9044419479773191</v>
      </c>
      <c r="I702" s="6">
        <f>INDEX('Agri_land '!$E:$ZZ, MATCH(A702, 'Agri_land '!$C:$C, 0), MATCH(B702, 'Agri_land '!$E$1:$ZZ$1, 0))</f>
        <v>13.18460213305106</v>
      </c>
      <c r="J702">
        <f>INDEX(Cereal_Yield!$E:$ZZ, MATCH(A702, Cereal_Yield!$C:$C, 0), MATCH(B702, Cereal_Yield!$E$1:$ZZ$1, 0))</f>
        <v>1876.5</v>
      </c>
    </row>
    <row r="703" spans="1:10" x14ac:dyDescent="0.3">
      <c r="A703" t="s">
        <v>35</v>
      </c>
      <c r="B703" s="4">
        <v>2005</v>
      </c>
      <c r="C703" t="s">
        <v>48</v>
      </c>
      <c r="D703" s="8">
        <f>INDEX(GDP_pc!$E:$ZZ, MATCH(A703, GDP_pc!$C:$C, 0), MATCH(B703, GDP_pc!$E$1:$ZZ$1, 0))</f>
        <v>764015973481.11023</v>
      </c>
      <c r="E703">
        <f>INDEX(CH4_Em!$E:$ZZ, MATCH(A703, CH4_Em!$C:$C, 0), MATCH(B703, CH4_Em!$E$1:$ZZ$1, 0))</f>
        <v>65.742999999999995</v>
      </c>
      <c r="F703">
        <f>INDEX(N2O_Em!$E:$ZZ, MATCH(A703, N2O_Em!$C:$C, 0), MATCH(B703, N2O_Em!$E$1:$ZZ$1, 0))</f>
        <v>33.899799999999999</v>
      </c>
      <c r="G703">
        <f>INDEX(CO2_Em!$E:$ZZ, MATCH(A703, CO2_Em!$C:$C, 0), MATCH(B703, CO2_Em!$E$1:$ZZ$1, 0))</f>
        <v>2.3157000000000001</v>
      </c>
      <c r="H703">
        <f>INDEX(Agri_VA!$E:$ZZ, MATCH(A703, Agri_VA!$C:$C, 0), MATCH(B703, Agri_VA!$E$1:$ZZ$1, 0))</f>
        <v>4.2559160059749415</v>
      </c>
      <c r="I703" s="6">
        <f>INDEX('Agri_land '!$E:$ZZ, MATCH(A703, 'Agri_land '!$C:$C, 0), MATCH(B703, 'Agri_land '!$E$1:$ZZ$1, 0))</f>
        <v>13.166159892414504</v>
      </c>
      <c r="J703">
        <f>INDEX(Cereal_Yield!$E:$ZZ, MATCH(A703, Cereal_Yield!$C:$C, 0), MATCH(B703, Cereal_Yield!$E$1:$ZZ$1, 0))</f>
        <v>1852.7</v>
      </c>
    </row>
    <row r="704" spans="1:10" x14ac:dyDescent="0.3">
      <c r="A704" t="s">
        <v>35</v>
      </c>
      <c r="B704" s="4">
        <v>2006</v>
      </c>
      <c r="C704" t="s">
        <v>48</v>
      </c>
      <c r="D704" s="8">
        <f>INDEX(GDP_pc!$E:$ZZ, MATCH(A704, GDP_pc!$C:$C, 0), MATCH(B704, GDP_pc!$E$1:$ZZ$1, 0))</f>
        <v>989932071352.54309</v>
      </c>
      <c r="E704">
        <f>INDEX(CH4_Em!$E:$ZZ, MATCH(A704, CH4_Em!$C:$C, 0), MATCH(B704, CH4_Em!$E$1:$ZZ$1, 0))</f>
        <v>63.417900000000003</v>
      </c>
      <c r="F704">
        <f>INDEX(N2O_Em!$E:$ZZ, MATCH(A704, N2O_Em!$C:$C, 0), MATCH(B704, N2O_Em!$E$1:$ZZ$1, 0))</f>
        <v>33.539000000000001</v>
      </c>
      <c r="G704">
        <f>INDEX(CO2_Em!$E:$ZZ, MATCH(A704, CO2_Em!$C:$C, 0), MATCH(B704, CO2_Em!$E$1:$ZZ$1, 0))</f>
        <v>2.4289000000000001</v>
      </c>
      <c r="H704">
        <f>INDEX(Agri_VA!$E:$ZZ, MATCH(A704, Agri_VA!$C:$C, 0), MATCH(B704, Agri_VA!$E$1:$ZZ$1, 0))</f>
        <v>3.861312471233834</v>
      </c>
      <c r="I704" s="6">
        <f>INDEX('Agri_land '!$E:$ZZ, MATCH(A704, 'Agri_land '!$C:$C, 0), MATCH(B704, 'Agri_land '!$E$1:$ZZ$1, 0))</f>
        <v>13.15737091930877</v>
      </c>
      <c r="J704">
        <f>INDEX(Cereal_Yield!$E:$ZZ, MATCH(A704, Cereal_Yield!$C:$C, 0), MATCH(B704, Cereal_Yield!$E$1:$ZZ$1, 0))</f>
        <v>1886.9</v>
      </c>
    </row>
    <row r="705" spans="1:10" x14ac:dyDescent="0.3">
      <c r="A705" t="s">
        <v>35</v>
      </c>
      <c r="B705" s="4">
        <v>2007</v>
      </c>
      <c r="C705" t="s">
        <v>48</v>
      </c>
      <c r="D705" s="8">
        <f>INDEX(GDP_pc!$E:$ZZ, MATCH(A705, GDP_pc!$C:$C, 0), MATCH(B705, GDP_pc!$E$1:$ZZ$1, 0))</f>
        <v>1299703478481.6531</v>
      </c>
      <c r="E705">
        <f>INDEX(CH4_Em!$E:$ZZ, MATCH(A705, CH4_Em!$C:$C, 0), MATCH(B705, CH4_Em!$E$1:$ZZ$1, 0))</f>
        <v>64.554199999999994</v>
      </c>
      <c r="F705">
        <f>INDEX(N2O_Em!$E:$ZZ, MATCH(A705, N2O_Em!$C:$C, 0), MATCH(B705, N2O_Em!$E$1:$ZZ$1, 0))</f>
        <v>35.049500000000002</v>
      </c>
      <c r="G705">
        <f>INDEX(CO2_Em!$E:$ZZ, MATCH(A705, CO2_Em!$C:$C, 0), MATCH(B705, CO2_Em!$E$1:$ZZ$1, 0))</f>
        <v>3.0421</v>
      </c>
      <c r="H705">
        <f>INDEX(Agri_VA!$E:$ZZ, MATCH(A705, Agri_VA!$C:$C, 0), MATCH(B705, Agri_VA!$E$1:$ZZ$1, 0))</f>
        <v>3.7789017062609016</v>
      </c>
      <c r="I705" s="6">
        <f>INDEX('Agri_land '!$E:$ZZ, MATCH(A705, 'Agri_land '!$C:$C, 0), MATCH(B705, 'Agri_land '!$E$1:$ZZ$1, 0))</f>
        <v>13.155844457171748</v>
      </c>
      <c r="J705">
        <f>INDEX(Cereal_Yield!$E:$ZZ, MATCH(A705, Cereal_Yield!$C:$C, 0), MATCH(B705, Cereal_Yield!$E$1:$ZZ$1, 0))</f>
        <v>1989.8</v>
      </c>
    </row>
    <row r="706" spans="1:10" x14ac:dyDescent="0.3">
      <c r="A706" t="s">
        <v>35</v>
      </c>
      <c r="B706" s="4">
        <v>2008</v>
      </c>
      <c r="C706" t="s">
        <v>48</v>
      </c>
      <c r="D706" s="8">
        <f>INDEX(GDP_pc!$E:$ZZ, MATCH(A706, GDP_pc!$C:$C, 0), MATCH(B706, GDP_pc!$E$1:$ZZ$1, 0))</f>
        <v>1660848058303.1138</v>
      </c>
      <c r="E706">
        <f>INDEX(CH4_Em!$E:$ZZ, MATCH(A706, CH4_Em!$C:$C, 0), MATCH(B706, CH4_Em!$E$1:$ZZ$1, 0))</f>
        <v>65.786799999999999</v>
      </c>
      <c r="F706">
        <f>INDEX(N2O_Em!$E:$ZZ, MATCH(A706, N2O_Em!$C:$C, 0), MATCH(B706, N2O_Em!$E$1:$ZZ$1, 0))</f>
        <v>37.773699999999998</v>
      </c>
      <c r="G706">
        <f>INDEX(CO2_Em!$E:$ZZ, MATCH(A706, CO2_Em!$C:$C, 0), MATCH(B706, CO2_Em!$E$1:$ZZ$1, 0))</f>
        <v>3.4405999999999999</v>
      </c>
      <c r="H706">
        <f>INDEX(Agri_VA!$E:$ZZ, MATCH(A706, Agri_VA!$C:$C, 0), MATCH(B706, Agri_VA!$E$1:$ZZ$1, 0))</f>
        <v>3.7533411881349079</v>
      </c>
      <c r="I706" s="6">
        <f>INDEX('Agri_land '!$E:$ZZ, MATCH(A706, 'Agri_land '!$C:$C, 0), MATCH(B706, 'Agri_land '!$E$1:$ZZ$1, 0))</f>
        <v>13.158436257966265</v>
      </c>
      <c r="J706">
        <f>INDEX(Cereal_Yield!$E:$ZZ, MATCH(A706, Cereal_Yield!$C:$C, 0), MATCH(B706, Cereal_Yield!$E$1:$ZZ$1, 0))</f>
        <v>2387.3000000000002</v>
      </c>
    </row>
    <row r="707" spans="1:10" x14ac:dyDescent="0.3">
      <c r="A707" t="s">
        <v>35</v>
      </c>
      <c r="B707" s="4">
        <v>2009</v>
      </c>
      <c r="C707" t="s">
        <v>48</v>
      </c>
      <c r="D707" s="8">
        <f>INDEX(GDP_pc!$E:$ZZ, MATCH(A707, GDP_pc!$C:$C, 0), MATCH(B707, GDP_pc!$E$1:$ZZ$1, 0))</f>
        <v>1222645900055.6956</v>
      </c>
      <c r="E707">
        <f>INDEX(CH4_Em!$E:$ZZ, MATCH(A707, CH4_Em!$C:$C, 0), MATCH(B707, CH4_Em!$E$1:$ZZ$1, 0))</f>
        <v>65.407399999999996</v>
      </c>
      <c r="F707">
        <f>INDEX(N2O_Em!$E:$ZZ, MATCH(A707, N2O_Em!$C:$C, 0), MATCH(B707, N2O_Em!$E$1:$ZZ$1, 0))</f>
        <v>37.255200000000002</v>
      </c>
      <c r="G707">
        <f>INDEX(CO2_Em!$E:$ZZ, MATCH(A707, CO2_Em!$C:$C, 0), MATCH(B707, CO2_Em!$E$1:$ZZ$1, 0))</f>
        <v>3.8868999999999998</v>
      </c>
      <c r="H707">
        <f>INDEX(Agri_VA!$E:$ZZ, MATCH(A707, Agri_VA!$C:$C, 0), MATCH(B707, Agri_VA!$E$1:$ZZ$1, 0))</f>
        <v>4.0844486971841683</v>
      </c>
      <c r="I707" s="6">
        <f>INDEX('Agri_land '!$E:$ZZ, MATCH(A707, 'Agri_land '!$C:$C, 0), MATCH(B707, 'Agri_land '!$E$1:$ZZ$1, 0))</f>
        <v>13.158436257966265</v>
      </c>
      <c r="J707">
        <f>INDEX(Cereal_Yield!$E:$ZZ, MATCH(A707, Cereal_Yield!$C:$C, 0), MATCH(B707, Cereal_Yield!$E$1:$ZZ$1, 0))</f>
        <v>2280.6</v>
      </c>
    </row>
    <row r="708" spans="1:10" x14ac:dyDescent="0.3">
      <c r="A708" t="s">
        <v>35</v>
      </c>
      <c r="B708" s="4">
        <v>2010</v>
      </c>
      <c r="C708" t="s">
        <v>48</v>
      </c>
      <c r="D708" s="8">
        <f>INDEX(GDP_pc!$E:$ZZ, MATCH(A708, GDP_pc!$C:$C, 0), MATCH(B708, GDP_pc!$E$1:$ZZ$1, 0))</f>
        <v>1524916715223.946</v>
      </c>
      <c r="E708">
        <f>INDEX(CH4_Em!$E:$ZZ, MATCH(A708, CH4_Em!$C:$C, 0), MATCH(B708, CH4_Em!$E$1:$ZZ$1, 0))</f>
        <v>65.216399999999993</v>
      </c>
      <c r="F708">
        <f>INDEX(N2O_Em!$E:$ZZ, MATCH(A708, N2O_Em!$C:$C, 0), MATCH(B708, N2O_Em!$E$1:$ZZ$1, 0))</f>
        <v>35.327500000000001</v>
      </c>
      <c r="G708">
        <f>INDEX(CO2_Em!$E:$ZZ, MATCH(A708, CO2_Em!$C:$C, 0), MATCH(B708, CO2_Em!$E$1:$ZZ$1, 0))</f>
        <v>3.5589</v>
      </c>
      <c r="H708">
        <f>INDEX(Agri_VA!$E:$ZZ, MATCH(A708, Agri_VA!$C:$C, 0), MATCH(B708, Agri_VA!$E$1:$ZZ$1, 0))</f>
        <v>3.34389824902191</v>
      </c>
      <c r="I708" s="6">
        <f>INDEX('Agri_land '!$E:$ZZ, MATCH(A708, 'Agri_land '!$C:$C, 0), MATCH(B708, 'Agri_land '!$E$1:$ZZ$1, 0))</f>
        <v>13.158436257966265</v>
      </c>
      <c r="J708">
        <f>INDEX(Cereal_Yield!$E:$ZZ, MATCH(A708, Cereal_Yield!$C:$C, 0), MATCH(B708, Cereal_Yield!$E$1:$ZZ$1, 0))</f>
        <v>1842.7</v>
      </c>
    </row>
    <row r="709" spans="1:10" x14ac:dyDescent="0.3">
      <c r="A709" t="s">
        <v>35</v>
      </c>
      <c r="B709" s="4">
        <v>2011</v>
      </c>
      <c r="C709" t="s">
        <v>48</v>
      </c>
      <c r="D709" s="8">
        <f>INDEX(GDP_pc!$E:$ZZ, MATCH(A709, GDP_pc!$C:$C, 0), MATCH(B709, GDP_pc!$E$1:$ZZ$1, 0))</f>
        <v>2045922753398.0359</v>
      </c>
      <c r="E709">
        <f>INDEX(CH4_Em!$E:$ZZ, MATCH(A709, CH4_Em!$C:$C, 0), MATCH(B709, CH4_Em!$E$1:$ZZ$1, 0))</f>
        <v>64.447199999999995</v>
      </c>
      <c r="F709">
        <f>INDEX(N2O_Em!$E:$ZZ, MATCH(A709, N2O_Em!$C:$C, 0), MATCH(B709, N2O_Em!$E$1:$ZZ$1, 0))</f>
        <v>37.279200000000003</v>
      </c>
      <c r="G709">
        <f>INDEX(CO2_Em!$E:$ZZ, MATCH(A709, CO2_Em!$C:$C, 0), MATCH(B709, CO2_Em!$E$1:$ZZ$1, 0))</f>
        <v>3.9925000000000002</v>
      </c>
      <c r="H709">
        <f>INDEX(Agri_VA!$E:$ZZ, MATCH(A709, Agri_VA!$C:$C, 0), MATCH(B709, Agri_VA!$E$1:$ZZ$1, 0))</f>
        <v>3.1507257212962041</v>
      </c>
      <c r="I709" s="6">
        <f>INDEX('Agri_land '!$E:$ZZ, MATCH(A709, 'Agri_land '!$C:$C, 0), MATCH(B709, 'Agri_land '!$E$1:$ZZ$1, 0))</f>
        <v>13.158436257966265</v>
      </c>
      <c r="J709">
        <f>INDEX(Cereal_Yield!$E:$ZZ, MATCH(A709, Cereal_Yield!$C:$C, 0), MATCH(B709, Cereal_Yield!$E$1:$ZZ$1, 0))</f>
        <v>2260.3000000000002</v>
      </c>
    </row>
    <row r="710" spans="1:10" x14ac:dyDescent="0.3">
      <c r="A710" t="s">
        <v>35</v>
      </c>
      <c r="B710" s="4">
        <v>2012</v>
      </c>
      <c r="C710" t="s">
        <v>48</v>
      </c>
      <c r="D710" s="8">
        <f>INDEX(GDP_pc!$E:$ZZ, MATCH(A710, GDP_pc!$C:$C, 0), MATCH(B710, GDP_pc!$E$1:$ZZ$1, 0))</f>
        <v>2208293553878.4243</v>
      </c>
      <c r="E710">
        <f>INDEX(CH4_Em!$E:$ZZ, MATCH(A710, CH4_Em!$C:$C, 0), MATCH(B710, CH4_Em!$E$1:$ZZ$1, 0))</f>
        <v>65.418899999999994</v>
      </c>
      <c r="F710">
        <f>INDEX(N2O_Em!$E:$ZZ, MATCH(A710, N2O_Em!$C:$C, 0), MATCH(B710, N2O_Em!$E$1:$ZZ$1, 0))</f>
        <v>36.331000000000003</v>
      </c>
      <c r="G710">
        <f>INDEX(CO2_Em!$E:$ZZ, MATCH(A710, CO2_Em!$C:$C, 0), MATCH(B710, CO2_Em!$E$1:$ZZ$1, 0))</f>
        <v>4.1936</v>
      </c>
      <c r="H710">
        <f>INDEX(Agri_VA!$E:$ZZ, MATCH(A710, Agri_VA!$C:$C, 0), MATCH(B710, Agri_VA!$E$1:$ZZ$1, 0))</f>
        <v>2.9260308777535338</v>
      </c>
      <c r="I710" s="6">
        <f>INDEX('Agri_land '!$E:$ZZ, MATCH(A710, 'Agri_land '!$C:$C, 0), MATCH(B710, 'Agri_land '!$E$1:$ZZ$1, 0))</f>
        <v>13.158436257966265</v>
      </c>
      <c r="J710">
        <f>INDEX(Cereal_Yield!$E:$ZZ, MATCH(A710, Cereal_Yield!$C:$C, 0), MATCH(B710, Cereal_Yield!$E$1:$ZZ$1, 0))</f>
        <v>1858.9</v>
      </c>
    </row>
    <row r="711" spans="1:10" x14ac:dyDescent="0.3">
      <c r="A711" t="s">
        <v>35</v>
      </c>
      <c r="B711" s="4">
        <v>2013</v>
      </c>
      <c r="C711" t="s">
        <v>48</v>
      </c>
      <c r="D711" s="8">
        <f>INDEX(GDP_pc!$E:$ZZ, MATCH(A711, GDP_pc!$C:$C, 0), MATCH(B711, GDP_pc!$E$1:$ZZ$1, 0))</f>
        <v>2292470078346.2236</v>
      </c>
      <c r="E711">
        <f>INDEX(CH4_Em!$E:$ZZ, MATCH(A711, CH4_Em!$C:$C, 0), MATCH(B711, CH4_Em!$E$1:$ZZ$1, 0))</f>
        <v>65.943299999999994</v>
      </c>
      <c r="F711">
        <f>INDEX(N2O_Em!$E:$ZZ, MATCH(A711, N2O_Em!$C:$C, 0), MATCH(B711, N2O_Em!$E$1:$ZZ$1, 0))</f>
        <v>36.911000000000001</v>
      </c>
      <c r="G711">
        <f>INDEX(CO2_Em!$E:$ZZ, MATCH(A711, CO2_Em!$C:$C, 0), MATCH(B711, CO2_Em!$E$1:$ZZ$1, 0))</f>
        <v>3.9</v>
      </c>
      <c r="H711">
        <f>INDEX(Agri_VA!$E:$ZZ, MATCH(A711, Agri_VA!$C:$C, 0), MATCH(B711, Agri_VA!$E$1:$ZZ$1, 0))</f>
        <v>2.9936004877667814</v>
      </c>
      <c r="I711" s="6">
        <f>INDEX('Agri_land '!$E:$ZZ, MATCH(A711, 'Agri_land '!$C:$C, 0), MATCH(B711, 'Agri_land '!$E$1:$ZZ$1, 0))</f>
        <v>13.158436257966265</v>
      </c>
      <c r="J711">
        <f>INDEX(Cereal_Yield!$E:$ZZ, MATCH(A711, Cereal_Yield!$C:$C, 0), MATCH(B711, Cereal_Yield!$E$1:$ZZ$1, 0))</f>
        <v>2241</v>
      </c>
    </row>
    <row r="712" spans="1:10" x14ac:dyDescent="0.3">
      <c r="A712" t="s">
        <v>35</v>
      </c>
      <c r="B712" s="4">
        <v>2014</v>
      </c>
      <c r="C712" t="s">
        <v>48</v>
      </c>
      <c r="D712" s="8">
        <f>INDEX(GDP_pc!$E:$ZZ, MATCH(A712, GDP_pc!$C:$C, 0), MATCH(B712, GDP_pc!$E$1:$ZZ$1, 0))</f>
        <v>2059241589895.0149</v>
      </c>
      <c r="E712">
        <f>INDEX(CH4_Em!$E:$ZZ, MATCH(A712, CH4_Em!$C:$C, 0), MATCH(B712, CH4_Em!$E$1:$ZZ$1, 0))</f>
        <v>65.601100000000002</v>
      </c>
      <c r="F712">
        <f>INDEX(N2O_Em!$E:$ZZ, MATCH(A712, N2O_Em!$C:$C, 0), MATCH(B712, N2O_Em!$E$1:$ZZ$1, 0))</f>
        <v>37.533200000000001</v>
      </c>
      <c r="G712">
        <f>INDEX(CO2_Em!$E:$ZZ, MATCH(A712, CO2_Em!$C:$C, 0), MATCH(B712, CO2_Em!$E$1:$ZZ$1, 0))</f>
        <v>3.8321000000000001</v>
      </c>
      <c r="H712">
        <f>INDEX(Agri_VA!$E:$ZZ, MATCH(A712, Agri_VA!$C:$C, 0), MATCH(B712, Agri_VA!$E$1:$ZZ$1, 0))</f>
        <v>3.3606054880425154</v>
      </c>
      <c r="I712" s="6">
        <f>INDEX('Agri_land '!$E:$ZZ, MATCH(A712, 'Agri_land '!$C:$C, 0), MATCH(B712, 'Agri_land '!$E$1:$ZZ$1, 0))</f>
        <v>13.158436257966265</v>
      </c>
      <c r="J712">
        <f>INDEX(Cereal_Yield!$E:$ZZ, MATCH(A712, Cereal_Yield!$C:$C, 0), MATCH(B712, Cereal_Yield!$E$1:$ZZ$1, 0))</f>
        <v>2444</v>
      </c>
    </row>
    <row r="713" spans="1:10" x14ac:dyDescent="0.3">
      <c r="A713" t="s">
        <v>35</v>
      </c>
      <c r="B713" s="4">
        <v>2015</v>
      </c>
      <c r="C713" t="s">
        <v>48</v>
      </c>
      <c r="D713" s="8">
        <f>INDEX(GDP_pc!$E:$ZZ, MATCH(A713, GDP_pc!$C:$C, 0), MATCH(B713, GDP_pc!$E$1:$ZZ$1, 0))</f>
        <v>1363482182197.7053</v>
      </c>
      <c r="E713">
        <f>INDEX(CH4_Em!$E:$ZZ, MATCH(A713, CH4_Em!$C:$C, 0), MATCH(B713, CH4_Em!$E$1:$ZZ$1, 0))</f>
        <v>65.484399999999994</v>
      </c>
      <c r="F713">
        <f>INDEX(N2O_Em!$E:$ZZ, MATCH(A713, N2O_Em!$C:$C, 0), MATCH(B713, N2O_Em!$E$1:$ZZ$1, 0))</f>
        <v>39.276699999999998</v>
      </c>
      <c r="G713">
        <f>INDEX(CO2_Em!$E:$ZZ, MATCH(A713, CO2_Em!$C:$C, 0), MATCH(B713, CO2_Em!$E$1:$ZZ$1, 0))</f>
        <v>4.8022</v>
      </c>
      <c r="H713">
        <f>INDEX(Agri_VA!$E:$ZZ, MATCH(A713, Agri_VA!$C:$C, 0), MATCH(B713, Agri_VA!$E$1:$ZZ$1, 0))</f>
        <v>3.8731044873229878</v>
      </c>
      <c r="I713" s="6">
        <f>INDEX('Agri_land '!$E:$ZZ, MATCH(A713, 'Agri_land '!$C:$C, 0), MATCH(B713, 'Agri_land '!$E$1:$ZZ$1, 0))</f>
        <v>13.158436257966265</v>
      </c>
      <c r="J713">
        <f>INDEX(Cereal_Yield!$E:$ZZ, MATCH(A713, Cereal_Yield!$C:$C, 0), MATCH(B713, Cereal_Yield!$E$1:$ZZ$1, 0))</f>
        <v>2391.6999999999998</v>
      </c>
    </row>
    <row r="714" spans="1:10" x14ac:dyDescent="0.3">
      <c r="A714" t="s">
        <v>35</v>
      </c>
      <c r="B714" s="4">
        <v>2016</v>
      </c>
      <c r="C714" t="s">
        <v>48</v>
      </c>
      <c r="D714" s="8">
        <f>INDEX(GDP_pc!$E:$ZZ, MATCH(A714, GDP_pc!$C:$C, 0), MATCH(B714, GDP_pc!$E$1:$ZZ$1, 0))</f>
        <v>1276786350881.137</v>
      </c>
      <c r="E714">
        <f>INDEX(CH4_Em!$E:$ZZ, MATCH(A714, CH4_Em!$C:$C, 0), MATCH(B714, CH4_Em!$E$1:$ZZ$1, 0))</f>
        <v>64.392499999999998</v>
      </c>
      <c r="F714">
        <f>INDEX(N2O_Em!$E:$ZZ, MATCH(A714, N2O_Em!$C:$C, 0), MATCH(B714, N2O_Em!$E$1:$ZZ$1, 0))</f>
        <v>41.67</v>
      </c>
      <c r="G714">
        <f>INDEX(CO2_Em!$E:$ZZ, MATCH(A714, CO2_Em!$C:$C, 0), MATCH(B714, CO2_Em!$E$1:$ZZ$1, 0))</f>
        <v>5.45</v>
      </c>
      <c r="H714">
        <f>INDEX(Agri_VA!$E:$ZZ, MATCH(A714, Agri_VA!$C:$C, 0), MATCH(B714, Agri_VA!$E$1:$ZZ$1, 0))</f>
        <v>3.8402172845995084</v>
      </c>
      <c r="I714" s="6">
        <f>INDEX('Agri_land '!$E:$ZZ, MATCH(A714, 'Agri_land '!$C:$C, 0), MATCH(B714, 'Agri_land '!$E$1:$ZZ$1, 0))</f>
        <v>13.158436257966265</v>
      </c>
      <c r="J714">
        <f>INDEX(Cereal_Yield!$E:$ZZ, MATCH(A714, Cereal_Yield!$C:$C, 0), MATCH(B714, Cereal_Yield!$E$1:$ZZ$1, 0))</f>
        <v>2650.8</v>
      </c>
    </row>
    <row r="715" spans="1:10" x14ac:dyDescent="0.3">
      <c r="A715" t="s">
        <v>35</v>
      </c>
      <c r="B715" s="4">
        <v>2017</v>
      </c>
      <c r="C715" t="s">
        <v>48</v>
      </c>
      <c r="D715" s="8">
        <f>INDEX(GDP_pc!$E:$ZZ, MATCH(A715, GDP_pc!$C:$C, 0), MATCH(B715, GDP_pc!$E$1:$ZZ$1, 0))</f>
        <v>1574199360089.0022</v>
      </c>
      <c r="E715">
        <f>INDEX(CH4_Em!$E:$ZZ, MATCH(A715, CH4_Em!$C:$C, 0), MATCH(B715, CH4_Em!$E$1:$ZZ$1, 0))</f>
        <v>63.823700000000002</v>
      </c>
      <c r="F715">
        <f>INDEX(N2O_Em!$E:$ZZ, MATCH(A715, N2O_Em!$C:$C, 0), MATCH(B715, N2O_Em!$E$1:$ZZ$1, 0))</f>
        <v>41.225700000000003</v>
      </c>
      <c r="G715">
        <f>INDEX(CO2_Em!$E:$ZZ, MATCH(A715, CO2_Em!$C:$C, 0), MATCH(B715, CO2_Em!$E$1:$ZZ$1, 0))</f>
        <v>4.6077000000000004</v>
      </c>
      <c r="H715">
        <f>INDEX(Agri_VA!$E:$ZZ, MATCH(A715, Agri_VA!$C:$C, 0), MATCH(B715, Agri_VA!$E$1:$ZZ$1, 0))</f>
        <v>3.5536320899097591</v>
      </c>
      <c r="I715" s="6">
        <f>INDEX('Agri_land '!$E:$ZZ, MATCH(A715, 'Agri_land '!$C:$C, 0), MATCH(B715, 'Agri_land '!$E$1:$ZZ$1, 0))</f>
        <v>13.158436257966265</v>
      </c>
      <c r="J715">
        <f>INDEX(Cereal_Yield!$E:$ZZ, MATCH(A715, Cereal_Yield!$C:$C, 0), MATCH(B715, Cereal_Yield!$E$1:$ZZ$1, 0))</f>
        <v>2967.1</v>
      </c>
    </row>
    <row r="716" spans="1:10" x14ac:dyDescent="0.3">
      <c r="A716" t="s">
        <v>35</v>
      </c>
      <c r="B716" s="4">
        <v>2018</v>
      </c>
      <c r="C716" t="s">
        <v>48</v>
      </c>
      <c r="D716" s="8">
        <f>INDEX(GDP_pc!$E:$ZZ, MATCH(A716, GDP_pc!$C:$C, 0), MATCH(B716, GDP_pc!$E$1:$ZZ$1, 0))</f>
        <v>1657328773461.3062</v>
      </c>
      <c r="E716">
        <f>INDEX(CH4_Em!$E:$ZZ, MATCH(A716, CH4_Em!$C:$C, 0), MATCH(B716, CH4_Em!$E$1:$ZZ$1, 0))</f>
        <v>63.292400000000001</v>
      </c>
      <c r="F716">
        <f>INDEX(N2O_Em!$E:$ZZ, MATCH(A716, N2O_Em!$C:$C, 0), MATCH(B716, N2O_Em!$E$1:$ZZ$1, 0))</f>
        <v>41.8765</v>
      </c>
      <c r="G716">
        <f>INDEX(CO2_Em!$E:$ZZ, MATCH(A716, CO2_Em!$C:$C, 0), MATCH(B716, CO2_Em!$E$1:$ZZ$1, 0))</f>
        <v>5.2609000000000004</v>
      </c>
      <c r="H716">
        <f>INDEX(Agri_VA!$E:$ZZ, MATCH(A716, Agri_VA!$C:$C, 0), MATCH(B716, Agri_VA!$E$1:$ZZ$1, 0))</f>
        <v>3.394253380697601</v>
      </c>
      <c r="I716" s="6">
        <f>INDEX('Agri_land '!$E:$ZZ, MATCH(A716, 'Agri_land '!$C:$C, 0), MATCH(B716, 'Agri_land '!$E$1:$ZZ$1, 0))</f>
        <v>13.158436257966265</v>
      </c>
      <c r="J716">
        <f>INDEX(Cereal_Yield!$E:$ZZ, MATCH(A716, Cereal_Yield!$C:$C, 0), MATCH(B716, Cereal_Yield!$E$1:$ZZ$1, 0))</f>
        <v>2615.6</v>
      </c>
    </row>
    <row r="717" spans="1:10" x14ac:dyDescent="0.3">
      <c r="A717" t="s">
        <v>35</v>
      </c>
      <c r="B717" s="4">
        <v>2019</v>
      </c>
      <c r="C717" t="s">
        <v>48</v>
      </c>
      <c r="D717" s="8">
        <f>INDEX(GDP_pc!$E:$ZZ, MATCH(A717, GDP_pc!$C:$C, 0), MATCH(B717, GDP_pc!$E$1:$ZZ$1, 0))</f>
        <v>1693115002708.3157</v>
      </c>
      <c r="E717">
        <f>INDEX(CH4_Em!$E:$ZZ, MATCH(A717, CH4_Em!$C:$C, 0), MATCH(B717, CH4_Em!$E$1:$ZZ$1, 0))</f>
        <v>62.769799999999996</v>
      </c>
      <c r="F717">
        <f>INDEX(N2O_Em!$E:$ZZ, MATCH(A717, N2O_Em!$C:$C, 0), MATCH(B717, N2O_Em!$E$1:$ZZ$1, 0))</f>
        <v>43.861699999999999</v>
      </c>
      <c r="G717">
        <f>INDEX(CO2_Em!$E:$ZZ, MATCH(A717, CO2_Em!$C:$C, 0), MATCH(B717, CO2_Em!$E$1:$ZZ$1, 0))</f>
        <v>5.9949000000000003</v>
      </c>
      <c r="H717">
        <f>INDEX(Agri_VA!$E:$ZZ, MATCH(A717, Agri_VA!$C:$C, 0), MATCH(B717, Agri_VA!$E$1:$ZZ$1, 0))</f>
        <v>3.5303029139216644</v>
      </c>
      <c r="I717" s="6">
        <f>INDEX('Agri_land '!$E:$ZZ, MATCH(A717, 'Agri_land '!$C:$C, 0), MATCH(B717, 'Agri_land '!$E$1:$ZZ$1, 0))</f>
        <v>13.158436257966265</v>
      </c>
      <c r="J717">
        <f>INDEX(Cereal_Yield!$E:$ZZ, MATCH(A717, Cereal_Yield!$C:$C, 0), MATCH(B717, Cereal_Yield!$E$1:$ZZ$1, 0))</f>
        <v>2713.2</v>
      </c>
    </row>
    <row r="718" spans="1:10" x14ac:dyDescent="0.3">
      <c r="A718" t="s">
        <v>35</v>
      </c>
      <c r="B718" s="4">
        <v>2020</v>
      </c>
      <c r="C718" t="s">
        <v>48</v>
      </c>
      <c r="D718" s="8">
        <f>INDEX(GDP_pc!$E:$ZZ, MATCH(A718, GDP_pc!$C:$C, 0), MATCH(B718, GDP_pc!$E$1:$ZZ$1, 0))</f>
        <v>1493075894362.1426</v>
      </c>
      <c r="E718">
        <f>INDEX(CH4_Em!$E:$ZZ, MATCH(A718, CH4_Em!$C:$C, 0), MATCH(B718, CH4_Em!$E$1:$ZZ$1, 0))</f>
        <v>62.818600000000004</v>
      </c>
      <c r="F718">
        <f>INDEX(N2O_Em!$E:$ZZ, MATCH(A718, N2O_Em!$C:$C, 0), MATCH(B718, N2O_Em!$E$1:$ZZ$1, 0))</f>
        <v>47.314999999999998</v>
      </c>
      <c r="G718">
        <f>INDEX(CO2_Em!$E:$ZZ, MATCH(A718, CO2_Em!$C:$C, 0), MATCH(B718, CO2_Em!$E$1:$ZZ$1, 0))</f>
        <v>7.1664000000000003</v>
      </c>
      <c r="H718">
        <f>INDEX(Agri_VA!$E:$ZZ, MATCH(A718, Agri_VA!$C:$C, 0), MATCH(B718, Agri_VA!$E$1:$ZZ$1, 0))</f>
        <v>4.0063516340154619</v>
      </c>
      <c r="I718" s="6">
        <f>INDEX('Agri_land '!$E:$ZZ, MATCH(A718, 'Agri_land '!$C:$C, 0), MATCH(B718, 'Agri_land '!$E$1:$ZZ$1, 0))</f>
        <v>13.158436257966265</v>
      </c>
      <c r="J718">
        <f>INDEX(Cereal_Yield!$E:$ZZ, MATCH(A718, Cereal_Yield!$C:$C, 0), MATCH(B718, Cereal_Yield!$E$1:$ZZ$1, 0))</f>
        <v>2904.8</v>
      </c>
    </row>
    <row r="719" spans="1:10" x14ac:dyDescent="0.3">
      <c r="A719" t="s">
        <v>35</v>
      </c>
      <c r="B719" s="4">
        <v>2021</v>
      </c>
      <c r="C719" t="s">
        <v>48</v>
      </c>
      <c r="D719" s="8">
        <f>INDEX(GDP_pc!$E:$ZZ, MATCH(A719, GDP_pc!$C:$C, 0), MATCH(B719, GDP_pc!$E$1:$ZZ$1, 0))</f>
        <v>1829186719575.0959</v>
      </c>
      <c r="E719">
        <f>INDEX(CH4_Em!$E:$ZZ, MATCH(A719, CH4_Em!$C:$C, 0), MATCH(B719, CH4_Em!$E$1:$ZZ$1, 0))</f>
        <v>61.931600000000003</v>
      </c>
      <c r="F719">
        <f>INDEX(N2O_Em!$E:$ZZ, MATCH(A719, N2O_Em!$C:$C, 0), MATCH(B719, N2O_Em!$E$1:$ZZ$1, 0))</f>
        <v>44.603999999999999</v>
      </c>
      <c r="G719">
        <f>INDEX(CO2_Em!$E:$ZZ, MATCH(A719, CO2_Em!$C:$C, 0), MATCH(B719, CO2_Em!$E$1:$ZZ$1, 0))</f>
        <v>5.6574999999999998</v>
      </c>
      <c r="H719">
        <f>INDEX(Agri_VA!$E:$ZZ, MATCH(A719, Agri_VA!$C:$C, 0), MATCH(B719, Agri_VA!$E$1:$ZZ$1, 0))</f>
        <v>3.6715637899051656</v>
      </c>
      <c r="I719" s="6">
        <f>INDEX('Agri_land '!$E:$ZZ, MATCH(A719, 'Agri_land '!$C:$C, 0), MATCH(B719, 'Agri_land '!$E$1:$ZZ$1, 0))</f>
        <v>13.158436257966265</v>
      </c>
      <c r="J719">
        <f>INDEX(Cereal_Yield!$E:$ZZ, MATCH(A719, Cereal_Yield!$C:$C, 0), MATCH(B719, Cereal_Yield!$E$1:$ZZ$1, 0))</f>
        <v>2705.4</v>
      </c>
    </row>
    <row r="720" spans="1:10" x14ac:dyDescent="0.3">
      <c r="A720" t="s">
        <v>35</v>
      </c>
      <c r="B720" s="4">
        <v>2022</v>
      </c>
      <c r="C720" t="s">
        <v>48</v>
      </c>
      <c r="D720" s="8">
        <f>INDEX(GDP_pc!$E:$ZZ, MATCH(A720, GDP_pc!$C:$C, 0), MATCH(B720, GDP_pc!$E$1:$ZZ$1, 0))</f>
        <v>2291612121334.6431</v>
      </c>
      <c r="E720">
        <f>INDEX(CH4_Em!$E:$ZZ, MATCH(A720, CH4_Em!$C:$C, 0), MATCH(B720, CH4_Em!$E$1:$ZZ$1, 0))</f>
        <v>61.218400000000003</v>
      </c>
      <c r="F720">
        <f>INDEX(N2O_Em!$E:$ZZ, MATCH(A720, N2O_Em!$C:$C, 0), MATCH(B720, N2O_Em!$E$1:$ZZ$1, 0))</f>
        <v>50.590299999999999</v>
      </c>
      <c r="G720">
        <f>INDEX(CO2_Em!$E:$ZZ, MATCH(A720, CO2_Em!$C:$C, 0), MATCH(B720, CO2_Em!$E$1:$ZZ$1, 0))</f>
        <v>8.1335999999999995</v>
      </c>
      <c r="H720">
        <f>INDEX(Agri_VA!$E:$ZZ, MATCH(A720, Agri_VA!$C:$C, 0), MATCH(B720, Agri_VA!$E$1:$ZZ$1, 0))</f>
        <v>3.4202935361280788</v>
      </c>
      <c r="I720" s="6">
        <f>INDEX('Agri_land '!$E:$ZZ, MATCH(A720, 'Agri_land '!$C:$C, 0), MATCH(B720, 'Agri_land '!$E$1:$ZZ$1, 0))</f>
        <v>13.158436257966265</v>
      </c>
      <c r="J720">
        <f>INDEX(Cereal_Yield!$E:$ZZ, MATCH(A720, Cereal_Yield!$C:$C, 0), MATCH(B720, Cereal_Yield!$E$1:$ZZ$1, 0))</f>
        <v>3428.8</v>
      </c>
    </row>
    <row r="721" spans="1:10" x14ac:dyDescent="0.3">
      <c r="A721" t="s">
        <v>35</v>
      </c>
      <c r="B721" s="4">
        <v>2023</v>
      </c>
      <c r="C721" t="s">
        <v>48</v>
      </c>
      <c r="D721" s="8">
        <f>INDEX(GDP_pc!$E:$ZZ, MATCH(A721, GDP_pc!$C:$C, 0), MATCH(B721, GDP_pc!$E$1:$ZZ$1, 0))</f>
        <v>2071505725030.5793</v>
      </c>
      <c r="E721">
        <f>INDEX(CH4_Em!$E:$ZZ, MATCH(A721, CH4_Em!$C:$C, 0), MATCH(B721, CH4_Em!$E$1:$ZZ$1, 0))</f>
        <v>61.204500000000003</v>
      </c>
      <c r="F721">
        <f>INDEX(N2O_Em!$E:$ZZ, MATCH(A721, N2O_Em!$C:$C, 0), MATCH(B721, N2O_Em!$E$1:$ZZ$1, 0))</f>
        <v>51.469099999999997</v>
      </c>
      <c r="G721">
        <f>INDEX(CO2_Em!$E:$ZZ, MATCH(A721, CO2_Em!$C:$C, 0), MATCH(B721, CO2_Em!$E$1:$ZZ$1, 0))</f>
        <v>8.1930999999999994</v>
      </c>
      <c r="H721">
        <f>INDEX(Agri_VA!$E:$ZZ, MATCH(A721, Agri_VA!$C:$C, 0), MATCH(B721, Agri_VA!$E$1:$ZZ$1, 0))</f>
        <v>2.9722358978066059</v>
      </c>
      <c r="I721" s="6">
        <f>INDEX('Agri_land '!$E:$ZZ, MATCH(A721, 'Agri_land '!$C:$C, 0), MATCH(B721, 'Agri_land '!$E$1:$ZZ$1, 0))</f>
        <v>13.17107603589697</v>
      </c>
      <c r="J721">
        <f>INDEX(Cereal_Yield!$E:$ZZ, MATCH(A721, Cereal_Yield!$C:$C, 0), MATCH(B721, Cereal_Yield!$E$1:$ZZ$1, 0))</f>
        <v>3166.6</v>
      </c>
    </row>
    <row r="722" spans="1:10" x14ac:dyDescent="0.3">
      <c r="A722" t="s">
        <v>36</v>
      </c>
      <c r="B722" s="4">
        <v>2000</v>
      </c>
      <c r="C722" t="s">
        <v>49</v>
      </c>
      <c r="D722" s="8">
        <f>INDEX(GDP_pc!$E:$ZZ, MATCH(A722, GDP_pc!$C:$C, 0), MATCH(B722, GDP_pc!$E$1:$ZZ$1, 0))</f>
        <v>29215726004.776531</v>
      </c>
      <c r="E722">
        <f>INDEX(CH4_Em!$E:$ZZ, MATCH(A722, CH4_Em!$C:$C, 0), MATCH(B722, CH4_Em!$E$1:$ZZ$1, 0))</f>
        <v>2.415</v>
      </c>
      <c r="F722">
        <f>INDEX(N2O_Em!$E:$ZZ, MATCH(A722, N2O_Em!$C:$C, 0), MATCH(B722, N2O_Em!$E$1:$ZZ$1, 0))</f>
        <v>1.0484</v>
      </c>
      <c r="G722">
        <f>INDEX(CO2_Em!$E:$ZZ, MATCH(A722, CO2_Em!$C:$C, 0), MATCH(B722, CO2_Em!$E$1:$ZZ$1, 0))</f>
        <v>0.06</v>
      </c>
      <c r="H722">
        <f>INDEX(Agri_VA!$E:$ZZ, MATCH(A722, Agri_VA!$C:$C, 0), MATCH(B722, Agri_VA!$E$1:$ZZ$1, 0))</f>
        <v>1.5866267134736753</v>
      </c>
      <c r="I722" s="6">
        <f>INDEX('Agri_land '!$E:$ZZ, MATCH(A722, 'Agri_land '!$C:$C, 0), MATCH(B722, 'Agri_land '!$E$1:$ZZ$1, 0))</f>
        <v>50.727650727650733</v>
      </c>
      <c r="J722">
        <f>INDEX(Cereal_Yield!$E:$ZZ, MATCH(A722, Cereal_Yield!$C:$C, 0), MATCH(B722, Cereal_Yield!$E$1:$ZZ$1, 0))</f>
        <v>2709.9</v>
      </c>
    </row>
    <row r="723" spans="1:10" x14ac:dyDescent="0.3">
      <c r="A723" t="s">
        <v>36</v>
      </c>
      <c r="B723" s="4">
        <v>2001</v>
      </c>
      <c r="C723" t="s">
        <v>49</v>
      </c>
      <c r="D723" s="8">
        <f>INDEX(GDP_pc!$E:$ZZ, MATCH(A723, GDP_pc!$C:$C, 0), MATCH(B723, GDP_pc!$E$1:$ZZ$1, 0))</f>
        <v>30726659550.971695</v>
      </c>
      <c r="E723">
        <f>INDEX(CH4_Em!$E:$ZZ, MATCH(A723, CH4_Em!$C:$C, 0), MATCH(B723, CH4_Em!$E$1:$ZZ$1, 0))</f>
        <v>2.3950999999999998</v>
      </c>
      <c r="F723">
        <f>INDEX(N2O_Em!$E:$ZZ, MATCH(A723, N2O_Em!$C:$C, 0), MATCH(B723, N2O_Em!$E$1:$ZZ$1, 0))</f>
        <v>1.1032999999999999</v>
      </c>
      <c r="G723">
        <f>INDEX(CO2_Em!$E:$ZZ, MATCH(A723, CO2_Em!$C:$C, 0), MATCH(B723, CO2_Em!$E$1:$ZZ$1, 0))</f>
        <v>6.1800000000000001E-2</v>
      </c>
      <c r="H723">
        <f>INDEX(Agri_VA!$E:$ZZ, MATCH(A723, Agri_VA!$C:$C, 0), MATCH(B723, Agri_VA!$E$1:$ZZ$1, 0))</f>
        <v>1.9852549303455016</v>
      </c>
      <c r="I723" s="6">
        <f>INDEX('Agri_land '!$E:$ZZ, MATCH(A723, 'Agri_land '!$C:$C, 0), MATCH(B723, 'Agri_land '!$E$1:$ZZ$1, 0))</f>
        <v>46.881496881496879</v>
      </c>
      <c r="J723">
        <f>INDEX(Cereal_Yield!$E:$ZZ, MATCH(A723, Cereal_Yield!$C:$C, 0), MATCH(B723, Cereal_Yield!$E$1:$ZZ$1, 0))</f>
        <v>3889.7</v>
      </c>
    </row>
    <row r="724" spans="1:10" x14ac:dyDescent="0.3">
      <c r="A724" t="s">
        <v>36</v>
      </c>
      <c r="B724" s="4">
        <v>2002</v>
      </c>
      <c r="C724" t="s">
        <v>49</v>
      </c>
      <c r="D724" s="8">
        <f>INDEX(GDP_pc!$E:$ZZ, MATCH(A724, GDP_pc!$C:$C, 0), MATCH(B724, GDP_pc!$E$1:$ZZ$1, 0))</f>
        <v>35243658398.75457</v>
      </c>
      <c r="E724">
        <f>INDEX(CH4_Em!$E:$ZZ, MATCH(A724, CH4_Em!$C:$C, 0), MATCH(B724, CH4_Em!$E$1:$ZZ$1, 0))</f>
        <v>2.3540000000000001</v>
      </c>
      <c r="F724">
        <f>INDEX(N2O_Em!$E:$ZZ, MATCH(A724, N2O_Em!$C:$C, 0), MATCH(B724, N2O_Em!$E$1:$ZZ$1, 0))</f>
        <v>1.0765</v>
      </c>
      <c r="G724">
        <f>INDEX(CO2_Em!$E:$ZZ, MATCH(A724, CO2_Em!$C:$C, 0), MATCH(B724, CO2_Em!$E$1:$ZZ$1, 0))</f>
        <v>7.0099999999999996E-2</v>
      </c>
      <c r="H724">
        <f>INDEX(Agri_VA!$E:$ZZ, MATCH(A724, Agri_VA!$C:$C, 0), MATCH(B724, Agri_VA!$E$1:$ZZ$1, 0))</f>
        <v>1.9090155227556975</v>
      </c>
      <c r="I724" s="6">
        <f>INDEX('Agri_land '!$E:$ZZ, MATCH(A724, 'Agri_land '!$C:$C, 0), MATCH(B724, 'Agri_land '!$E$1:$ZZ$1, 0))</f>
        <v>46.507276507276508</v>
      </c>
      <c r="J724">
        <f>INDEX(Cereal_Yield!$E:$ZZ, MATCH(A724, Cereal_Yield!$C:$C, 0), MATCH(B724, Cereal_Yield!$E$1:$ZZ$1, 0))</f>
        <v>3899.7</v>
      </c>
    </row>
    <row r="725" spans="1:10" x14ac:dyDescent="0.3">
      <c r="A725" t="s">
        <v>36</v>
      </c>
      <c r="B725" s="4">
        <v>2003</v>
      </c>
      <c r="C725" t="s">
        <v>49</v>
      </c>
      <c r="D725" s="8">
        <f>INDEX(GDP_pc!$E:$ZZ, MATCH(A725, GDP_pc!$C:$C, 0), MATCH(B725, GDP_pc!$E$1:$ZZ$1, 0))</f>
        <v>46616149116.741081</v>
      </c>
      <c r="E725">
        <f>INDEX(CH4_Em!$E:$ZZ, MATCH(A725, CH4_Em!$C:$C, 0), MATCH(B725, CH4_Em!$E$1:$ZZ$1, 0))</f>
        <v>2.3037999999999998</v>
      </c>
      <c r="F725">
        <f>INDEX(N2O_Em!$E:$ZZ, MATCH(A725, N2O_Em!$C:$C, 0), MATCH(B725, N2O_Em!$E$1:$ZZ$1, 0))</f>
        <v>1.0968</v>
      </c>
      <c r="G725">
        <f>INDEX(CO2_Em!$E:$ZZ, MATCH(A725, CO2_Em!$C:$C, 0), MATCH(B725, CO2_Em!$E$1:$ZZ$1, 0))</f>
        <v>0.1236</v>
      </c>
      <c r="H725">
        <f>INDEX(Agri_VA!$E:$ZZ, MATCH(A725, Agri_VA!$C:$C, 0), MATCH(B725, Agri_VA!$E$1:$ZZ$1, 0))</f>
        <v>1.6705188019386128</v>
      </c>
      <c r="I725" s="6">
        <f>INDEX('Agri_land '!$E:$ZZ, MATCH(A725, 'Agri_land '!$C:$C, 0), MATCH(B725, 'Agri_land '!$E$1:$ZZ$1, 0))</f>
        <v>46.476823945125759</v>
      </c>
      <c r="J725">
        <f>INDEX(Cereal_Yield!$E:$ZZ, MATCH(A725, Cereal_Yield!$C:$C, 0), MATCH(B725, Cereal_Yield!$E$1:$ZZ$1, 0))</f>
        <v>3136</v>
      </c>
    </row>
    <row r="726" spans="1:10" x14ac:dyDescent="0.3">
      <c r="A726" t="s">
        <v>36</v>
      </c>
      <c r="B726" s="4">
        <v>2004</v>
      </c>
      <c r="C726" t="s">
        <v>49</v>
      </c>
      <c r="D726" s="8">
        <f>INDEX(GDP_pc!$E:$ZZ, MATCH(A726, GDP_pc!$C:$C, 0), MATCH(B726, GDP_pc!$E$1:$ZZ$1, 0))</f>
        <v>57215475076.298607</v>
      </c>
      <c r="E726">
        <f>INDEX(CH4_Em!$E:$ZZ, MATCH(A726, CH4_Em!$C:$C, 0), MATCH(B726, CH4_Em!$E$1:$ZZ$1, 0))</f>
        <v>2.2374000000000001</v>
      </c>
      <c r="F726">
        <f>INDEX(N2O_Em!$E:$ZZ, MATCH(A726, N2O_Em!$C:$C, 0), MATCH(B726, N2O_Em!$E$1:$ZZ$1, 0))</f>
        <v>1.1212</v>
      </c>
      <c r="G726">
        <f>INDEX(CO2_Em!$E:$ZZ, MATCH(A726, CO2_Em!$C:$C, 0), MATCH(B726, CO2_Em!$E$1:$ZZ$1, 0))</f>
        <v>0.10580000000000001</v>
      </c>
      <c r="H726">
        <f>INDEX(Agri_VA!$E:$ZZ, MATCH(A726, Agri_VA!$C:$C, 0), MATCH(B726, Agri_VA!$E$1:$ZZ$1, 0))</f>
        <v>1.506473532189518</v>
      </c>
      <c r="I726" s="6">
        <f>INDEX('Agri_land '!$E:$ZZ, MATCH(A726, 'Agri_land '!$C:$C, 0), MATCH(B726, 'Agri_land '!$E$1:$ZZ$1, 0))</f>
        <v>40.207900207900209</v>
      </c>
      <c r="J726">
        <f>INDEX(Cereal_Yield!$E:$ZZ, MATCH(A726, Cereal_Yield!$C:$C, 0), MATCH(B726, Cereal_Yield!$E$1:$ZZ$1, 0))</f>
        <v>4641.8</v>
      </c>
    </row>
    <row r="727" spans="1:10" x14ac:dyDescent="0.3">
      <c r="A727" t="s">
        <v>36</v>
      </c>
      <c r="B727" s="4">
        <v>2005</v>
      </c>
      <c r="C727" t="s">
        <v>49</v>
      </c>
      <c r="D727" s="8">
        <f>INDEX(GDP_pc!$E:$ZZ, MATCH(A727, GDP_pc!$C:$C, 0), MATCH(B727, GDP_pc!$E$1:$ZZ$1, 0))</f>
        <v>62547753148.463783</v>
      </c>
      <c r="E727">
        <f>INDEX(CH4_Em!$E:$ZZ, MATCH(A727, CH4_Em!$C:$C, 0), MATCH(B727, CH4_Em!$E$1:$ZZ$1, 0))</f>
        <v>1.9675</v>
      </c>
      <c r="F727">
        <f>INDEX(N2O_Em!$E:$ZZ, MATCH(A727, N2O_Em!$C:$C, 0), MATCH(B727, N2O_Em!$E$1:$ZZ$1, 0))</f>
        <v>1.0637000000000001</v>
      </c>
      <c r="G727">
        <f>INDEX(CO2_Em!$E:$ZZ, MATCH(A727, CO2_Em!$C:$C, 0), MATCH(B727, CO2_Em!$E$1:$ZZ$1, 0))</f>
        <v>0.1095</v>
      </c>
      <c r="H727">
        <f>INDEX(Agri_VA!$E:$ZZ, MATCH(A727, Agri_VA!$C:$C, 0), MATCH(B727, Agri_VA!$E$1:$ZZ$1, 0))</f>
        <v>1.4712597066395394</v>
      </c>
      <c r="I727" s="6">
        <f>INDEX('Agri_land '!$E:$ZZ, MATCH(A727, 'Agri_land '!$C:$C, 0), MATCH(B727, 'Agri_land '!$E$1:$ZZ$1, 0))</f>
        <v>40.353430353430355</v>
      </c>
      <c r="J727">
        <f>INDEX(Cereal_Yield!$E:$ZZ, MATCH(A727, Cereal_Yield!$C:$C, 0), MATCH(B727, Cereal_Yield!$E$1:$ZZ$1, 0))</f>
        <v>4511.8</v>
      </c>
    </row>
    <row r="728" spans="1:10" x14ac:dyDescent="0.3">
      <c r="A728" t="s">
        <v>36</v>
      </c>
      <c r="B728" s="4">
        <v>2006</v>
      </c>
      <c r="C728" t="s">
        <v>49</v>
      </c>
      <c r="D728" s="8">
        <f>INDEX(GDP_pc!$E:$ZZ, MATCH(A728, GDP_pc!$C:$C, 0), MATCH(B728, GDP_pc!$E$1:$ZZ$1, 0))</f>
        <v>70751813442.988129</v>
      </c>
      <c r="E728">
        <f>INDEX(CH4_Em!$E:$ZZ, MATCH(A728, CH4_Em!$C:$C, 0), MATCH(B728, CH4_Em!$E$1:$ZZ$1, 0))</f>
        <v>1.9565999999999999</v>
      </c>
      <c r="F728">
        <f>INDEX(N2O_Em!$E:$ZZ, MATCH(A728, N2O_Em!$C:$C, 0), MATCH(B728, N2O_Em!$E$1:$ZZ$1, 0))</f>
        <v>1.0788</v>
      </c>
      <c r="G728">
        <f>INDEX(CO2_Em!$E:$ZZ, MATCH(A728, CO2_Em!$C:$C, 0), MATCH(B728, CO2_Em!$E$1:$ZZ$1, 0))</f>
        <v>0.11210000000000001</v>
      </c>
      <c r="H728">
        <f>INDEX(Agri_VA!$E:$ZZ, MATCH(A728, Agri_VA!$C:$C, 0), MATCH(B728, Agri_VA!$E$1:$ZZ$1, 0))</f>
        <v>1.6916129568088623</v>
      </c>
      <c r="I728" s="6">
        <f>INDEX('Agri_land '!$E:$ZZ, MATCH(A728, 'Agri_land '!$C:$C, 0), MATCH(B728, 'Agri_land '!$E$1:$ZZ$1, 0))</f>
        <v>40.311850311850314</v>
      </c>
      <c r="J728">
        <f>INDEX(Cereal_Yield!$E:$ZZ, MATCH(A728, Cereal_Yield!$C:$C, 0), MATCH(B728, Cereal_Yield!$E$1:$ZZ$1, 0))</f>
        <v>3996.3</v>
      </c>
    </row>
    <row r="729" spans="1:10" x14ac:dyDescent="0.3">
      <c r="A729" t="s">
        <v>36</v>
      </c>
      <c r="B729" s="4">
        <v>2007</v>
      </c>
      <c r="C729" t="s">
        <v>49</v>
      </c>
      <c r="D729" s="8">
        <f>INDEX(GDP_pc!$E:$ZZ, MATCH(A729, GDP_pc!$C:$C, 0), MATCH(B729, GDP_pc!$E$1:$ZZ$1, 0))</f>
        <v>86587749517.972427</v>
      </c>
      <c r="E729">
        <f>INDEX(CH4_Em!$E:$ZZ, MATCH(A729, CH4_Em!$C:$C, 0), MATCH(B729, CH4_Em!$E$1:$ZZ$1, 0))</f>
        <v>1.9077999999999999</v>
      </c>
      <c r="F729">
        <f>INDEX(N2O_Em!$E:$ZZ, MATCH(A729, N2O_Em!$C:$C, 0), MATCH(B729, N2O_Em!$E$1:$ZZ$1, 0))</f>
        <v>1.0886</v>
      </c>
      <c r="G729">
        <f>INDEX(CO2_Em!$E:$ZZ, MATCH(A729, CO2_Em!$C:$C, 0), MATCH(B729, CO2_Em!$E$1:$ZZ$1, 0))</f>
        <v>0.1472</v>
      </c>
      <c r="H729">
        <f>INDEX(Agri_VA!$E:$ZZ, MATCH(A729, Agri_VA!$C:$C, 0), MATCH(B729, Agri_VA!$E$1:$ZZ$1, 0))</f>
        <v>2.1345603833297742</v>
      </c>
      <c r="I729" s="6">
        <f>INDEX('Agri_land '!$E:$ZZ, MATCH(A729, 'Agri_land '!$C:$C, 0), MATCH(B729, 'Agri_land '!$E$1:$ZZ$1, 0))</f>
        <v>40.124740124740129</v>
      </c>
      <c r="J729">
        <f>INDEX(Cereal_Yield!$E:$ZZ, MATCH(A729, Cereal_Yield!$C:$C, 0), MATCH(B729, Cereal_Yield!$E$1:$ZZ$1, 0))</f>
        <v>3561.2</v>
      </c>
    </row>
    <row r="730" spans="1:10" x14ac:dyDescent="0.3">
      <c r="A730" t="s">
        <v>36</v>
      </c>
      <c r="B730" s="4">
        <v>2008</v>
      </c>
      <c r="C730" t="s">
        <v>49</v>
      </c>
      <c r="D730" s="8">
        <f>INDEX(GDP_pc!$E:$ZZ, MATCH(A730, GDP_pc!$C:$C, 0), MATCH(B730, GDP_pc!$E$1:$ZZ$1, 0))</f>
        <v>100830060552.90233</v>
      </c>
      <c r="E730">
        <f>INDEX(CH4_Em!$E:$ZZ, MATCH(A730, CH4_Em!$C:$C, 0), MATCH(B730, CH4_Em!$E$1:$ZZ$1, 0))</f>
        <v>1.8491</v>
      </c>
      <c r="F730">
        <f>INDEX(N2O_Em!$E:$ZZ, MATCH(A730, N2O_Em!$C:$C, 0), MATCH(B730, N2O_Em!$E$1:$ZZ$1, 0))</f>
        <v>1.0665</v>
      </c>
      <c r="G730">
        <f>INDEX(CO2_Em!$E:$ZZ, MATCH(A730, CO2_Em!$C:$C, 0), MATCH(B730, CO2_Em!$E$1:$ZZ$1, 0))</f>
        <v>0.11</v>
      </c>
      <c r="H730">
        <f>INDEX(Agri_VA!$E:$ZZ, MATCH(A730, Agri_VA!$C:$C, 0), MATCH(B730, Agri_VA!$E$1:$ZZ$1, 0))</f>
        <v>2.3604743201771319</v>
      </c>
      <c r="I730" s="6">
        <f>INDEX('Agri_land '!$E:$ZZ, MATCH(A730, 'Agri_land '!$C:$C, 0), MATCH(B730, 'Agri_land '!$E$1:$ZZ$1, 0))</f>
        <v>40.270270270270267</v>
      </c>
      <c r="J730">
        <f>INDEX(Cereal_Yield!$E:$ZZ, MATCH(A730, Cereal_Yield!$C:$C, 0), MATCH(B730, Cereal_Yield!$E$1:$ZZ$1, 0))</f>
        <v>5175.3</v>
      </c>
    </row>
    <row r="731" spans="1:10" x14ac:dyDescent="0.3">
      <c r="A731" t="s">
        <v>36</v>
      </c>
      <c r="B731" s="4">
        <v>2009</v>
      </c>
      <c r="C731" t="s">
        <v>49</v>
      </c>
      <c r="D731" s="8">
        <f>INDEX(GDP_pc!$E:$ZZ, MATCH(A731, GDP_pc!$C:$C, 0), MATCH(B731, GDP_pc!$E$1:$ZZ$1, 0))</f>
        <v>89342984697.524551</v>
      </c>
      <c r="E731">
        <f>INDEX(CH4_Em!$E:$ZZ, MATCH(A731, CH4_Em!$C:$C, 0), MATCH(B731, CH4_Em!$E$1:$ZZ$1, 0))</f>
        <v>1.7746999999999999</v>
      </c>
      <c r="F731">
        <f>INDEX(N2O_Em!$E:$ZZ, MATCH(A731, N2O_Em!$C:$C, 0), MATCH(B731, N2O_Em!$E$1:$ZZ$1, 0))</f>
        <v>0.95020000000000004</v>
      </c>
      <c r="G731">
        <f>INDEX(CO2_Em!$E:$ZZ, MATCH(A731, CO2_Em!$C:$C, 0), MATCH(B731, CO2_Em!$E$1:$ZZ$1, 0))</f>
        <v>8.2199999999999995E-2</v>
      </c>
      <c r="H731">
        <f>INDEX(Agri_VA!$E:$ZZ, MATCH(A731, Agri_VA!$C:$C, 0), MATCH(B731, Agri_VA!$E$1:$ZZ$1, 0))</f>
        <v>1.9094298769867668</v>
      </c>
      <c r="I731" s="6">
        <f>INDEX('Agri_land '!$E:$ZZ, MATCH(A731, 'Agri_land '!$C:$C, 0), MATCH(B731, 'Agri_land '!$E$1:$ZZ$1, 0))</f>
        <v>40.13308380120607</v>
      </c>
      <c r="J731">
        <f>INDEX(Cereal_Yield!$E:$ZZ, MATCH(A731, Cereal_Yield!$C:$C, 0), MATCH(B731, Cereal_Yield!$E$1:$ZZ$1, 0))</f>
        <v>4331.5</v>
      </c>
    </row>
    <row r="732" spans="1:10" x14ac:dyDescent="0.3">
      <c r="A732" t="s">
        <v>36</v>
      </c>
      <c r="B732" s="4">
        <v>2010</v>
      </c>
      <c r="C732" t="s">
        <v>49</v>
      </c>
      <c r="D732" s="8">
        <f>INDEX(GDP_pc!$E:$ZZ, MATCH(A732, GDP_pc!$C:$C, 0), MATCH(B732, GDP_pc!$E$1:$ZZ$1, 0))</f>
        <v>91112160800.766846</v>
      </c>
      <c r="E732">
        <f>INDEX(CH4_Em!$E:$ZZ, MATCH(A732, CH4_Em!$C:$C, 0), MATCH(B732, CH4_Em!$E$1:$ZZ$1, 0))</f>
        <v>1.7551000000000001</v>
      </c>
      <c r="F732">
        <f>INDEX(N2O_Em!$E:$ZZ, MATCH(A732, N2O_Em!$C:$C, 0), MATCH(B732, N2O_Em!$E$1:$ZZ$1, 0))</f>
        <v>0.98409999999999997</v>
      </c>
      <c r="G732">
        <f>INDEX(CO2_Em!$E:$ZZ, MATCH(A732, CO2_Em!$C:$C, 0), MATCH(B732, CO2_Em!$E$1:$ZZ$1, 0))</f>
        <v>0.1042</v>
      </c>
      <c r="H732">
        <f>INDEX(Agri_VA!$E:$ZZ, MATCH(A732, Agri_VA!$C:$C, 0), MATCH(B732, Agri_VA!$E$1:$ZZ$1, 0))</f>
        <v>1.4985946805377972</v>
      </c>
      <c r="I732" s="6">
        <f>INDEX('Agri_land '!$E:$ZZ, MATCH(A732, 'Agri_land '!$C:$C, 0), MATCH(B732, 'Agri_land '!$E$1:$ZZ$1, 0))</f>
        <v>40.43791977708927</v>
      </c>
      <c r="J732">
        <f>INDEX(Cereal_Yield!$E:$ZZ, MATCH(A732, Cereal_Yield!$C:$C, 0), MATCH(B732, Cereal_Yield!$E$1:$ZZ$1, 0))</f>
        <v>3737.3</v>
      </c>
    </row>
    <row r="733" spans="1:10" x14ac:dyDescent="0.3">
      <c r="A733" t="s">
        <v>36</v>
      </c>
      <c r="B733" s="4">
        <v>2011</v>
      </c>
      <c r="C733" t="s">
        <v>49</v>
      </c>
      <c r="D733" s="8">
        <f>INDEX(GDP_pc!$E:$ZZ, MATCH(A733, GDP_pc!$C:$C, 0), MATCH(B733, GDP_pc!$E$1:$ZZ$1, 0))</f>
        <v>99705104723.434052</v>
      </c>
      <c r="E733">
        <f>INDEX(CH4_Em!$E:$ZZ, MATCH(A733, CH4_Em!$C:$C, 0), MATCH(B733, CH4_Em!$E$1:$ZZ$1, 0))</f>
        <v>1.7314000000000001</v>
      </c>
      <c r="F733">
        <f>INDEX(N2O_Em!$E:$ZZ, MATCH(A733, N2O_Em!$C:$C, 0), MATCH(B733, N2O_Em!$E$1:$ZZ$1, 0))</f>
        <v>1.1133</v>
      </c>
      <c r="G733">
        <f>INDEX(CO2_Em!$E:$ZZ, MATCH(A733, CO2_Em!$C:$C, 0), MATCH(B733, CO2_Em!$E$1:$ZZ$1, 0))</f>
        <v>6.8099999999999994E-2</v>
      </c>
      <c r="H733">
        <f>INDEX(Agri_VA!$E:$ZZ, MATCH(A733, Agri_VA!$C:$C, 0), MATCH(B733, Agri_VA!$E$1:$ZZ$1, 0))</f>
        <v>1.7937308065375772</v>
      </c>
      <c r="I733" s="6">
        <f>INDEX('Agri_land '!$E:$ZZ, MATCH(A733, 'Agri_land '!$C:$C, 0), MATCH(B733, 'Agri_land '!$E$1:$ZZ$1, 0))</f>
        <v>40.128514390284479</v>
      </c>
      <c r="J733">
        <f>INDEX(Cereal_Yield!$E:$ZZ, MATCH(A733, Cereal_Yield!$C:$C, 0), MATCH(B733, Cereal_Yield!$E$1:$ZZ$1, 0))</f>
        <v>5009</v>
      </c>
    </row>
    <row r="734" spans="1:10" x14ac:dyDescent="0.3">
      <c r="A734" t="s">
        <v>36</v>
      </c>
      <c r="B734" s="4">
        <v>2012</v>
      </c>
      <c r="C734" t="s">
        <v>49</v>
      </c>
      <c r="D734" s="8">
        <f>INDEX(GDP_pc!$E:$ZZ, MATCH(A734, GDP_pc!$C:$C, 0), MATCH(B734, GDP_pc!$E$1:$ZZ$1, 0))</f>
        <v>94724394278.051971</v>
      </c>
      <c r="E734">
        <f>INDEX(CH4_Em!$E:$ZZ, MATCH(A734, CH4_Em!$C:$C, 0), MATCH(B734, CH4_Em!$E$1:$ZZ$1, 0))</f>
        <v>1.7023999999999999</v>
      </c>
      <c r="F734">
        <f>INDEX(N2O_Em!$E:$ZZ, MATCH(A734, N2O_Em!$C:$C, 0), MATCH(B734, N2O_Em!$E$1:$ZZ$1, 0))</f>
        <v>1.0581</v>
      </c>
      <c r="G734">
        <f>INDEX(CO2_Em!$E:$ZZ, MATCH(A734, CO2_Em!$C:$C, 0), MATCH(B734, CO2_Em!$E$1:$ZZ$1, 0))</f>
        <v>5.5500000000000001E-2</v>
      </c>
      <c r="H734">
        <f>INDEX(Agri_VA!$E:$ZZ, MATCH(A734, Agri_VA!$C:$C, 0), MATCH(B734, Agri_VA!$E$1:$ZZ$1, 0))</f>
        <v>1.7946330470213145</v>
      </c>
      <c r="I734" s="6">
        <f>INDEX('Agri_land '!$E:$ZZ, MATCH(A734, 'Agri_land '!$C:$C, 0), MATCH(B734, 'Agri_land '!$E$1:$ZZ$1, 0))</f>
        <v>40.080685410081514</v>
      </c>
      <c r="J734">
        <f>INDEX(Cereal_Yield!$E:$ZZ, MATCH(A734, Cereal_Yield!$C:$C, 0), MATCH(B734, Cereal_Yield!$E$1:$ZZ$1, 0))</f>
        <v>3829.1</v>
      </c>
    </row>
    <row r="735" spans="1:10" x14ac:dyDescent="0.3">
      <c r="A735" t="s">
        <v>36</v>
      </c>
      <c r="B735" s="4">
        <v>2013</v>
      </c>
      <c r="C735" t="s">
        <v>49</v>
      </c>
      <c r="D735" s="8">
        <f>INDEX(GDP_pc!$E:$ZZ, MATCH(A735, GDP_pc!$C:$C, 0), MATCH(B735, GDP_pc!$E$1:$ZZ$1, 0))</f>
        <v>99134277850.341843</v>
      </c>
      <c r="E735">
        <f>INDEX(CH4_Em!$E:$ZZ, MATCH(A735, CH4_Em!$C:$C, 0), MATCH(B735, CH4_Em!$E$1:$ZZ$1, 0))</f>
        <v>1.7346999999999999</v>
      </c>
      <c r="F735">
        <f>INDEX(N2O_Em!$E:$ZZ, MATCH(A735, N2O_Em!$C:$C, 0), MATCH(B735, N2O_Em!$E$1:$ZZ$1, 0))</f>
        <v>1.1168</v>
      </c>
      <c r="G735">
        <f>INDEX(CO2_Em!$E:$ZZ, MATCH(A735, CO2_Em!$C:$C, 0), MATCH(B735, CO2_Em!$E$1:$ZZ$1, 0))</f>
        <v>6.1800000000000001E-2</v>
      </c>
      <c r="H735">
        <f>INDEX(Agri_VA!$E:$ZZ, MATCH(A735, Agri_VA!$C:$C, 0), MATCH(B735, Agri_VA!$E$1:$ZZ$1, 0))</f>
        <v>2.0743255556865052</v>
      </c>
      <c r="I735" s="6">
        <f>INDEX('Agri_land '!$E:$ZZ, MATCH(A735, 'Agri_land '!$C:$C, 0), MATCH(B735, 'Agri_land '!$E$1:$ZZ$1, 0))</f>
        <v>39.373648311429051</v>
      </c>
      <c r="J735">
        <f>INDEX(Cereal_Yield!$E:$ZZ, MATCH(A735, Cereal_Yield!$C:$C, 0), MATCH(B735, Cereal_Yield!$E$1:$ZZ$1, 0))</f>
        <v>4490.3999999999996</v>
      </c>
    </row>
    <row r="736" spans="1:10" x14ac:dyDescent="0.3">
      <c r="A736" t="s">
        <v>36</v>
      </c>
      <c r="B736" s="4">
        <v>2014</v>
      </c>
      <c r="C736" t="s">
        <v>49</v>
      </c>
      <c r="D736" s="8">
        <f>INDEX(GDP_pc!$E:$ZZ, MATCH(A736, GDP_pc!$C:$C, 0), MATCH(B736, GDP_pc!$E$1:$ZZ$1, 0))</f>
        <v>101713075598.86238</v>
      </c>
      <c r="E736">
        <f>INDEX(CH4_Em!$E:$ZZ, MATCH(A736, CH4_Em!$C:$C, 0), MATCH(B736, CH4_Em!$E$1:$ZZ$1, 0))</f>
        <v>1.7036</v>
      </c>
      <c r="F736">
        <f>INDEX(N2O_Em!$E:$ZZ, MATCH(A736, N2O_Em!$C:$C, 0), MATCH(B736, N2O_Em!$E$1:$ZZ$1, 0))</f>
        <v>1.1812</v>
      </c>
      <c r="G736">
        <f>INDEX(CO2_Em!$E:$ZZ, MATCH(A736, CO2_Em!$C:$C, 0), MATCH(B736, CO2_Em!$E$1:$ZZ$1, 0))</f>
        <v>6.8099999999999994E-2</v>
      </c>
      <c r="H736">
        <f>INDEX(Agri_VA!$E:$ZZ, MATCH(A736, Agri_VA!$C:$C, 0), MATCH(B736, Agri_VA!$E$1:$ZZ$1, 0))</f>
        <v>2.6149279736894004</v>
      </c>
      <c r="I736" s="6">
        <f>INDEX('Agri_land '!$E:$ZZ, MATCH(A736, 'Agri_land '!$C:$C, 0), MATCH(B736, 'Agri_land '!$E$1:$ZZ$1, 0))</f>
        <v>39.297004991680531</v>
      </c>
      <c r="J736">
        <f>INDEX(Cereal_Yield!$E:$ZZ, MATCH(A736, Cereal_Yield!$C:$C, 0), MATCH(B736, Cereal_Yield!$E$1:$ZZ$1, 0))</f>
        <v>6038.7</v>
      </c>
    </row>
    <row r="737" spans="1:10" x14ac:dyDescent="0.3">
      <c r="A737" t="s">
        <v>36</v>
      </c>
      <c r="B737" s="4">
        <v>2015</v>
      </c>
      <c r="C737" t="s">
        <v>49</v>
      </c>
      <c r="D737" s="8">
        <f>INDEX(GDP_pc!$E:$ZZ, MATCH(A737, GDP_pc!$C:$C, 0), MATCH(B737, GDP_pc!$E$1:$ZZ$1, 0))</f>
        <v>89178548717.332382</v>
      </c>
      <c r="E737">
        <f>INDEX(CH4_Em!$E:$ZZ, MATCH(A737, CH4_Em!$C:$C, 0), MATCH(B737, CH4_Em!$E$1:$ZZ$1, 0))</f>
        <v>1.7004999999999999</v>
      </c>
      <c r="F737">
        <f>INDEX(N2O_Em!$E:$ZZ, MATCH(A737, N2O_Em!$C:$C, 0), MATCH(B737, N2O_Em!$E$1:$ZZ$1, 0))</f>
        <v>1.2223999999999999</v>
      </c>
      <c r="G737">
        <f>INDEX(CO2_Em!$E:$ZZ, MATCH(A737, CO2_Em!$C:$C, 0), MATCH(B737, CO2_Em!$E$1:$ZZ$1, 0))</f>
        <v>7.6300000000000007E-2</v>
      </c>
      <c r="H737">
        <f>INDEX(Agri_VA!$E:$ZZ, MATCH(A737, Agri_VA!$C:$C, 0), MATCH(B737, Agri_VA!$E$1:$ZZ$1, 0))</f>
        <v>2.0459698403411344</v>
      </c>
      <c r="I737" s="6">
        <f>INDEX('Agri_land '!$E:$ZZ, MATCH(A737, 'Agri_land '!$C:$C, 0), MATCH(B737, 'Agri_land '!$E$1:$ZZ$1, 0))</f>
        <v>39.278732165883284</v>
      </c>
      <c r="J737">
        <f>INDEX(Cereal_Yield!$E:$ZZ, MATCH(A737, Cereal_Yield!$C:$C, 0), MATCH(B737, Cereal_Yield!$E$1:$ZZ$1, 0))</f>
        <v>5079.6000000000004</v>
      </c>
    </row>
    <row r="738" spans="1:10" x14ac:dyDescent="0.3">
      <c r="A738" t="s">
        <v>36</v>
      </c>
      <c r="B738" s="4">
        <v>2016</v>
      </c>
      <c r="C738" t="s">
        <v>49</v>
      </c>
      <c r="D738" s="8">
        <f>INDEX(GDP_pc!$E:$ZZ, MATCH(A738, GDP_pc!$C:$C, 0), MATCH(B738, GDP_pc!$E$1:$ZZ$1, 0))</f>
        <v>90347173228.635635</v>
      </c>
      <c r="E738">
        <f>INDEX(CH4_Em!$E:$ZZ, MATCH(A738, CH4_Em!$C:$C, 0), MATCH(B738, CH4_Em!$E$1:$ZZ$1, 0))</f>
        <v>1.6746000000000001</v>
      </c>
      <c r="F738">
        <f>INDEX(N2O_Em!$E:$ZZ, MATCH(A738, N2O_Em!$C:$C, 0), MATCH(B738, N2O_Em!$E$1:$ZZ$1, 0))</f>
        <v>1.3030999999999999</v>
      </c>
      <c r="G738">
        <f>INDEX(CO2_Em!$E:$ZZ, MATCH(A738, CO2_Em!$C:$C, 0), MATCH(B738, CO2_Em!$E$1:$ZZ$1, 0))</f>
        <v>9.4299999999999995E-2</v>
      </c>
      <c r="H738">
        <f>INDEX(Agri_VA!$E:$ZZ, MATCH(A738, Agri_VA!$C:$C, 0), MATCH(B738, Agri_VA!$E$1:$ZZ$1, 0))</f>
        <v>2.0626421889712905</v>
      </c>
      <c r="I738" s="6">
        <f>INDEX('Agri_land '!$E:$ZZ, MATCH(A738, 'Agri_land '!$C:$C, 0), MATCH(B738, 'Agri_land '!$E$1:$ZZ$1, 0))</f>
        <v>39.226289517470882</v>
      </c>
      <c r="J738">
        <f>INDEX(Cereal_Yield!$E:$ZZ, MATCH(A738, Cereal_Yield!$C:$C, 0), MATCH(B738, Cereal_Yield!$E$1:$ZZ$1, 0))</f>
        <v>6430.4</v>
      </c>
    </row>
    <row r="739" spans="1:10" x14ac:dyDescent="0.3">
      <c r="A739" t="s">
        <v>36</v>
      </c>
      <c r="B739" s="4">
        <v>2017</v>
      </c>
      <c r="C739" t="s">
        <v>49</v>
      </c>
      <c r="D739" s="8">
        <f>INDEX(GDP_pc!$E:$ZZ, MATCH(A739, GDP_pc!$C:$C, 0), MATCH(B739, GDP_pc!$E$1:$ZZ$1, 0))</f>
        <v>95978130734.976639</v>
      </c>
      <c r="E739">
        <f>INDEX(CH4_Em!$E:$ZZ, MATCH(A739, CH4_Em!$C:$C, 0), MATCH(B739, CH4_Em!$E$1:$ZZ$1, 0))</f>
        <v>1.6204000000000001</v>
      </c>
      <c r="F739">
        <f>INDEX(N2O_Em!$E:$ZZ, MATCH(A739, N2O_Em!$C:$C, 0), MATCH(B739, N2O_Em!$E$1:$ZZ$1, 0))</f>
        <v>1.1427</v>
      </c>
      <c r="G739">
        <f>INDEX(CO2_Em!$E:$ZZ, MATCH(A739, CO2_Em!$C:$C, 0), MATCH(B739, CO2_Em!$E$1:$ZZ$1, 0))</f>
        <v>6.0999999999999999E-2</v>
      </c>
      <c r="H739">
        <f>INDEX(Agri_VA!$E:$ZZ, MATCH(A739, Agri_VA!$C:$C, 0), MATCH(B739, Agri_VA!$E$1:$ZZ$1, 0))</f>
        <v>1.8481416688745589</v>
      </c>
      <c r="I739" s="6">
        <f>INDEX('Agri_land '!$E:$ZZ, MATCH(A739, 'Agri_land '!$C:$C, 0), MATCH(B739, 'Agri_land '!$E$1:$ZZ$1, 0))</f>
        <v>39.080698835274539</v>
      </c>
      <c r="J739">
        <f>INDEX(Cereal_Yield!$E:$ZZ, MATCH(A739, Cereal_Yield!$C:$C, 0), MATCH(B739, Cereal_Yield!$E$1:$ZZ$1, 0))</f>
        <v>4856</v>
      </c>
    </row>
    <row r="740" spans="1:10" x14ac:dyDescent="0.3">
      <c r="A740" t="s">
        <v>36</v>
      </c>
      <c r="B740" s="4">
        <v>2018</v>
      </c>
      <c r="C740" t="s">
        <v>49</v>
      </c>
      <c r="D740" s="8">
        <f>INDEX(GDP_pc!$E:$ZZ, MATCH(A740, GDP_pc!$C:$C, 0), MATCH(B740, GDP_pc!$E$1:$ZZ$1, 0))</f>
        <v>106611673364.83679</v>
      </c>
      <c r="E740">
        <f>INDEX(CH4_Em!$E:$ZZ, MATCH(A740, CH4_Em!$C:$C, 0), MATCH(B740, CH4_Em!$E$1:$ZZ$1, 0))</f>
        <v>1.6081000000000001</v>
      </c>
      <c r="F740">
        <f>INDEX(N2O_Em!$E:$ZZ, MATCH(A740, N2O_Em!$C:$C, 0), MATCH(B740, N2O_Em!$E$1:$ZZ$1, 0))</f>
        <v>1.3272999999999999</v>
      </c>
      <c r="G740">
        <f>INDEX(CO2_Em!$E:$ZZ, MATCH(A740, CO2_Em!$C:$C, 0), MATCH(B740, CO2_Em!$E$1:$ZZ$1, 0))</f>
        <v>0.1066</v>
      </c>
      <c r="H740">
        <f>INDEX(Agri_VA!$E:$ZZ, MATCH(A740, Agri_VA!$C:$C, 0), MATCH(B740, Agri_VA!$E$1:$ZZ$1, 0))</f>
        <v>2.0093291615716811</v>
      </c>
      <c r="I740" s="6">
        <f>INDEX('Agri_land '!$E:$ZZ, MATCH(A740, 'Agri_land '!$C:$C, 0), MATCH(B740, 'Agri_land '!$E$1:$ZZ$1, 0))</f>
        <v>39.288685524126457</v>
      </c>
      <c r="J740">
        <f>INDEX(Cereal_Yield!$E:$ZZ, MATCH(A740, Cereal_Yield!$C:$C, 0), MATCH(B740, Cereal_Yield!$E$1:$ZZ$1, 0))</f>
        <v>5409.7</v>
      </c>
    </row>
    <row r="741" spans="1:10" x14ac:dyDescent="0.3">
      <c r="A741" t="s">
        <v>36</v>
      </c>
      <c r="B741" s="4">
        <v>2019</v>
      </c>
      <c r="C741" t="s">
        <v>49</v>
      </c>
      <c r="D741" s="8">
        <f>INDEX(GDP_pc!$E:$ZZ, MATCH(A741, GDP_pc!$C:$C, 0), MATCH(B741, GDP_pc!$E$1:$ZZ$1, 0))</f>
        <v>105843498304.09395</v>
      </c>
      <c r="E741">
        <f>INDEX(CH4_Em!$E:$ZZ, MATCH(A741, CH4_Em!$C:$C, 0), MATCH(B741, CH4_Em!$E$1:$ZZ$1, 0))</f>
        <v>1.5743</v>
      </c>
      <c r="F741">
        <f>INDEX(N2O_Em!$E:$ZZ, MATCH(A741, N2O_Em!$C:$C, 0), MATCH(B741, N2O_Em!$E$1:$ZZ$1, 0))</f>
        <v>1.2384999999999999</v>
      </c>
      <c r="G741">
        <f>INDEX(CO2_Em!$E:$ZZ, MATCH(A741, CO2_Em!$C:$C, 0), MATCH(B741, CO2_Em!$E$1:$ZZ$1, 0))</f>
        <v>9.8199999999999996E-2</v>
      </c>
      <c r="H741">
        <f>INDEX(Agri_VA!$E:$ZZ, MATCH(A741, Agri_VA!$C:$C, 0), MATCH(B741, Agri_VA!$E$1:$ZZ$1, 0))</f>
        <v>1.6170097133414991</v>
      </c>
      <c r="I741" s="6">
        <f>INDEX('Agri_land '!$E:$ZZ, MATCH(A741, 'Agri_land '!$C:$C, 0), MATCH(B741, 'Agri_land '!$E$1:$ZZ$1, 0))</f>
        <v>39.20549084858569</v>
      </c>
      <c r="J741">
        <f>INDEX(Cereal_Yield!$E:$ZZ, MATCH(A741, Cereal_Yield!$C:$C, 0), MATCH(B741, Cereal_Yield!$E$1:$ZZ$1, 0))</f>
        <v>5336</v>
      </c>
    </row>
    <row r="742" spans="1:10" x14ac:dyDescent="0.3">
      <c r="A742" t="s">
        <v>36</v>
      </c>
      <c r="B742" s="4">
        <v>2020</v>
      </c>
      <c r="C742" t="s">
        <v>49</v>
      </c>
      <c r="D742" s="8">
        <f>INDEX(GDP_pc!$E:$ZZ, MATCH(A742, GDP_pc!$C:$C, 0), MATCH(B742, GDP_pc!$E$1:$ZZ$1, 0))</f>
        <v>107732602896.44077</v>
      </c>
      <c r="E742">
        <f>INDEX(CH4_Em!$E:$ZZ, MATCH(A742, CH4_Em!$C:$C, 0), MATCH(B742, CH4_Em!$E$1:$ZZ$1, 0))</f>
        <v>1.5864</v>
      </c>
      <c r="F742">
        <f>INDEX(N2O_Em!$E:$ZZ, MATCH(A742, N2O_Em!$C:$C, 0), MATCH(B742, N2O_Em!$E$1:$ZZ$1, 0))</f>
        <v>1.3130999999999999</v>
      </c>
      <c r="G742">
        <f>INDEX(CO2_Em!$E:$ZZ, MATCH(A742, CO2_Em!$C:$C, 0), MATCH(B742, CO2_Em!$E$1:$ZZ$1, 0))</f>
        <v>0.1273</v>
      </c>
      <c r="H742">
        <f>INDEX(Agri_VA!$E:$ZZ, MATCH(A742, Agri_VA!$C:$C, 0), MATCH(B742, Agri_VA!$E$1:$ZZ$1, 0))</f>
        <v>1.729178243098858</v>
      </c>
      <c r="I742" s="6">
        <f>INDEX('Agri_land '!$E:$ZZ, MATCH(A742, 'Agri_land '!$C:$C, 0), MATCH(B742, 'Agri_land '!$E$1:$ZZ$1, 0))</f>
        <v>39.163893510815306</v>
      </c>
      <c r="J742">
        <f>INDEX(Cereal_Yield!$E:$ZZ, MATCH(A742, Cereal_Yield!$C:$C, 0), MATCH(B742, Cereal_Yield!$E$1:$ZZ$1, 0))</f>
        <v>6129.8</v>
      </c>
    </row>
    <row r="743" spans="1:10" x14ac:dyDescent="0.3">
      <c r="A743" t="s">
        <v>36</v>
      </c>
      <c r="B743" s="4">
        <v>2021</v>
      </c>
      <c r="C743" t="s">
        <v>49</v>
      </c>
      <c r="D743" s="8">
        <f>INDEX(GDP_pc!$E:$ZZ, MATCH(A743, GDP_pc!$C:$C, 0), MATCH(B743, GDP_pc!$E$1:$ZZ$1, 0))</f>
        <v>120511265913.34302</v>
      </c>
      <c r="E743">
        <f>INDEX(CH4_Em!$E:$ZZ, MATCH(A743, CH4_Em!$C:$C, 0), MATCH(B743, CH4_Em!$E$1:$ZZ$1, 0))</f>
        <v>1.5224</v>
      </c>
      <c r="F743">
        <f>INDEX(N2O_Em!$E:$ZZ, MATCH(A743, N2O_Em!$C:$C, 0), MATCH(B743, N2O_Em!$E$1:$ZZ$1, 0))</f>
        <v>1.3503000000000001</v>
      </c>
      <c r="G743">
        <f>INDEX(CO2_Em!$E:$ZZ, MATCH(A743, CO2_Em!$C:$C, 0), MATCH(B743, CO2_Em!$E$1:$ZZ$1, 0))</f>
        <v>0.13109999999999999</v>
      </c>
      <c r="H743">
        <f>INDEX(Agri_VA!$E:$ZZ, MATCH(A743, Agri_VA!$C:$C, 0), MATCH(B743, Agri_VA!$E$1:$ZZ$1, 0))</f>
        <v>1.8713628798865587</v>
      </c>
      <c r="I743" s="6">
        <f>INDEX('Agri_land '!$E:$ZZ, MATCH(A743, 'Agri_land '!$C:$C, 0), MATCH(B743, 'Agri_land '!$E$1:$ZZ$1, 0))</f>
        <v>38.602329450915143</v>
      </c>
      <c r="J743">
        <f>INDEX(Cereal_Yield!$E:$ZZ, MATCH(A743, Cereal_Yield!$C:$C, 0), MATCH(B743, Cereal_Yield!$E$1:$ZZ$1, 0))</f>
        <v>5976.8</v>
      </c>
    </row>
    <row r="744" spans="1:10" x14ac:dyDescent="0.3">
      <c r="A744" t="s">
        <v>36</v>
      </c>
      <c r="B744" s="4">
        <v>2022</v>
      </c>
      <c r="C744" t="s">
        <v>49</v>
      </c>
      <c r="D744" s="8">
        <f>INDEX(GDP_pc!$E:$ZZ, MATCH(A744, GDP_pc!$C:$C, 0), MATCH(B744, GDP_pc!$E$1:$ZZ$1, 0))</f>
        <v>115792972358.20862</v>
      </c>
      <c r="E744">
        <f>INDEX(CH4_Em!$E:$ZZ, MATCH(A744, CH4_Em!$C:$C, 0), MATCH(B744, CH4_Em!$E$1:$ZZ$1, 0))</f>
        <v>1.4984999999999999</v>
      </c>
      <c r="F744">
        <f>INDEX(N2O_Em!$E:$ZZ, MATCH(A744, N2O_Em!$C:$C, 0), MATCH(B744, N2O_Em!$E$1:$ZZ$1, 0))</f>
        <v>1.2243999999999999</v>
      </c>
      <c r="G744">
        <f>INDEX(CO2_Em!$E:$ZZ, MATCH(A744, CO2_Em!$C:$C, 0), MATCH(B744, CO2_Em!$E$1:$ZZ$1, 0))</f>
        <v>0.11849999999999999</v>
      </c>
      <c r="H744">
        <f>INDEX(Agri_VA!$E:$ZZ, MATCH(A744, Agri_VA!$C:$C, 0), MATCH(B744, Agri_VA!$E$1:$ZZ$1, 0))</f>
        <v>1.9303962266850043</v>
      </c>
      <c r="I744" s="6">
        <f>INDEX('Agri_land '!$E:$ZZ, MATCH(A744, 'Agri_land '!$C:$C, 0), MATCH(B744, 'Agri_land '!$E$1:$ZZ$1, 0))</f>
        <v>38.4567387687188</v>
      </c>
      <c r="J744">
        <f>INDEX(Cereal_Yield!$E:$ZZ, MATCH(A744, Cereal_Yield!$C:$C, 0), MATCH(B744, Cereal_Yield!$E$1:$ZZ$1, 0))</f>
        <v>4754.5</v>
      </c>
    </row>
    <row r="745" spans="1:10" x14ac:dyDescent="0.3">
      <c r="A745" t="s">
        <v>36</v>
      </c>
      <c r="B745" s="4">
        <v>2023</v>
      </c>
      <c r="C745" t="s">
        <v>49</v>
      </c>
      <c r="D745" s="8">
        <f>INDEX(GDP_pc!$E:$ZZ, MATCH(A745, GDP_pc!$C:$C, 0), MATCH(B745, GDP_pc!$E$1:$ZZ$1, 0))</f>
        <v>133578518423.54353</v>
      </c>
      <c r="E745">
        <f>INDEX(CH4_Em!$E:$ZZ, MATCH(A745, CH4_Em!$C:$C, 0), MATCH(B745, CH4_Em!$E$1:$ZZ$1, 0))</f>
        <v>1.4894000000000001</v>
      </c>
      <c r="F745">
        <f>INDEX(N2O_Em!$E:$ZZ, MATCH(A745, N2O_Em!$C:$C, 0), MATCH(B745, N2O_Em!$E$1:$ZZ$1, 0))</f>
        <v>1.2849999999999999</v>
      </c>
      <c r="G745">
        <f>INDEX(CO2_Em!$E:$ZZ, MATCH(A745, CO2_Em!$C:$C, 0), MATCH(B745, CO2_Em!$E$1:$ZZ$1, 0))</f>
        <v>0.12609999999999999</v>
      </c>
      <c r="H745">
        <f>INDEX(Agri_VA!$E:$ZZ, MATCH(A745, Agri_VA!$C:$C, 0), MATCH(B745, Agri_VA!$E$1:$ZZ$1, 0))</f>
        <v>2.1257015352387798</v>
      </c>
      <c r="I745" s="6">
        <f>INDEX('Agri_land '!$E:$ZZ, MATCH(A745, 'Agri_land '!$C:$C, 0), MATCH(B745, 'Agri_land '!$E$1:$ZZ$1, 0))</f>
        <v>37.957570715474212</v>
      </c>
      <c r="J745">
        <f>INDEX(Cereal_Yield!$E:$ZZ, MATCH(A745, Cereal_Yield!$C:$C, 0), MATCH(B745, Cereal_Yield!$E$1:$ZZ$1, 0))</f>
        <v>6201.1</v>
      </c>
    </row>
    <row r="746" spans="1:10" x14ac:dyDescent="0.3">
      <c r="A746" t="s">
        <v>37</v>
      </c>
      <c r="B746" s="4">
        <v>2000</v>
      </c>
      <c r="C746" t="s">
        <v>49</v>
      </c>
      <c r="D746" s="8">
        <f>INDEX(GDP_pc!$E:$ZZ, MATCH(A746, GDP_pc!$C:$C, 0), MATCH(B746, GDP_pc!$E$1:$ZZ$1, 0))</f>
        <v>20159190701.678864</v>
      </c>
      <c r="E746">
        <f>INDEX(CH4_Em!$E:$ZZ, MATCH(A746, CH4_Em!$C:$C, 0), MATCH(B746, CH4_Em!$E$1:$ZZ$1, 0))</f>
        <v>1.4771000000000001</v>
      </c>
      <c r="F746">
        <f>INDEX(N2O_Em!$E:$ZZ, MATCH(A746, N2O_Em!$C:$C, 0), MATCH(B746, N2O_Em!$E$1:$ZZ$1, 0))</f>
        <v>0.67030000000000001</v>
      </c>
      <c r="G746">
        <f>INDEX(CO2_Em!$E:$ZZ, MATCH(A746, CO2_Em!$C:$C, 0), MATCH(B746, CO2_Em!$E$1:$ZZ$1, 0))</f>
        <v>5.8099999999999999E-2</v>
      </c>
      <c r="H746">
        <f>INDEX(Agri_VA!$E:$ZZ, MATCH(A746, Agri_VA!$C:$C, 0), MATCH(B746, Agri_VA!$E$1:$ZZ$1, 0))</f>
        <v>3.0026767143998052</v>
      </c>
      <c r="I746" s="6">
        <f>INDEX('Agri_land '!$E:$ZZ, MATCH(A746, 'Agri_land '!$C:$C, 0), MATCH(B746, 'Agri_land '!$E$1:$ZZ$1, 0))</f>
        <v>25.719960278053627</v>
      </c>
      <c r="J746">
        <f>INDEX(Cereal_Yield!$E:$ZZ, MATCH(A746, Cereal_Yield!$C:$C, 0), MATCH(B746, Cereal_Yield!$E$1:$ZZ$1, 0))</f>
        <v>4803.1000000000004</v>
      </c>
    </row>
    <row r="747" spans="1:10" x14ac:dyDescent="0.3">
      <c r="A747" t="s">
        <v>37</v>
      </c>
      <c r="B747" s="4">
        <v>2001</v>
      </c>
      <c r="C747" t="s">
        <v>49</v>
      </c>
      <c r="D747" s="8">
        <f>INDEX(GDP_pc!$E:$ZZ, MATCH(A747, GDP_pc!$C:$C, 0), MATCH(B747, GDP_pc!$E$1:$ZZ$1, 0))</f>
        <v>20668868706.811455</v>
      </c>
      <c r="E747">
        <f>INDEX(CH4_Em!$E:$ZZ, MATCH(A747, CH4_Em!$C:$C, 0), MATCH(B747, CH4_Em!$E$1:$ZZ$1, 0))</f>
        <v>1.5526</v>
      </c>
      <c r="F747">
        <f>INDEX(N2O_Em!$E:$ZZ, MATCH(A747, N2O_Em!$C:$C, 0), MATCH(B747, N2O_Em!$E$1:$ZZ$1, 0))</f>
        <v>0.65190000000000003</v>
      </c>
      <c r="G747">
        <f>INDEX(CO2_Em!$E:$ZZ, MATCH(A747, CO2_Em!$C:$C, 0), MATCH(B747, CO2_Em!$E$1:$ZZ$1, 0))</f>
        <v>5.3600000000000002E-2</v>
      </c>
      <c r="H747">
        <f>INDEX(Agri_VA!$E:$ZZ, MATCH(A747, Agri_VA!$C:$C, 0), MATCH(B747, Agri_VA!$E$1:$ZZ$1, 0))</f>
        <v>2.7218925754686647</v>
      </c>
      <c r="I747" s="6">
        <f>INDEX('Agri_land '!$E:$ZZ, MATCH(A747, 'Agri_land '!$C:$C, 0), MATCH(B747, 'Agri_land '!$E$1:$ZZ$1, 0))</f>
        <v>25.322740814299898</v>
      </c>
      <c r="J747">
        <f>INDEX(Cereal_Yield!$E:$ZZ, MATCH(A747, Cereal_Yield!$C:$C, 0), MATCH(B747, Cereal_Yield!$E$1:$ZZ$1, 0))</f>
        <v>4734.5</v>
      </c>
    </row>
    <row r="748" spans="1:10" x14ac:dyDescent="0.3">
      <c r="A748" t="s">
        <v>37</v>
      </c>
      <c r="B748" s="4">
        <v>2002</v>
      </c>
      <c r="C748" t="s">
        <v>49</v>
      </c>
      <c r="D748" s="8">
        <f>INDEX(GDP_pc!$E:$ZZ, MATCH(A748, GDP_pc!$C:$C, 0), MATCH(B748, GDP_pc!$E$1:$ZZ$1, 0))</f>
        <v>23214593516.209476</v>
      </c>
      <c r="E748">
        <f>INDEX(CH4_Em!$E:$ZZ, MATCH(A748, CH4_Em!$C:$C, 0), MATCH(B748, CH4_Em!$E$1:$ZZ$1, 0))</f>
        <v>1.5335000000000001</v>
      </c>
      <c r="F748">
        <f>INDEX(N2O_Em!$E:$ZZ, MATCH(A748, N2O_Em!$C:$C, 0), MATCH(B748, N2O_Em!$E$1:$ZZ$1, 0))</f>
        <v>0.67390000000000005</v>
      </c>
      <c r="G748">
        <f>INDEX(CO2_Em!$E:$ZZ, MATCH(A748, CO2_Em!$C:$C, 0), MATCH(B748, CO2_Em!$E$1:$ZZ$1, 0))</f>
        <v>6.3600000000000004E-2</v>
      </c>
      <c r="H748">
        <f>INDEX(Agri_VA!$E:$ZZ, MATCH(A748, Agri_VA!$C:$C, 0), MATCH(B748, Agri_VA!$E$1:$ZZ$1, 0))</f>
        <v>2.8942796753095803</v>
      </c>
      <c r="I748" s="6">
        <f>INDEX('Agri_land '!$E:$ZZ, MATCH(A748, 'Agri_land '!$C:$C, 0), MATCH(B748, 'Agri_land '!$E$1:$ZZ$1, 0))</f>
        <v>25.074478649453823</v>
      </c>
      <c r="J748">
        <f>INDEX(Cereal_Yield!$E:$ZZ, MATCH(A748, Cereal_Yield!$C:$C, 0), MATCH(B748, Cereal_Yield!$E$1:$ZZ$1, 0))</f>
        <v>6117.9</v>
      </c>
    </row>
    <row r="749" spans="1:10" x14ac:dyDescent="0.3">
      <c r="A749" t="s">
        <v>37</v>
      </c>
      <c r="B749" s="4">
        <v>2003</v>
      </c>
      <c r="C749" t="s">
        <v>49</v>
      </c>
      <c r="D749" s="8">
        <f>INDEX(GDP_pc!$E:$ZZ, MATCH(A749, GDP_pc!$C:$C, 0), MATCH(B749, GDP_pc!$E$1:$ZZ$1, 0))</f>
        <v>29360575031.817657</v>
      </c>
      <c r="E749">
        <f>INDEX(CH4_Em!$E:$ZZ, MATCH(A749, CH4_Em!$C:$C, 0), MATCH(B749, CH4_Em!$E$1:$ZZ$1, 0))</f>
        <v>1.5425</v>
      </c>
      <c r="F749">
        <f>INDEX(N2O_Em!$E:$ZZ, MATCH(A749, N2O_Em!$C:$C, 0), MATCH(B749, N2O_Em!$E$1:$ZZ$1, 0))</f>
        <v>0.65029999999999999</v>
      </c>
      <c r="G749">
        <f>INDEX(CO2_Em!$E:$ZZ, MATCH(A749, CO2_Em!$C:$C, 0), MATCH(B749, CO2_Em!$E$1:$ZZ$1, 0))</f>
        <v>6.2700000000000006E-2</v>
      </c>
      <c r="H749">
        <f>INDEX(Agri_VA!$E:$ZZ, MATCH(A749, Agri_VA!$C:$C, 0), MATCH(B749, Agri_VA!$E$1:$ZZ$1, 0))</f>
        <v>2.2161465727235341</v>
      </c>
      <c r="I749" s="6">
        <f>INDEX('Agri_land '!$E:$ZZ, MATCH(A749, 'Agri_land '!$C:$C, 0), MATCH(B749, 'Agri_land '!$E$1:$ZZ$1, 0))</f>
        <v>25.322740814299898</v>
      </c>
      <c r="J749">
        <f>INDEX(Cereal_Yield!$E:$ZZ, MATCH(A749, Cereal_Yield!$C:$C, 0), MATCH(B749, Cereal_Yield!$E$1:$ZZ$1, 0))</f>
        <v>4011.5</v>
      </c>
    </row>
    <row r="750" spans="1:10" x14ac:dyDescent="0.3">
      <c r="A750" t="s">
        <v>37</v>
      </c>
      <c r="B750" s="4">
        <v>2004</v>
      </c>
      <c r="C750" t="s">
        <v>49</v>
      </c>
      <c r="D750" s="8">
        <f>INDEX(GDP_pc!$E:$ZZ, MATCH(A750, GDP_pc!$C:$C, 0), MATCH(B750, GDP_pc!$E$1:$ZZ$1, 0))</f>
        <v>34156553313.403091</v>
      </c>
      <c r="E750">
        <f>INDEX(CH4_Em!$E:$ZZ, MATCH(A750, CH4_Em!$C:$C, 0), MATCH(B750, CH4_Em!$E$1:$ZZ$1, 0))</f>
        <v>1.4705999999999999</v>
      </c>
      <c r="F750">
        <f>INDEX(N2O_Em!$E:$ZZ, MATCH(A750, N2O_Em!$C:$C, 0), MATCH(B750, N2O_Em!$E$1:$ZZ$1, 0))</f>
        <v>0.66120000000000001</v>
      </c>
      <c r="G750">
        <f>INDEX(CO2_Em!$E:$ZZ, MATCH(A750, CO2_Em!$C:$C, 0), MATCH(B750, CO2_Em!$E$1:$ZZ$1, 0))</f>
        <v>6.8500000000000005E-2</v>
      </c>
      <c r="H750">
        <f>INDEX(Agri_VA!$E:$ZZ, MATCH(A750, Agri_VA!$C:$C, 0), MATCH(B750, Agri_VA!$E$1:$ZZ$1, 0))</f>
        <v>2.4021365323747257</v>
      </c>
      <c r="I750" s="6">
        <f>INDEX('Agri_land '!$E:$ZZ, MATCH(A750, 'Agri_land '!$C:$C, 0), MATCH(B750, 'Agri_land '!$E$1:$ZZ$1, 0))</f>
        <v>24.42899702085402</v>
      </c>
      <c r="J750">
        <f>INDEX(Cereal_Yield!$E:$ZZ, MATCH(A750, Cereal_Yield!$C:$C, 0), MATCH(B750, Cereal_Yield!$E$1:$ZZ$1, 0))</f>
        <v>5826.2</v>
      </c>
    </row>
    <row r="751" spans="1:10" x14ac:dyDescent="0.3">
      <c r="A751" t="s">
        <v>37</v>
      </c>
      <c r="B751" s="4">
        <v>2005</v>
      </c>
      <c r="C751" t="s">
        <v>49</v>
      </c>
      <c r="D751" s="8">
        <f>INDEX(GDP_pc!$E:$ZZ, MATCH(A751, GDP_pc!$C:$C, 0), MATCH(B751, GDP_pc!$E$1:$ZZ$1, 0))</f>
        <v>35947936823.778137</v>
      </c>
      <c r="E751">
        <f>INDEX(CH4_Em!$E:$ZZ, MATCH(A751, CH4_Em!$C:$C, 0), MATCH(B751, CH4_Em!$E$1:$ZZ$1, 0))</f>
        <v>1.4605999999999999</v>
      </c>
      <c r="F751">
        <f>INDEX(N2O_Em!$E:$ZZ, MATCH(A751, N2O_Em!$C:$C, 0), MATCH(B751, N2O_Em!$E$1:$ZZ$1, 0))</f>
        <v>0.6623</v>
      </c>
      <c r="G751">
        <f>INDEX(CO2_Em!$E:$ZZ, MATCH(A751, CO2_Em!$C:$C, 0), MATCH(B751, CO2_Em!$E$1:$ZZ$1, 0))</f>
        <v>7.0999999999999994E-2</v>
      </c>
      <c r="H751">
        <f>INDEX(Agri_VA!$E:$ZZ, MATCH(A751, Agri_VA!$C:$C, 0), MATCH(B751, Agri_VA!$E$1:$ZZ$1, 0))</f>
        <v>2.4241313212021312</v>
      </c>
      <c r="I751" s="6">
        <f>INDEX('Agri_land '!$E:$ZZ, MATCH(A751, 'Agri_land '!$C:$C, 0), MATCH(B751, 'Agri_land '!$E$1:$ZZ$1, 0))</f>
        <v>25.273088381330684</v>
      </c>
      <c r="J751">
        <f>INDEX(Cereal_Yield!$E:$ZZ, MATCH(A751, Cereal_Yield!$C:$C, 0), MATCH(B751, Cereal_Yield!$E$1:$ZZ$1, 0))</f>
        <v>6006.9</v>
      </c>
    </row>
    <row r="752" spans="1:10" x14ac:dyDescent="0.3">
      <c r="A752" t="s">
        <v>37</v>
      </c>
      <c r="B752" s="4">
        <v>2006</v>
      </c>
      <c r="C752" t="s">
        <v>49</v>
      </c>
      <c r="D752" s="8">
        <f>INDEX(GDP_pc!$E:$ZZ, MATCH(A752, GDP_pc!$C:$C, 0), MATCH(B752, GDP_pc!$E$1:$ZZ$1, 0))</f>
        <v>39260368837.034248</v>
      </c>
      <c r="E752">
        <f>INDEX(CH4_Em!$E:$ZZ, MATCH(A752, CH4_Em!$C:$C, 0), MATCH(B752, CH4_Em!$E$1:$ZZ$1, 0))</f>
        <v>1.4728000000000001</v>
      </c>
      <c r="F752">
        <f>INDEX(N2O_Em!$E:$ZZ, MATCH(A752, N2O_Em!$C:$C, 0), MATCH(B752, N2O_Em!$E$1:$ZZ$1, 0))</f>
        <v>0.59570000000000001</v>
      </c>
      <c r="G752">
        <f>INDEX(CO2_Em!$E:$ZZ, MATCH(A752, CO2_Em!$C:$C, 0), MATCH(B752, CO2_Em!$E$1:$ZZ$1, 0))</f>
        <v>5.1200000000000002E-2</v>
      </c>
      <c r="H752">
        <f>INDEX(Agri_VA!$E:$ZZ, MATCH(A752, Agri_VA!$C:$C, 0), MATCH(B752, Agri_VA!$E$1:$ZZ$1, 0))</f>
        <v>2.092058525412182</v>
      </c>
      <c r="I752" s="6">
        <f>INDEX('Agri_land '!$E:$ZZ, MATCH(A752, 'Agri_land '!$C:$C, 0), MATCH(B752, 'Agri_land '!$E$1:$ZZ$1, 0))</f>
        <v>24.379344587884809</v>
      </c>
      <c r="J752">
        <f>INDEX(Cereal_Yield!$E:$ZZ, MATCH(A752, Cereal_Yield!$C:$C, 0), MATCH(B752, Cereal_Yield!$E$1:$ZZ$1, 0))</f>
        <v>5116</v>
      </c>
    </row>
    <row r="753" spans="1:10" x14ac:dyDescent="0.3">
      <c r="A753" t="s">
        <v>37</v>
      </c>
      <c r="B753" s="4">
        <v>2007</v>
      </c>
      <c r="C753" t="s">
        <v>49</v>
      </c>
      <c r="D753" s="8">
        <f>INDEX(GDP_pc!$E:$ZZ, MATCH(A753, GDP_pc!$C:$C, 0), MATCH(B753, GDP_pc!$E$1:$ZZ$1, 0))</f>
        <v>47880266542.577019</v>
      </c>
      <c r="E753">
        <f>INDEX(CH4_Em!$E:$ZZ, MATCH(A753, CH4_Em!$C:$C, 0), MATCH(B753, CH4_Em!$E$1:$ZZ$1, 0))</f>
        <v>1.5047999999999999</v>
      </c>
      <c r="F753">
        <f>INDEX(N2O_Em!$E:$ZZ, MATCH(A753, N2O_Em!$C:$C, 0), MATCH(B753, N2O_Em!$E$1:$ZZ$1, 0))</f>
        <v>0.53349999999999997</v>
      </c>
      <c r="G753">
        <f>INDEX(CO2_Em!$E:$ZZ, MATCH(A753, CO2_Em!$C:$C, 0), MATCH(B753, CO2_Em!$E$1:$ZZ$1, 0))</f>
        <v>3.7100000000000001E-2</v>
      </c>
      <c r="H753">
        <f>INDEX(Agri_VA!$E:$ZZ, MATCH(A753, Agri_VA!$C:$C, 0), MATCH(B753, Agri_VA!$E$1:$ZZ$1, 0))</f>
        <v>2.0328329561152647</v>
      </c>
      <c r="I753" s="6">
        <f>INDEX('Agri_land '!$E:$ZZ, MATCH(A753, 'Agri_land '!$C:$C, 0), MATCH(B753, 'Agri_land '!$E$1:$ZZ$1, 0))</f>
        <v>24.726911618669316</v>
      </c>
      <c r="J753">
        <f>INDEX(Cereal_Yield!$E:$ZZ, MATCH(A753, Cereal_Yield!$C:$C, 0), MATCH(B753, Cereal_Yield!$E$1:$ZZ$1, 0))</f>
        <v>5341.3</v>
      </c>
    </row>
    <row r="754" spans="1:10" x14ac:dyDescent="0.3">
      <c r="A754" t="s">
        <v>37</v>
      </c>
      <c r="B754" s="4">
        <v>2008</v>
      </c>
      <c r="C754" t="s">
        <v>49</v>
      </c>
      <c r="D754" s="8">
        <f>INDEX(GDP_pc!$E:$ZZ, MATCH(A754, GDP_pc!$C:$C, 0), MATCH(B754, GDP_pc!$E$1:$ZZ$1, 0))</f>
        <v>55509332322.357803</v>
      </c>
      <c r="E754">
        <f>INDEX(CH4_Em!$E:$ZZ, MATCH(A754, CH4_Em!$C:$C, 0), MATCH(B754, CH4_Em!$E$1:$ZZ$1, 0))</f>
        <v>1.5720000000000001</v>
      </c>
      <c r="F754">
        <f>INDEX(N2O_Em!$E:$ZZ, MATCH(A754, N2O_Em!$C:$C, 0), MATCH(B754, N2O_Em!$E$1:$ZZ$1, 0))</f>
        <v>0.44669999999999999</v>
      </c>
      <c r="G754">
        <f>INDEX(CO2_Em!$E:$ZZ, MATCH(A754, CO2_Em!$C:$C, 0), MATCH(B754, CO2_Em!$E$1:$ZZ$1, 0))</f>
        <v>2.5100000000000001E-2</v>
      </c>
      <c r="H754">
        <f>INDEX(Agri_VA!$E:$ZZ, MATCH(A754, Agri_VA!$C:$C, 0), MATCH(B754, Agri_VA!$E$1:$ZZ$1, 0))</f>
        <v>1.7587145628057232</v>
      </c>
      <c r="I754" s="6">
        <f>INDEX('Agri_land '!$E:$ZZ, MATCH(A754, 'Agri_land '!$C:$C, 0), MATCH(B754, 'Agri_land '!$E$1:$ZZ$1, 0))</f>
        <v>30.703556998342119</v>
      </c>
      <c r="J754">
        <f>INDEX(Cereal_Yield!$E:$ZZ, MATCH(A754, Cereal_Yield!$C:$C, 0), MATCH(B754, Cereal_Yield!$E$1:$ZZ$1, 0))</f>
        <v>5474.7</v>
      </c>
    </row>
    <row r="755" spans="1:10" x14ac:dyDescent="0.3">
      <c r="A755" t="s">
        <v>37</v>
      </c>
      <c r="B755" s="4">
        <v>2009</v>
      </c>
      <c r="C755" t="s">
        <v>49</v>
      </c>
      <c r="D755" s="8">
        <f>INDEX(GDP_pc!$E:$ZZ, MATCH(A755, GDP_pc!$C:$C, 0), MATCH(B755, GDP_pc!$E$1:$ZZ$1, 0))</f>
        <v>49975540954.846451</v>
      </c>
      <c r="E755">
        <f>INDEX(CH4_Em!$E:$ZZ, MATCH(A755, CH4_Em!$C:$C, 0), MATCH(B755, CH4_Em!$E$1:$ZZ$1, 0))</f>
        <v>1.5457000000000001</v>
      </c>
      <c r="F755">
        <f>INDEX(N2O_Em!$E:$ZZ, MATCH(A755, N2O_Em!$C:$C, 0), MATCH(B755, N2O_Em!$E$1:$ZZ$1, 0))</f>
        <v>0.4647</v>
      </c>
      <c r="G755">
        <f>INDEX(CO2_Em!$E:$ZZ, MATCH(A755, CO2_Em!$C:$C, 0), MATCH(B755, CO2_Em!$E$1:$ZZ$1, 0))</f>
        <v>3.3000000000000002E-2</v>
      </c>
      <c r="H755">
        <f>INDEX(Agri_VA!$E:$ZZ, MATCH(A755, Agri_VA!$C:$C, 0), MATCH(B755, Agri_VA!$E$1:$ZZ$1, 0))</f>
        <v>1.7613811129777162</v>
      </c>
      <c r="I755" s="6">
        <f>INDEX('Agri_land '!$E:$ZZ, MATCH(A755, 'Agri_land '!$C:$C, 0), MATCH(B755, 'Agri_land '!$E$1:$ZZ$1, 0))</f>
        <v>31.029792810412093</v>
      </c>
      <c r="J755">
        <f>INDEX(Cereal_Yield!$E:$ZZ, MATCH(A755, Cereal_Yield!$C:$C, 0), MATCH(B755, Cereal_Yield!$E$1:$ZZ$1, 0))</f>
        <v>5268.3</v>
      </c>
    </row>
    <row r="756" spans="1:10" x14ac:dyDescent="0.3">
      <c r="A756" t="s">
        <v>37</v>
      </c>
      <c r="B756" s="4">
        <v>2010</v>
      </c>
      <c r="C756" t="s">
        <v>49</v>
      </c>
      <c r="D756" s="8">
        <f>INDEX(GDP_pc!$E:$ZZ, MATCH(A756, GDP_pc!$C:$C, 0), MATCH(B756, GDP_pc!$E$1:$ZZ$1, 0))</f>
        <v>47793117240.900093</v>
      </c>
      <c r="E756">
        <f>INDEX(CH4_Em!$E:$ZZ, MATCH(A756, CH4_Em!$C:$C, 0), MATCH(B756, CH4_Em!$E$1:$ZZ$1, 0))</f>
        <v>1.5645</v>
      </c>
      <c r="F756">
        <f>INDEX(N2O_Em!$E:$ZZ, MATCH(A756, N2O_Em!$C:$C, 0), MATCH(B756, N2O_Em!$E$1:$ZZ$1, 0))</f>
        <v>0.42259999999999998</v>
      </c>
      <c r="G756">
        <f>INDEX(CO2_Em!$E:$ZZ, MATCH(A756, CO2_Em!$C:$C, 0), MATCH(B756, CO2_Em!$E$1:$ZZ$1, 0))</f>
        <v>1.9199999999999998E-2</v>
      </c>
      <c r="H756">
        <f>INDEX(Agri_VA!$E:$ZZ, MATCH(A756, Agri_VA!$C:$C, 0), MATCH(B756, Agri_VA!$E$1:$ZZ$1, 0))</f>
        <v>1.8194253671862504</v>
      </c>
      <c r="I756" s="6">
        <f>INDEX('Agri_land '!$E:$ZZ, MATCH(A756, 'Agri_land '!$C:$C, 0), MATCH(B756, 'Agri_land '!$E$1:$ZZ$1, 0))</f>
        <v>30.966633906146075</v>
      </c>
      <c r="J756">
        <f>INDEX(Cereal_Yield!$E:$ZZ, MATCH(A756, Cereal_Yield!$C:$C, 0), MATCH(B756, Cereal_Yield!$E$1:$ZZ$1, 0))</f>
        <v>5981</v>
      </c>
    </row>
    <row r="757" spans="1:10" x14ac:dyDescent="0.3">
      <c r="A757" t="s">
        <v>37</v>
      </c>
      <c r="B757" s="4">
        <v>2011</v>
      </c>
      <c r="C757" t="s">
        <v>49</v>
      </c>
      <c r="D757" s="8">
        <f>INDEX(GDP_pc!$E:$ZZ, MATCH(A757, GDP_pc!$C:$C, 0), MATCH(B757, GDP_pc!$E$1:$ZZ$1, 0))</f>
        <v>51199194599.309441</v>
      </c>
      <c r="E757">
        <f>INDEX(CH4_Em!$E:$ZZ, MATCH(A757, CH4_Em!$C:$C, 0), MATCH(B757, CH4_Em!$E$1:$ZZ$1, 0))</f>
        <v>1.57</v>
      </c>
      <c r="F757">
        <f>INDEX(N2O_Em!$E:$ZZ, MATCH(A757, N2O_Em!$C:$C, 0), MATCH(B757, N2O_Em!$E$1:$ZZ$1, 0))</f>
        <v>0.41589999999999999</v>
      </c>
      <c r="G757">
        <f>INDEX(CO2_Em!$E:$ZZ, MATCH(A757, CO2_Em!$C:$C, 0), MATCH(B757, CO2_Em!$E$1:$ZZ$1, 0))</f>
        <v>1.9E-3</v>
      </c>
      <c r="H757">
        <f>INDEX(Agri_VA!$E:$ZZ, MATCH(A757, Agri_VA!$C:$C, 0), MATCH(B757, Agri_VA!$E$1:$ZZ$1, 0))</f>
        <v>2.0408723096677193</v>
      </c>
      <c r="I757" s="6">
        <f>INDEX('Agri_land '!$E:$ZZ, MATCH(A757, 'Agri_land '!$C:$C, 0), MATCH(B757, 'Agri_land '!$E$1:$ZZ$1, 0))</f>
        <v>30.805618981435522</v>
      </c>
      <c r="J757">
        <f>INDEX(Cereal_Yield!$E:$ZZ, MATCH(A757, Cereal_Yield!$C:$C, 0), MATCH(B757, Cereal_Yield!$E$1:$ZZ$1, 0))</f>
        <v>6373.8</v>
      </c>
    </row>
    <row r="758" spans="1:10" x14ac:dyDescent="0.3">
      <c r="A758" t="s">
        <v>37</v>
      </c>
      <c r="B758" s="4">
        <v>2012</v>
      </c>
      <c r="C758" t="s">
        <v>49</v>
      </c>
      <c r="D758" s="8">
        <f>INDEX(GDP_pc!$E:$ZZ, MATCH(A758, GDP_pc!$C:$C, 0), MATCH(B758, GDP_pc!$E$1:$ZZ$1, 0))</f>
        <v>46167053954.336731</v>
      </c>
      <c r="E758">
        <f>INDEX(CH4_Em!$E:$ZZ, MATCH(A758, CH4_Em!$C:$C, 0), MATCH(B758, CH4_Em!$E$1:$ZZ$1, 0))</f>
        <v>1.5470999999999999</v>
      </c>
      <c r="F758">
        <f>INDEX(N2O_Em!$E:$ZZ, MATCH(A758, N2O_Em!$C:$C, 0), MATCH(B758, N2O_Em!$E$1:$ZZ$1, 0))</f>
        <v>0.42680000000000001</v>
      </c>
      <c r="G758">
        <f>INDEX(CO2_Em!$E:$ZZ, MATCH(A758, CO2_Em!$C:$C, 0), MATCH(B758, CO2_Em!$E$1:$ZZ$1, 0))</f>
        <v>3.3999999999999998E-3</v>
      </c>
      <c r="H758">
        <f>INDEX(Agri_VA!$E:$ZZ, MATCH(A758, Agri_VA!$C:$C, 0), MATCH(B758, Agri_VA!$E$1:$ZZ$1, 0))</f>
        <v>1.8260135408725509</v>
      </c>
      <c r="I758" s="6">
        <f>INDEX('Agri_land '!$E:$ZZ, MATCH(A758, 'Agri_land '!$C:$C, 0), MATCH(B758, 'Agri_land '!$E$1:$ZZ$1, 0))</f>
        <v>30.368267173640035</v>
      </c>
      <c r="J758">
        <f>INDEX(Cereal_Yield!$E:$ZZ, MATCH(A758, Cereal_Yield!$C:$C, 0), MATCH(B758, Cereal_Yield!$E$1:$ZZ$1, 0))</f>
        <v>5761.9</v>
      </c>
    </row>
    <row r="759" spans="1:10" x14ac:dyDescent="0.3">
      <c r="A759" t="s">
        <v>37</v>
      </c>
      <c r="B759" s="4">
        <v>2013</v>
      </c>
      <c r="C759" t="s">
        <v>49</v>
      </c>
      <c r="D759" s="8">
        <f>INDEX(GDP_pc!$E:$ZZ, MATCH(A759, GDP_pc!$C:$C, 0), MATCH(B759, GDP_pc!$E$1:$ZZ$1, 0))</f>
        <v>47867056858.889153</v>
      </c>
      <c r="E759">
        <f>INDEX(CH4_Em!$E:$ZZ, MATCH(A759, CH4_Em!$C:$C, 0), MATCH(B759, CH4_Em!$E$1:$ZZ$1, 0))</f>
        <v>1.5448</v>
      </c>
      <c r="F759">
        <f>INDEX(N2O_Em!$E:$ZZ, MATCH(A759, N2O_Em!$C:$C, 0), MATCH(B759, N2O_Em!$E$1:$ZZ$1, 0))</f>
        <v>0.42730000000000001</v>
      </c>
      <c r="G759">
        <f>INDEX(CO2_Em!$E:$ZZ, MATCH(A759, CO2_Em!$C:$C, 0), MATCH(B759, CO2_Em!$E$1:$ZZ$1, 0))</f>
        <v>2.7000000000000001E-3</v>
      </c>
      <c r="H759">
        <f>INDEX(Agri_VA!$E:$ZZ, MATCH(A759, Agri_VA!$C:$C, 0), MATCH(B759, Agri_VA!$E$1:$ZZ$1, 0))</f>
        <v>1.8307708216806031</v>
      </c>
      <c r="I759" s="6">
        <f>INDEX('Agri_land '!$E:$ZZ, MATCH(A759, 'Agri_land '!$C:$C, 0), MATCH(B759, 'Agri_land '!$E$1:$ZZ$1, 0))</f>
        <v>30.298411122144987</v>
      </c>
      <c r="J759">
        <f>INDEX(Cereal_Yield!$E:$ZZ, MATCH(A759, Cereal_Yield!$C:$C, 0), MATCH(B759, Cereal_Yield!$E$1:$ZZ$1, 0))</f>
        <v>4615.5</v>
      </c>
    </row>
    <row r="760" spans="1:10" x14ac:dyDescent="0.3">
      <c r="A760" t="s">
        <v>37</v>
      </c>
      <c r="B760" s="4">
        <v>2014</v>
      </c>
      <c r="C760" t="s">
        <v>49</v>
      </c>
      <c r="D760" s="8">
        <f>INDEX(GDP_pc!$E:$ZZ, MATCH(A760, GDP_pc!$C:$C, 0), MATCH(B760, GDP_pc!$E$1:$ZZ$1, 0))</f>
        <v>49514466379.605705</v>
      </c>
      <c r="E760">
        <f>INDEX(CH4_Em!$E:$ZZ, MATCH(A760, CH4_Em!$C:$C, 0), MATCH(B760, CH4_Em!$E$1:$ZZ$1, 0))</f>
        <v>1.5443</v>
      </c>
      <c r="F760">
        <f>INDEX(N2O_Em!$E:$ZZ, MATCH(A760, N2O_Em!$C:$C, 0), MATCH(B760, N2O_Em!$E$1:$ZZ$1, 0))</f>
        <v>0.44479999999999997</v>
      </c>
      <c r="G760">
        <f>INDEX(CO2_Em!$E:$ZZ, MATCH(A760, CO2_Em!$C:$C, 0), MATCH(B760, CO2_Em!$E$1:$ZZ$1, 0))</f>
        <v>3.3999999999999998E-3</v>
      </c>
      <c r="H760">
        <f>INDEX(Agri_VA!$E:$ZZ, MATCH(A760, Agri_VA!$C:$C, 0), MATCH(B760, Agri_VA!$E$1:$ZZ$1, 0))</f>
        <v>1.8213548975897706</v>
      </c>
      <c r="I760" s="6">
        <f>INDEX('Agri_land '!$E:$ZZ, MATCH(A760, 'Agri_land '!$C:$C, 0), MATCH(B760, 'Agri_land '!$E$1:$ZZ$1, 0))</f>
        <v>30.528301886792452</v>
      </c>
      <c r="J760">
        <f>INDEX(Cereal_Yield!$E:$ZZ, MATCH(A760, Cereal_Yield!$C:$C, 0), MATCH(B760, Cereal_Yield!$E$1:$ZZ$1, 0))</f>
        <v>6472.5</v>
      </c>
    </row>
    <row r="761" spans="1:10" x14ac:dyDescent="0.3">
      <c r="A761" t="s">
        <v>37</v>
      </c>
      <c r="B761" s="4">
        <v>2015</v>
      </c>
      <c r="C761" t="s">
        <v>49</v>
      </c>
      <c r="D761" s="8">
        <f>INDEX(GDP_pc!$E:$ZZ, MATCH(A761, GDP_pc!$C:$C, 0), MATCH(B761, GDP_pc!$E$1:$ZZ$1, 0))</f>
        <v>42709468274.813652</v>
      </c>
      <c r="E761">
        <f>INDEX(CH4_Em!$E:$ZZ, MATCH(A761, CH4_Em!$C:$C, 0), MATCH(B761, CH4_Em!$E$1:$ZZ$1, 0))</f>
        <v>1.5629999999999999</v>
      </c>
      <c r="F761">
        <f>INDEX(N2O_Em!$E:$ZZ, MATCH(A761, N2O_Em!$C:$C, 0), MATCH(B761, N2O_Em!$E$1:$ZZ$1, 0))</f>
        <v>0.44309999999999999</v>
      </c>
      <c r="G761">
        <f>INDEX(CO2_Em!$E:$ZZ, MATCH(A761, CO2_Em!$C:$C, 0), MATCH(B761, CO2_Em!$E$1:$ZZ$1, 0))</f>
        <v>2.5000000000000001E-3</v>
      </c>
      <c r="H761">
        <f>INDEX(Agri_VA!$E:$ZZ, MATCH(A761, Agri_VA!$C:$C, 0), MATCH(B761, Agri_VA!$E$1:$ZZ$1, 0))</f>
        <v>1.9736118648021317</v>
      </c>
      <c r="I761" s="6">
        <f>INDEX('Agri_land '!$E:$ZZ, MATCH(A761, 'Agri_land '!$C:$C, 0), MATCH(B761, 'Agri_land '!$E$1:$ZZ$1, 0))</f>
        <v>30.606277243255587</v>
      </c>
      <c r="J761">
        <f>INDEX(Cereal_Yield!$E:$ZZ, MATCH(A761, Cereal_Yield!$C:$C, 0), MATCH(B761, Cereal_Yield!$E$1:$ZZ$1, 0))</f>
        <v>6283.9</v>
      </c>
    </row>
    <row r="762" spans="1:10" x14ac:dyDescent="0.3">
      <c r="A762" t="s">
        <v>37</v>
      </c>
      <c r="B762" s="4">
        <v>2016</v>
      </c>
      <c r="C762" t="s">
        <v>49</v>
      </c>
      <c r="D762" s="8">
        <f>INDEX(GDP_pc!$E:$ZZ, MATCH(A762, GDP_pc!$C:$C, 0), MATCH(B762, GDP_pc!$E$1:$ZZ$1, 0))</f>
        <v>44290685824.068199</v>
      </c>
      <c r="E762">
        <f>INDEX(CH4_Em!$E:$ZZ, MATCH(A762, CH4_Em!$C:$C, 0), MATCH(B762, CH4_Em!$E$1:$ZZ$1, 0))</f>
        <v>1.6132</v>
      </c>
      <c r="F762">
        <f>INDEX(N2O_Em!$E:$ZZ, MATCH(A762, N2O_Em!$C:$C, 0), MATCH(B762, N2O_Em!$E$1:$ZZ$1, 0))</f>
        <v>0.44590000000000002</v>
      </c>
      <c r="G762">
        <f>INDEX(CO2_Em!$E:$ZZ, MATCH(A762, CO2_Em!$C:$C, 0), MATCH(B762, CO2_Em!$E$1:$ZZ$1, 0))</f>
        <v>2.7000000000000001E-3</v>
      </c>
      <c r="H762">
        <f>INDEX(Agri_VA!$E:$ZZ, MATCH(A762, Agri_VA!$C:$C, 0), MATCH(B762, Agri_VA!$E$1:$ZZ$1, 0))</f>
        <v>1.8512961549770321</v>
      </c>
      <c r="I762" s="6">
        <f>INDEX('Agri_land '!$E:$ZZ, MATCH(A762, 'Agri_land '!$C:$C, 0), MATCH(B762, 'Agri_land '!$E$1:$ZZ$1, 0))</f>
        <v>30.6563399860987</v>
      </c>
      <c r="J762">
        <f>INDEX(Cereal_Yield!$E:$ZZ, MATCH(A762, Cereal_Yield!$C:$C, 0), MATCH(B762, Cereal_Yield!$E$1:$ZZ$1, 0))</f>
        <v>6464.6</v>
      </c>
    </row>
    <row r="763" spans="1:10" x14ac:dyDescent="0.3">
      <c r="A763" t="s">
        <v>37</v>
      </c>
      <c r="B763" s="4">
        <v>2017</v>
      </c>
      <c r="C763" t="s">
        <v>49</v>
      </c>
      <c r="D763" s="8">
        <f>INDEX(GDP_pc!$E:$ZZ, MATCH(A763, GDP_pc!$C:$C, 0), MATCH(B763, GDP_pc!$E$1:$ZZ$1, 0))</f>
        <v>48153200134.661263</v>
      </c>
      <c r="E763">
        <f>INDEX(CH4_Em!$E:$ZZ, MATCH(A763, CH4_Em!$C:$C, 0), MATCH(B763, CH4_Em!$E$1:$ZZ$1, 0))</f>
        <v>1.6237999999999999</v>
      </c>
      <c r="F763">
        <f>INDEX(N2O_Em!$E:$ZZ, MATCH(A763, N2O_Em!$C:$C, 0), MATCH(B763, N2O_Em!$E$1:$ZZ$1, 0))</f>
        <v>0.43809999999999999</v>
      </c>
      <c r="G763">
        <f>INDEX(CO2_Em!$E:$ZZ, MATCH(A763, CO2_Em!$C:$C, 0), MATCH(B763, CO2_Em!$E$1:$ZZ$1, 0))</f>
        <v>2.8999999999999998E-3</v>
      </c>
      <c r="H763">
        <f>INDEX(Agri_VA!$E:$ZZ, MATCH(A763, Agri_VA!$C:$C, 0), MATCH(B763, Agri_VA!$E$1:$ZZ$1, 0))</f>
        <v>1.6930367326320657</v>
      </c>
      <c r="I763" s="6">
        <f>INDEX('Agri_land '!$E:$ZZ, MATCH(A763, 'Agri_land '!$C:$C, 0), MATCH(B763, 'Agri_land '!$E$1:$ZZ$1, 0))</f>
        <v>30.541113610519368</v>
      </c>
      <c r="J763">
        <f>INDEX(Cereal_Yield!$E:$ZZ, MATCH(A763, Cereal_Yield!$C:$C, 0), MATCH(B763, Cereal_Yield!$E$1:$ZZ$1, 0))</f>
        <v>5540</v>
      </c>
    </row>
    <row r="764" spans="1:10" x14ac:dyDescent="0.3">
      <c r="A764" t="s">
        <v>37</v>
      </c>
      <c r="B764" s="4">
        <v>2018</v>
      </c>
      <c r="C764" t="s">
        <v>49</v>
      </c>
      <c r="D764" s="8">
        <f>INDEX(GDP_pc!$E:$ZZ, MATCH(A764, GDP_pc!$C:$C, 0), MATCH(B764, GDP_pc!$E$1:$ZZ$1, 0))</f>
        <v>53689067639.91761</v>
      </c>
      <c r="E764">
        <f>INDEX(CH4_Em!$E:$ZZ, MATCH(A764, CH4_Em!$C:$C, 0), MATCH(B764, CH4_Em!$E$1:$ZZ$1, 0))</f>
        <v>1.5837000000000001</v>
      </c>
      <c r="F764">
        <f>INDEX(N2O_Em!$E:$ZZ, MATCH(A764, N2O_Em!$C:$C, 0), MATCH(B764, N2O_Em!$E$1:$ZZ$1, 0))</f>
        <v>0.41839999999999999</v>
      </c>
      <c r="G764">
        <f>INDEX(CO2_Em!$E:$ZZ, MATCH(A764, CO2_Em!$C:$C, 0), MATCH(B764, CO2_Em!$E$1:$ZZ$1, 0))</f>
        <v>3.3999999999999998E-3</v>
      </c>
      <c r="H764">
        <f>INDEX(Agri_VA!$E:$ZZ, MATCH(A764, Agri_VA!$C:$C, 0), MATCH(B764, Agri_VA!$E$1:$ZZ$1, 0))</f>
        <v>1.9913429626019812</v>
      </c>
      <c r="I764" s="6">
        <f>INDEX('Agri_land '!$E:$ZZ, MATCH(A764, 'Agri_land '!$C:$C, 0), MATCH(B764, 'Agri_land '!$E$1:$ZZ$1, 0))</f>
        <v>30.392721638425936</v>
      </c>
      <c r="J764">
        <f>INDEX(Cereal_Yield!$E:$ZZ, MATCH(A764, Cereal_Yield!$C:$C, 0), MATCH(B764, Cereal_Yield!$E$1:$ZZ$1, 0))</f>
        <v>6071.9</v>
      </c>
    </row>
    <row r="765" spans="1:10" x14ac:dyDescent="0.3">
      <c r="A765" t="s">
        <v>37</v>
      </c>
      <c r="B765" s="4">
        <v>2019</v>
      </c>
      <c r="C765" t="s">
        <v>49</v>
      </c>
      <c r="D765" s="8">
        <f>INDEX(GDP_pc!$E:$ZZ, MATCH(A765, GDP_pc!$C:$C, 0), MATCH(B765, GDP_pc!$E$1:$ZZ$1, 0))</f>
        <v>53909922735.545013</v>
      </c>
      <c r="E765">
        <f>INDEX(CH4_Em!$E:$ZZ, MATCH(A765, CH4_Em!$C:$C, 0), MATCH(B765, CH4_Em!$E$1:$ZZ$1, 0))</f>
        <v>1.5992999999999999</v>
      </c>
      <c r="F765">
        <f>INDEX(N2O_Em!$E:$ZZ, MATCH(A765, N2O_Em!$C:$C, 0), MATCH(B765, N2O_Em!$E$1:$ZZ$1, 0))</f>
        <v>0.42209999999999998</v>
      </c>
      <c r="G765">
        <f>INDEX(CO2_Em!$E:$ZZ, MATCH(A765, CO2_Em!$C:$C, 0), MATCH(B765, CO2_Em!$E$1:$ZZ$1, 0))</f>
        <v>3.3999999999999998E-3</v>
      </c>
      <c r="H765">
        <f>INDEX(Agri_VA!$E:$ZZ, MATCH(A765, Agri_VA!$C:$C, 0), MATCH(B765, Agri_VA!$E$1:$ZZ$1, 0))</f>
        <v>1.7704065170579213</v>
      </c>
      <c r="I765" s="6">
        <f>INDEX('Agri_land '!$E:$ZZ, MATCH(A765, 'Agri_land '!$C:$C, 0), MATCH(B765, 'Agri_land '!$E$1:$ZZ$1, 0))</f>
        <v>30.406626805188612</v>
      </c>
      <c r="J765">
        <f>INDEX(Cereal_Yield!$E:$ZZ, MATCH(A765, Cereal_Yield!$C:$C, 0), MATCH(B765, Cereal_Yield!$E$1:$ZZ$1, 0))</f>
        <v>6503.1</v>
      </c>
    </row>
    <row r="766" spans="1:10" x14ac:dyDescent="0.3">
      <c r="A766" t="s">
        <v>37</v>
      </c>
      <c r="B766" s="4">
        <v>2020</v>
      </c>
      <c r="C766" t="s">
        <v>49</v>
      </c>
      <c r="D766" s="8">
        <f>INDEX(GDP_pc!$E:$ZZ, MATCH(A766, GDP_pc!$C:$C, 0), MATCH(B766, GDP_pc!$E$1:$ZZ$1, 0))</f>
        <v>53384760135.158127</v>
      </c>
      <c r="E766">
        <f>INDEX(CH4_Em!$E:$ZZ, MATCH(A766, CH4_Em!$C:$C, 0), MATCH(B766, CH4_Em!$E$1:$ZZ$1, 0))</f>
        <v>1.6202000000000001</v>
      </c>
      <c r="F766">
        <f>INDEX(N2O_Em!$E:$ZZ, MATCH(A766, N2O_Em!$C:$C, 0), MATCH(B766, N2O_Em!$E$1:$ZZ$1, 0))</f>
        <v>0.43530000000000002</v>
      </c>
      <c r="G766">
        <f>INDEX(CO2_Em!$E:$ZZ, MATCH(A766, CO2_Em!$C:$C, 0), MATCH(B766, CO2_Em!$E$1:$ZZ$1, 0))</f>
        <v>3.3999999999999998E-3</v>
      </c>
      <c r="H766">
        <f>INDEX(Agri_VA!$E:$ZZ, MATCH(A766, Agri_VA!$C:$C, 0), MATCH(B766, Agri_VA!$E$1:$ZZ$1, 0))</f>
        <v>1.8972971412832864</v>
      </c>
      <c r="I766" s="6">
        <f>INDEX('Agri_land '!$E:$ZZ, MATCH(A766, 'Agri_land '!$C:$C, 0), MATCH(B766, 'Agri_land '!$E$1:$ZZ$1, 0))</f>
        <v>30.317733060527203</v>
      </c>
      <c r="J766">
        <f>INDEX(Cereal_Yield!$E:$ZZ, MATCH(A766, Cereal_Yield!$C:$C, 0), MATCH(B766, Cereal_Yield!$E$1:$ZZ$1, 0))</f>
        <v>7385.5</v>
      </c>
    </row>
    <row r="767" spans="1:10" x14ac:dyDescent="0.3">
      <c r="A767" t="s">
        <v>37</v>
      </c>
      <c r="B767" s="4">
        <v>2021</v>
      </c>
      <c r="C767" t="s">
        <v>49</v>
      </c>
      <c r="D767" s="8">
        <f>INDEX(GDP_pc!$E:$ZZ, MATCH(A767, GDP_pc!$C:$C, 0), MATCH(B767, GDP_pc!$E$1:$ZZ$1, 0))</f>
        <v>61540813361.855598</v>
      </c>
      <c r="E767">
        <f>INDEX(CH4_Em!$E:$ZZ, MATCH(A767, CH4_Em!$C:$C, 0), MATCH(B767, CH4_Em!$E$1:$ZZ$1, 0))</f>
        <v>1.6029</v>
      </c>
      <c r="F767">
        <f>INDEX(N2O_Em!$E:$ZZ, MATCH(A767, N2O_Em!$C:$C, 0), MATCH(B767, N2O_Em!$E$1:$ZZ$1, 0))</f>
        <v>0.45929999999999999</v>
      </c>
      <c r="G767">
        <f>INDEX(CO2_Em!$E:$ZZ, MATCH(A767, CO2_Em!$C:$C, 0), MATCH(B767, CO2_Em!$E$1:$ZZ$1, 0))</f>
        <v>2.24E-2</v>
      </c>
      <c r="H767">
        <f>INDEX(Agri_VA!$E:$ZZ, MATCH(A767, Agri_VA!$C:$C, 0), MATCH(B767, Agri_VA!$E$1:$ZZ$1, 0))</f>
        <v>1.5114775511879648</v>
      </c>
      <c r="I767" s="6">
        <f>INDEX('Agri_land '!$E:$ZZ, MATCH(A767, 'Agri_land '!$C:$C, 0), MATCH(B767, 'Agri_land '!$E$1:$ZZ$1, 0))</f>
        <v>30.341073876164558</v>
      </c>
      <c r="J767">
        <f>INDEX(Cereal_Yield!$E:$ZZ, MATCH(A767, Cereal_Yield!$C:$C, 0), MATCH(B767, Cereal_Yield!$E$1:$ZZ$1, 0))</f>
        <v>6864.8</v>
      </c>
    </row>
    <row r="768" spans="1:10" x14ac:dyDescent="0.3">
      <c r="A768" t="s">
        <v>37</v>
      </c>
      <c r="B768" s="4">
        <v>2022</v>
      </c>
      <c r="C768" t="s">
        <v>49</v>
      </c>
      <c r="D768" s="8">
        <f>INDEX(GDP_pc!$E:$ZZ, MATCH(A768, GDP_pc!$C:$C, 0), MATCH(B768, GDP_pc!$E$1:$ZZ$1, 0))</f>
        <v>59899117741.002182</v>
      </c>
      <c r="E768">
        <f>INDEX(CH4_Em!$E:$ZZ, MATCH(A768, CH4_Em!$C:$C, 0), MATCH(B768, CH4_Em!$E$1:$ZZ$1, 0))</f>
        <v>1.5450999999999999</v>
      </c>
      <c r="F768">
        <f>INDEX(N2O_Em!$E:$ZZ, MATCH(A768, N2O_Em!$C:$C, 0), MATCH(B768, N2O_Em!$E$1:$ZZ$1, 0))</f>
        <v>0.43890000000000001</v>
      </c>
      <c r="G768">
        <f>INDEX(CO2_Em!$E:$ZZ, MATCH(A768, CO2_Em!$C:$C, 0), MATCH(B768, CO2_Em!$E$1:$ZZ$1, 0))</f>
        <v>2.1499999999999998E-2</v>
      </c>
      <c r="H768">
        <f>INDEX(Agri_VA!$E:$ZZ, MATCH(A768, Agri_VA!$C:$C, 0), MATCH(B768, Agri_VA!$E$1:$ZZ$1, 0))</f>
        <v>1.6248023856561762</v>
      </c>
      <c r="I768" s="6">
        <f>INDEX('Agri_land '!$E:$ZZ, MATCH(A768, 'Agri_land '!$C:$C, 0), MATCH(B768, 'Agri_land '!$E$1:$ZZ$1, 0))</f>
        <v>30.329155161796546</v>
      </c>
      <c r="J768">
        <f>INDEX(Cereal_Yield!$E:$ZZ, MATCH(A768, Cereal_Yield!$C:$C, 0), MATCH(B768, Cereal_Yield!$E$1:$ZZ$1, 0))</f>
        <v>5564.5</v>
      </c>
    </row>
    <row r="769" spans="1:10" x14ac:dyDescent="0.3">
      <c r="A769" t="s">
        <v>37</v>
      </c>
      <c r="B769" s="4">
        <v>2023</v>
      </c>
      <c r="C769" t="s">
        <v>49</v>
      </c>
      <c r="D769" s="8">
        <f>INDEX(GDP_pc!$E:$ZZ, MATCH(A769, GDP_pc!$C:$C, 0), MATCH(B769, GDP_pc!$E$1:$ZZ$1, 0))</f>
        <v>69255264238.385544</v>
      </c>
      <c r="E769">
        <f>INDEX(CH4_Em!$E:$ZZ, MATCH(A769, CH4_Em!$C:$C, 0), MATCH(B769, CH4_Em!$E$1:$ZZ$1, 0))</f>
        <v>1.5113000000000001</v>
      </c>
      <c r="F769">
        <f>INDEX(N2O_Em!$E:$ZZ, MATCH(A769, N2O_Em!$C:$C, 0), MATCH(B769, N2O_Em!$E$1:$ZZ$1, 0))</f>
        <v>0.4325</v>
      </c>
      <c r="G769">
        <f>INDEX(CO2_Em!$E:$ZZ, MATCH(A769, CO2_Em!$C:$C, 0), MATCH(B769, CO2_Em!$E$1:$ZZ$1, 0))</f>
        <v>2.1499999999999998E-2</v>
      </c>
      <c r="H769">
        <f>INDEX(Agri_VA!$E:$ZZ, MATCH(A769, Agri_VA!$C:$C, 0), MATCH(B769, Agri_VA!$E$1:$ZZ$1, 0))</f>
        <v>1.5319701443284754</v>
      </c>
      <c r="I769" s="6">
        <f>INDEX('Agri_land '!$E:$ZZ, MATCH(A769, 'Agri_land '!$C:$C, 0), MATCH(B769, 'Agri_land '!$E$1:$ZZ$1, 0))</f>
        <v>30.355856862599023</v>
      </c>
      <c r="J769">
        <f>INDEX(Cereal_Yield!$E:$ZZ, MATCH(A769, Cereal_Yield!$C:$C, 0), MATCH(B769, Cereal_Yield!$E$1:$ZZ$1, 0))</f>
        <v>6287.3</v>
      </c>
    </row>
    <row r="770" spans="1:10" x14ac:dyDescent="0.3">
      <c r="A770" t="s">
        <v>38</v>
      </c>
      <c r="B770" s="4">
        <v>2000</v>
      </c>
      <c r="C770" t="s">
        <v>48</v>
      </c>
      <c r="D770" s="8">
        <f>INDEX(GDP_pc!$E:$ZZ, MATCH(A770, GDP_pc!$C:$C, 0), MATCH(B770, GDP_pc!$E$1:$ZZ$1, 0))</f>
        <v>151752757215.3085</v>
      </c>
      <c r="E770">
        <f>INDEX(CH4_Em!$E:$ZZ, MATCH(A770, CH4_Em!$C:$C, 0), MATCH(B770, CH4_Em!$E$1:$ZZ$1, 0))</f>
        <v>25.613800000000001</v>
      </c>
      <c r="F770">
        <f>INDEX(N2O_Em!$E:$ZZ, MATCH(A770, N2O_Em!$C:$C, 0), MATCH(B770, N2O_Em!$E$1:$ZZ$1, 0))</f>
        <v>11.6502</v>
      </c>
      <c r="G770">
        <f>INDEX(CO2_Em!$E:$ZZ, MATCH(A770, CO2_Em!$C:$C, 0), MATCH(B770, CO2_Em!$E$1:$ZZ$1, 0))</f>
        <v>0.31259999999999999</v>
      </c>
      <c r="H770">
        <f>INDEX(Agri_VA!$E:$ZZ, MATCH(A770, Agri_VA!$C:$C, 0), MATCH(B770, Agri_VA!$E$1:$ZZ$1, 0))</f>
        <v>2.6147479932776783</v>
      </c>
      <c r="I770" s="6">
        <f>INDEX('Agri_land '!$E:$ZZ, MATCH(A770, 'Agri_land '!$C:$C, 0), MATCH(B770, 'Agri_land '!$E$1:$ZZ$1, 0))</f>
        <v>80.888474886447</v>
      </c>
      <c r="J770">
        <f>INDEX(Cereal_Yield!$E:$ZZ, MATCH(A770, Cereal_Yield!$C:$C, 0), MATCH(B770, Cereal_Yield!$E$1:$ZZ$1, 0))</f>
        <v>2765.9</v>
      </c>
    </row>
    <row r="771" spans="1:10" x14ac:dyDescent="0.3">
      <c r="A771" t="s">
        <v>38</v>
      </c>
      <c r="B771" s="4">
        <v>2001</v>
      </c>
      <c r="C771" t="s">
        <v>48</v>
      </c>
      <c r="D771" s="8">
        <f>INDEX(GDP_pc!$E:$ZZ, MATCH(A771, GDP_pc!$C:$C, 0), MATCH(B771, GDP_pc!$E$1:$ZZ$1, 0))</f>
        <v>135429905922.5262</v>
      </c>
      <c r="E771">
        <f>INDEX(CH4_Em!$E:$ZZ, MATCH(A771, CH4_Em!$C:$C, 0), MATCH(B771, CH4_Em!$E$1:$ZZ$1, 0))</f>
        <v>25.627700000000001</v>
      </c>
      <c r="F771">
        <f>INDEX(N2O_Em!$E:$ZZ, MATCH(A771, N2O_Em!$C:$C, 0), MATCH(B771, N2O_Em!$E$1:$ZZ$1, 0))</f>
        <v>11.550599999999999</v>
      </c>
      <c r="G771">
        <f>INDEX(CO2_Em!$E:$ZZ, MATCH(A771, CO2_Em!$C:$C, 0), MATCH(B771, CO2_Em!$E$1:$ZZ$1, 0))</f>
        <v>0.3054</v>
      </c>
      <c r="H771">
        <f>INDEX(Agri_VA!$E:$ZZ, MATCH(A771, Agri_VA!$C:$C, 0), MATCH(B771, Agri_VA!$E$1:$ZZ$1, 0))</f>
        <v>2.812451694552399</v>
      </c>
      <c r="I771" s="6">
        <f>INDEX('Agri_land '!$E:$ZZ, MATCH(A771, 'Agri_land '!$C:$C, 0), MATCH(B771, 'Agri_land '!$E$1:$ZZ$1, 0))</f>
        <v>80.796148678168976</v>
      </c>
      <c r="J771">
        <f>INDEX(Cereal_Yield!$E:$ZZ, MATCH(A771, Cereal_Yield!$C:$C, 0), MATCH(B771, Cereal_Yield!$E$1:$ZZ$1, 0))</f>
        <v>2424.1</v>
      </c>
    </row>
    <row r="772" spans="1:10" x14ac:dyDescent="0.3">
      <c r="A772" t="s">
        <v>38</v>
      </c>
      <c r="B772" s="4">
        <v>2002</v>
      </c>
      <c r="C772" t="s">
        <v>48</v>
      </c>
      <c r="D772" s="8">
        <f>INDEX(GDP_pc!$E:$ZZ, MATCH(A772, GDP_pc!$C:$C, 0), MATCH(B772, GDP_pc!$E$1:$ZZ$1, 0))</f>
        <v>129087556612.44882</v>
      </c>
      <c r="E772">
        <f>INDEX(CH4_Em!$E:$ZZ, MATCH(A772, CH4_Em!$C:$C, 0), MATCH(B772, CH4_Em!$E$1:$ZZ$1, 0))</f>
        <v>25.660900000000002</v>
      </c>
      <c r="F772">
        <f>INDEX(N2O_Em!$E:$ZZ, MATCH(A772, N2O_Em!$C:$C, 0), MATCH(B772, N2O_Em!$E$1:$ZZ$1, 0))</f>
        <v>12.0761</v>
      </c>
      <c r="G772">
        <f>INDEX(CO2_Em!$E:$ZZ, MATCH(A772, CO2_Em!$C:$C, 0), MATCH(B772, CO2_Em!$E$1:$ZZ$1, 0))</f>
        <v>0.42430000000000001</v>
      </c>
      <c r="H772">
        <f>INDEX(Agri_VA!$E:$ZZ, MATCH(A772, Agri_VA!$C:$C, 0), MATCH(B772, Agri_VA!$E$1:$ZZ$1, 0))</f>
        <v>2.9569718254908404</v>
      </c>
      <c r="I772" s="6">
        <f>INDEX('Agri_land '!$E:$ZZ, MATCH(A772, 'Agri_land '!$C:$C, 0), MATCH(B772, 'Agri_land '!$E$1:$ZZ$1, 0))</f>
        <v>80.808513795349072</v>
      </c>
      <c r="J772">
        <f>INDEX(Cereal_Yield!$E:$ZZ, MATCH(A772, Cereal_Yield!$C:$C, 0), MATCH(B772, Cereal_Yield!$E$1:$ZZ$1, 0))</f>
        <v>2772.6</v>
      </c>
    </row>
    <row r="773" spans="1:10" x14ac:dyDescent="0.3">
      <c r="A773" t="s">
        <v>38</v>
      </c>
      <c r="B773" s="4">
        <v>2003</v>
      </c>
      <c r="C773" t="s">
        <v>48</v>
      </c>
      <c r="D773" s="8">
        <f>INDEX(GDP_pc!$E:$ZZ, MATCH(A773, GDP_pc!$C:$C, 0), MATCH(B773, GDP_pc!$E$1:$ZZ$1, 0))</f>
        <v>197018965308.69696</v>
      </c>
      <c r="E773">
        <f>INDEX(CH4_Em!$E:$ZZ, MATCH(A773, CH4_Em!$C:$C, 0), MATCH(B773, CH4_Em!$E$1:$ZZ$1, 0))</f>
        <v>25.7135</v>
      </c>
      <c r="F773">
        <f>INDEX(N2O_Em!$E:$ZZ, MATCH(A773, N2O_Em!$C:$C, 0), MATCH(B773, N2O_Em!$E$1:$ZZ$1, 0))</f>
        <v>11.819599999999999</v>
      </c>
      <c r="G773">
        <f>INDEX(CO2_Em!$E:$ZZ, MATCH(A773, CO2_Em!$C:$C, 0), MATCH(B773, CO2_Em!$E$1:$ZZ$1, 0))</f>
        <v>0.44</v>
      </c>
      <c r="H773">
        <f>INDEX(Agri_VA!$E:$ZZ, MATCH(A773, Agri_VA!$C:$C, 0), MATCH(B773, Agri_VA!$E$1:$ZZ$1, 0))</f>
        <v>2.6539775287002123</v>
      </c>
      <c r="I773" s="6">
        <f>INDEX('Agri_land '!$E:$ZZ, MATCH(A773, 'Agri_land '!$C:$C, 0), MATCH(B773, 'Agri_land '!$E$1:$ZZ$1, 0))</f>
        <v>80.726079680815104</v>
      </c>
      <c r="J773">
        <f>INDEX(Cereal_Yield!$E:$ZZ, MATCH(A773, Cereal_Yield!$C:$C, 0), MATCH(B773, Cereal_Yield!$E$1:$ZZ$1, 0))</f>
        <v>2536.8000000000002</v>
      </c>
    </row>
    <row r="774" spans="1:10" x14ac:dyDescent="0.3">
      <c r="A774" t="s">
        <v>38</v>
      </c>
      <c r="B774" s="4">
        <v>2004</v>
      </c>
      <c r="C774" t="s">
        <v>48</v>
      </c>
      <c r="D774" s="8">
        <f>INDEX(GDP_pc!$E:$ZZ, MATCH(A774, GDP_pc!$C:$C, 0), MATCH(B774, GDP_pc!$E$1:$ZZ$1, 0))</f>
        <v>255806908594.57254</v>
      </c>
      <c r="E774">
        <f>INDEX(CH4_Em!$E:$ZZ, MATCH(A774, CH4_Em!$C:$C, 0), MATCH(B774, CH4_Em!$E$1:$ZZ$1, 0))</f>
        <v>25.804500000000001</v>
      </c>
      <c r="F774">
        <f>INDEX(N2O_Em!$E:$ZZ, MATCH(A774, N2O_Em!$C:$C, 0), MATCH(B774, N2O_Em!$E$1:$ZZ$1, 0))</f>
        <v>11.943300000000001</v>
      </c>
      <c r="G774">
        <f>INDEX(CO2_Em!$E:$ZZ, MATCH(A774, CO2_Em!$C:$C, 0), MATCH(B774, CO2_Em!$E$1:$ZZ$1, 0))</f>
        <v>0.46660000000000001</v>
      </c>
      <c r="H774">
        <f>INDEX(Agri_VA!$E:$ZZ, MATCH(A774, Agri_VA!$C:$C, 0), MATCH(B774, Agri_VA!$E$1:$ZZ$1, 0))</f>
        <v>2.4117161148620037</v>
      </c>
      <c r="I774" s="6">
        <f>INDEX('Agri_land '!$E:$ZZ, MATCH(A774, 'Agri_land '!$C:$C, 0), MATCH(B774, 'Agri_land '!$E$1:$ZZ$1, 0))</f>
        <v>80.462290514306446</v>
      </c>
      <c r="J774">
        <f>INDEX(Cereal_Yield!$E:$ZZ, MATCH(A774, Cereal_Yield!$C:$C, 0), MATCH(B774, Cereal_Yield!$E$1:$ZZ$1, 0))</f>
        <v>2777.9</v>
      </c>
    </row>
    <row r="775" spans="1:10" x14ac:dyDescent="0.3">
      <c r="A775" t="s">
        <v>38</v>
      </c>
      <c r="B775" s="4">
        <v>2005</v>
      </c>
      <c r="C775" t="s">
        <v>48</v>
      </c>
      <c r="D775" s="8">
        <f>INDEX(GDP_pc!$E:$ZZ, MATCH(A775, GDP_pc!$C:$C, 0), MATCH(B775, GDP_pc!$E$1:$ZZ$1, 0))</f>
        <v>288867217196.534</v>
      </c>
      <c r="E775">
        <f>INDEX(CH4_Em!$E:$ZZ, MATCH(A775, CH4_Em!$C:$C, 0), MATCH(B775, CH4_Em!$E$1:$ZZ$1, 0))</f>
        <v>26.314</v>
      </c>
      <c r="F775">
        <f>INDEX(N2O_Em!$E:$ZZ, MATCH(A775, N2O_Em!$C:$C, 0), MATCH(B775, N2O_Em!$E$1:$ZZ$1, 0))</f>
        <v>11.8512</v>
      </c>
      <c r="G775">
        <f>INDEX(CO2_Em!$E:$ZZ, MATCH(A775, CO2_Em!$C:$C, 0), MATCH(B775, CO2_Em!$E$1:$ZZ$1, 0))</f>
        <v>0.37209999999999999</v>
      </c>
      <c r="H775">
        <f>INDEX(Agri_VA!$E:$ZZ, MATCH(A775, Agri_VA!$C:$C, 0), MATCH(B775, Agri_VA!$E$1:$ZZ$1, 0))</f>
        <v>2.085117989720124</v>
      </c>
      <c r="I775" s="6">
        <f>INDEX('Agri_land '!$E:$ZZ, MATCH(A775, 'Agri_land '!$C:$C, 0), MATCH(B775, 'Agri_land '!$E$1:$ZZ$1, 0))</f>
        <v>80.35924787113899</v>
      </c>
      <c r="J775">
        <f>INDEX(Cereal_Yield!$E:$ZZ, MATCH(A775, Cereal_Yield!$C:$C, 0), MATCH(B775, Cereal_Yield!$E$1:$ZZ$1, 0))</f>
        <v>3309.6</v>
      </c>
    </row>
    <row r="776" spans="1:10" x14ac:dyDescent="0.3">
      <c r="A776" t="s">
        <v>38</v>
      </c>
      <c r="B776" s="4">
        <v>2006</v>
      </c>
      <c r="C776" t="s">
        <v>48</v>
      </c>
      <c r="D776" s="8">
        <f>INDEX(GDP_pc!$E:$ZZ, MATCH(A776, GDP_pc!$C:$C, 0), MATCH(B776, GDP_pc!$E$1:$ZZ$1, 0))</f>
        <v>303858675363.64276</v>
      </c>
      <c r="E776">
        <f>INDEX(CH4_Em!$E:$ZZ, MATCH(A776, CH4_Em!$C:$C, 0), MATCH(B776, CH4_Em!$E$1:$ZZ$1, 0))</f>
        <v>26.1569</v>
      </c>
      <c r="F776">
        <f>INDEX(N2O_Em!$E:$ZZ, MATCH(A776, N2O_Em!$C:$C, 0), MATCH(B776, N2O_Em!$E$1:$ZZ$1, 0))</f>
        <v>12.0046</v>
      </c>
      <c r="G776">
        <f>INDEX(CO2_Em!$E:$ZZ, MATCH(A776, CO2_Em!$C:$C, 0), MATCH(B776, CO2_Em!$E$1:$ZZ$1, 0))</f>
        <v>0.46779999999999999</v>
      </c>
      <c r="H776">
        <f>INDEX(Agri_VA!$E:$ZZ, MATCH(A776, Agri_VA!$C:$C, 0), MATCH(B776, Agri_VA!$E$1:$ZZ$1, 0))</f>
        <v>2.0509765123846444</v>
      </c>
      <c r="I776" s="6">
        <f>INDEX('Agri_land '!$E:$ZZ, MATCH(A776, 'Agri_land '!$C:$C, 0), MATCH(B776, 'Agri_land '!$E$1:$ZZ$1, 0))</f>
        <v>79.868764889661932</v>
      </c>
      <c r="J776">
        <f>INDEX(Cereal_Yield!$E:$ZZ, MATCH(A776, Cereal_Yield!$C:$C, 0), MATCH(B776, Cereal_Yield!$E$1:$ZZ$1, 0))</f>
        <v>3141</v>
      </c>
    </row>
    <row r="777" spans="1:10" x14ac:dyDescent="0.3">
      <c r="A777" t="s">
        <v>38</v>
      </c>
      <c r="B777" s="4">
        <v>2007</v>
      </c>
      <c r="C777" t="s">
        <v>48</v>
      </c>
      <c r="D777" s="8">
        <f>INDEX(GDP_pc!$E:$ZZ, MATCH(A777, GDP_pc!$C:$C, 0), MATCH(B777, GDP_pc!$E$1:$ZZ$1, 0))</f>
        <v>333077117253.68378</v>
      </c>
      <c r="E777">
        <f>INDEX(CH4_Em!$E:$ZZ, MATCH(A777, CH4_Em!$C:$C, 0), MATCH(B777, CH4_Em!$E$1:$ZZ$1, 0))</f>
        <v>27.208600000000001</v>
      </c>
      <c r="F777">
        <f>INDEX(N2O_Em!$E:$ZZ, MATCH(A777, N2O_Em!$C:$C, 0), MATCH(B777, N2O_Em!$E$1:$ZZ$1, 0))</f>
        <v>12.274699999999999</v>
      </c>
      <c r="G777">
        <f>INDEX(CO2_Em!$E:$ZZ, MATCH(A777, CO2_Em!$C:$C, 0), MATCH(B777, CO2_Em!$E$1:$ZZ$1, 0))</f>
        <v>0.46929999999999999</v>
      </c>
      <c r="H777">
        <f>INDEX(Agri_VA!$E:$ZZ, MATCH(A777, Agri_VA!$C:$C, 0), MATCH(B777, Agri_VA!$E$1:$ZZ$1, 0))</f>
        <v>2.3559140050425595</v>
      </c>
      <c r="I777" s="6">
        <f>INDEX('Agri_land '!$E:$ZZ, MATCH(A777, 'Agri_land '!$C:$C, 0), MATCH(B777, 'Agri_land '!$E$1:$ZZ$1, 0))</f>
        <v>79.870413571952611</v>
      </c>
      <c r="J777">
        <f>INDEX(Cereal_Yield!$E:$ZZ, MATCH(A777, Cereal_Yield!$C:$C, 0), MATCH(B777, Cereal_Yield!$E$1:$ZZ$1, 0))</f>
        <v>2790.3</v>
      </c>
    </row>
    <row r="778" spans="1:10" x14ac:dyDescent="0.3">
      <c r="A778" t="s">
        <v>38</v>
      </c>
      <c r="B778" s="4">
        <v>2008</v>
      </c>
      <c r="C778" t="s">
        <v>48</v>
      </c>
      <c r="D778" s="8">
        <f>INDEX(GDP_pc!$E:$ZZ, MATCH(A778, GDP_pc!$C:$C, 0), MATCH(B778, GDP_pc!$E$1:$ZZ$1, 0))</f>
        <v>316131258616.30902</v>
      </c>
      <c r="E778">
        <f>INDEX(CH4_Em!$E:$ZZ, MATCH(A778, CH4_Em!$C:$C, 0), MATCH(B778, CH4_Em!$E$1:$ZZ$1, 0))</f>
        <v>27.9268</v>
      </c>
      <c r="F778">
        <f>INDEX(N2O_Em!$E:$ZZ, MATCH(A778, N2O_Em!$C:$C, 0), MATCH(B778, N2O_Em!$E$1:$ZZ$1, 0))</f>
        <v>12.326000000000001</v>
      </c>
      <c r="G778">
        <f>INDEX(CO2_Em!$E:$ZZ, MATCH(A778, CO2_Em!$C:$C, 0), MATCH(B778, CO2_Em!$E$1:$ZZ$1, 0))</f>
        <v>0.4269</v>
      </c>
      <c r="H778">
        <f>INDEX(Agri_VA!$E:$ZZ, MATCH(A778, Agri_VA!$C:$C, 0), MATCH(B778, Agri_VA!$E$1:$ZZ$1, 0))</f>
        <v>2.5724887669648893</v>
      </c>
      <c r="I778" s="6">
        <f>INDEX('Agri_land '!$E:$ZZ, MATCH(A778, 'Agri_land '!$C:$C, 0), MATCH(B778, 'Agri_land '!$E$1:$ZZ$1, 0))</f>
        <v>80.050119941636638</v>
      </c>
      <c r="J778">
        <f>INDEX(Cereal_Yield!$E:$ZZ, MATCH(A778, Cereal_Yield!$C:$C, 0), MATCH(B778, Cereal_Yield!$E$1:$ZZ$1, 0))</f>
        <v>4063.2</v>
      </c>
    </row>
    <row r="779" spans="1:10" x14ac:dyDescent="0.3">
      <c r="A779" t="s">
        <v>38</v>
      </c>
      <c r="B779" s="4">
        <v>2009</v>
      </c>
      <c r="C779" t="s">
        <v>48</v>
      </c>
      <c r="D779" s="8">
        <f>INDEX(GDP_pc!$E:$ZZ, MATCH(A779, GDP_pc!$C:$C, 0), MATCH(B779, GDP_pc!$E$1:$ZZ$1, 0))</f>
        <v>329754060647.12897</v>
      </c>
      <c r="E779">
        <f>INDEX(CH4_Em!$E:$ZZ, MATCH(A779, CH4_Em!$C:$C, 0), MATCH(B779, CH4_Em!$E$1:$ZZ$1, 0))</f>
        <v>28.139299999999999</v>
      </c>
      <c r="F779">
        <f>INDEX(N2O_Em!$E:$ZZ, MATCH(A779, N2O_Em!$C:$C, 0), MATCH(B779, N2O_Em!$E$1:$ZZ$1, 0))</f>
        <v>12.211</v>
      </c>
      <c r="G779">
        <f>INDEX(CO2_Em!$E:$ZZ, MATCH(A779, CO2_Em!$C:$C, 0), MATCH(B779, CO2_Em!$E$1:$ZZ$1, 0))</f>
        <v>0.44209999999999999</v>
      </c>
      <c r="H779">
        <f>INDEX(Agri_VA!$E:$ZZ, MATCH(A779, Agri_VA!$C:$C, 0), MATCH(B779, Agri_VA!$E$1:$ZZ$1, 0))</f>
        <v>2.3994961348775532</v>
      </c>
      <c r="I779" s="6">
        <f>INDEX('Agri_land '!$E:$ZZ, MATCH(A779, 'Agri_land '!$C:$C, 0), MATCH(B779, 'Agri_land '!$E$1:$ZZ$1, 0))</f>
        <v>79.9511990041959</v>
      </c>
      <c r="J779">
        <f>INDEX(Cereal_Yield!$E:$ZZ, MATCH(A779, Cereal_Yield!$C:$C, 0), MATCH(B779, Cereal_Yield!$E$1:$ZZ$1, 0))</f>
        <v>4405.5</v>
      </c>
    </row>
    <row r="780" spans="1:10" x14ac:dyDescent="0.3">
      <c r="A780" t="s">
        <v>38</v>
      </c>
      <c r="B780" s="4">
        <v>2010</v>
      </c>
      <c r="C780" t="s">
        <v>48</v>
      </c>
      <c r="D780" s="8">
        <f>INDEX(GDP_pc!$E:$ZZ, MATCH(A780, GDP_pc!$C:$C, 0), MATCH(B780, GDP_pc!$E$1:$ZZ$1, 0))</f>
        <v>417363822801.71265</v>
      </c>
      <c r="E780">
        <f>INDEX(CH4_Em!$E:$ZZ, MATCH(A780, CH4_Em!$C:$C, 0), MATCH(B780, CH4_Em!$E$1:$ZZ$1, 0))</f>
        <v>28.3736</v>
      </c>
      <c r="F780">
        <f>INDEX(N2O_Em!$E:$ZZ, MATCH(A780, N2O_Em!$C:$C, 0), MATCH(B780, N2O_Em!$E$1:$ZZ$1, 0))</f>
        <v>12.079700000000001</v>
      </c>
      <c r="G780">
        <f>INDEX(CO2_Em!$E:$ZZ, MATCH(A780, CO2_Em!$C:$C, 0), MATCH(B780, CO2_Em!$E$1:$ZZ$1, 0))</f>
        <v>0.40600000000000003</v>
      </c>
      <c r="H780">
        <f>INDEX(Agri_VA!$E:$ZZ, MATCH(A780, Agri_VA!$C:$C, 0), MATCH(B780, Agri_VA!$E$1:$ZZ$1, 0))</f>
        <v>2.1077874931415792</v>
      </c>
      <c r="I780" s="6">
        <f>INDEX('Agri_land '!$E:$ZZ, MATCH(A780, 'Agri_land '!$C:$C, 0), MATCH(B780, 'Agri_land '!$E$1:$ZZ$1, 0))</f>
        <v>79.871237913097957</v>
      </c>
      <c r="J780">
        <f>INDEX(Cereal_Yield!$E:$ZZ, MATCH(A780, Cereal_Yield!$C:$C, 0), MATCH(B780, Cereal_Yield!$E$1:$ZZ$1, 0))</f>
        <v>4150.3999999999996</v>
      </c>
    </row>
    <row r="781" spans="1:10" x14ac:dyDescent="0.3">
      <c r="A781" t="s">
        <v>38</v>
      </c>
      <c r="B781" s="4">
        <v>2011</v>
      </c>
      <c r="C781" t="s">
        <v>48</v>
      </c>
      <c r="D781" s="8">
        <f>INDEX(GDP_pc!$E:$ZZ, MATCH(A781, GDP_pc!$C:$C, 0), MATCH(B781, GDP_pc!$E$1:$ZZ$1, 0))</f>
        <v>458199494830.83356</v>
      </c>
      <c r="E781">
        <f>INDEX(CH4_Em!$E:$ZZ, MATCH(A781, CH4_Em!$C:$C, 0), MATCH(B781, CH4_Em!$E$1:$ZZ$1, 0))</f>
        <v>28.359000000000002</v>
      </c>
      <c r="F781">
        <f>INDEX(N2O_Em!$E:$ZZ, MATCH(A781, N2O_Em!$C:$C, 0), MATCH(B781, N2O_Em!$E$1:$ZZ$1, 0))</f>
        <v>12.1343</v>
      </c>
      <c r="G781">
        <f>INDEX(CO2_Em!$E:$ZZ, MATCH(A781, CO2_Em!$C:$C, 0), MATCH(B781, CO2_Em!$E$1:$ZZ$1, 0))</f>
        <v>0.44309999999999999</v>
      </c>
      <c r="H781">
        <f>INDEX(Agri_VA!$E:$ZZ, MATCH(A781, Agri_VA!$C:$C, 0), MATCH(B781, Agri_VA!$E$1:$ZZ$1, 0))</f>
        <v>2.0438930862029685</v>
      </c>
      <c r="I781" s="6">
        <f>INDEX('Agri_land '!$E:$ZZ, MATCH(A781, 'Agri_land '!$C:$C, 0), MATCH(B781, 'Agri_land '!$E$1:$ZZ$1, 0))</f>
        <v>79.445053540957389</v>
      </c>
      <c r="J781">
        <f>INDEX(Cereal_Yield!$E:$ZZ, MATCH(A781, Cereal_Yield!$C:$C, 0), MATCH(B781, Cereal_Yield!$E$1:$ZZ$1, 0))</f>
        <v>4017</v>
      </c>
    </row>
    <row r="782" spans="1:10" x14ac:dyDescent="0.3">
      <c r="A782" t="s">
        <v>38</v>
      </c>
      <c r="B782" s="4">
        <v>2012</v>
      </c>
      <c r="C782" t="s">
        <v>48</v>
      </c>
      <c r="D782" s="8">
        <f>INDEX(GDP_pc!$E:$ZZ, MATCH(A782, GDP_pc!$C:$C, 0), MATCH(B782, GDP_pc!$E$1:$ZZ$1, 0))</f>
        <v>434400545085.8111</v>
      </c>
      <c r="E782">
        <f>INDEX(CH4_Em!$E:$ZZ, MATCH(A782, CH4_Em!$C:$C, 0), MATCH(B782, CH4_Em!$E$1:$ZZ$1, 0))</f>
        <v>28.856999999999999</v>
      </c>
      <c r="F782">
        <f>INDEX(N2O_Em!$E:$ZZ, MATCH(A782, N2O_Em!$C:$C, 0), MATCH(B782, N2O_Em!$E$1:$ZZ$1, 0))</f>
        <v>12.346399999999999</v>
      </c>
      <c r="G782">
        <f>INDEX(CO2_Em!$E:$ZZ, MATCH(A782, CO2_Em!$C:$C, 0), MATCH(B782, CO2_Em!$E$1:$ZZ$1, 0))</f>
        <v>0.48659999999999998</v>
      </c>
      <c r="H782">
        <f>INDEX(Agri_VA!$E:$ZZ, MATCH(A782, Agri_VA!$C:$C, 0), MATCH(B782, Agri_VA!$E$1:$ZZ$1, 0))</f>
        <v>1.9767095954636118</v>
      </c>
      <c r="I782" s="6">
        <f>INDEX('Agri_land '!$E:$ZZ, MATCH(A782, 'Agri_land '!$C:$C, 0), MATCH(B782, 'Agri_land '!$E$1:$ZZ$1, 0))</f>
        <v>79.417850283161187</v>
      </c>
      <c r="J782">
        <f>INDEX(Cereal_Yield!$E:$ZZ, MATCH(A782, Cereal_Yield!$C:$C, 0), MATCH(B782, Cereal_Yield!$E$1:$ZZ$1, 0))</f>
        <v>4243.5</v>
      </c>
    </row>
    <row r="783" spans="1:10" x14ac:dyDescent="0.3">
      <c r="A783" t="s">
        <v>38</v>
      </c>
      <c r="B783" s="4">
        <v>2013</v>
      </c>
      <c r="C783" t="s">
        <v>48</v>
      </c>
      <c r="D783" s="8">
        <f>INDEX(GDP_pc!$E:$ZZ, MATCH(A783, GDP_pc!$C:$C, 0), MATCH(B783, GDP_pc!$E$1:$ZZ$1, 0))</f>
        <v>400886013595.57318</v>
      </c>
      <c r="E783">
        <f>INDEX(CH4_Em!$E:$ZZ, MATCH(A783, CH4_Em!$C:$C, 0), MATCH(B783, CH4_Em!$E$1:$ZZ$1, 0))</f>
        <v>28.697800000000001</v>
      </c>
      <c r="F783">
        <f>INDEX(N2O_Em!$E:$ZZ, MATCH(A783, N2O_Em!$C:$C, 0), MATCH(B783, N2O_Em!$E$1:$ZZ$1, 0))</f>
        <v>12.351800000000001</v>
      </c>
      <c r="G783">
        <f>INDEX(CO2_Em!$E:$ZZ, MATCH(A783, CO2_Em!$C:$C, 0), MATCH(B783, CO2_Em!$E$1:$ZZ$1, 0))</f>
        <v>0.63919999999999999</v>
      </c>
      <c r="H783">
        <f>INDEX(Agri_VA!$E:$ZZ, MATCH(A783, Agri_VA!$C:$C, 0), MATCH(B783, Agri_VA!$E$1:$ZZ$1, 0))</f>
        <v>1.9268492459719893</v>
      </c>
      <c r="I783" s="6">
        <f>INDEX('Agri_land '!$E:$ZZ, MATCH(A783, 'Agri_land '!$C:$C, 0), MATCH(B783, 'Agri_land '!$E$1:$ZZ$1, 0))</f>
        <v>79.417850283161187</v>
      </c>
      <c r="J783">
        <f>INDEX(Cereal_Yield!$E:$ZZ, MATCH(A783, Cereal_Yield!$C:$C, 0), MATCH(B783, Cereal_Yield!$E$1:$ZZ$1, 0))</f>
        <v>4043</v>
      </c>
    </row>
    <row r="784" spans="1:10" x14ac:dyDescent="0.3">
      <c r="A784" t="s">
        <v>38</v>
      </c>
      <c r="B784" s="4">
        <v>2014</v>
      </c>
      <c r="C784" t="s">
        <v>48</v>
      </c>
      <c r="D784" s="8">
        <f>INDEX(GDP_pc!$E:$ZZ, MATCH(A784, GDP_pc!$C:$C, 0), MATCH(B784, GDP_pc!$E$1:$ZZ$1, 0))</f>
        <v>381198869776.10565</v>
      </c>
      <c r="E784">
        <f>INDEX(CH4_Em!$E:$ZZ, MATCH(A784, CH4_Em!$C:$C, 0), MATCH(B784, CH4_Em!$E$1:$ZZ$1, 0))</f>
        <v>28.818300000000001</v>
      </c>
      <c r="F784">
        <f>INDEX(N2O_Em!$E:$ZZ, MATCH(A784, N2O_Em!$C:$C, 0), MATCH(B784, N2O_Em!$E$1:$ZZ$1, 0))</f>
        <v>12.9612</v>
      </c>
      <c r="G784">
        <f>INDEX(CO2_Em!$E:$ZZ, MATCH(A784, CO2_Em!$C:$C, 0), MATCH(B784, CO2_Em!$E$1:$ZZ$1, 0))</f>
        <v>0.83499999999999996</v>
      </c>
      <c r="H784">
        <f>INDEX(Agri_VA!$E:$ZZ, MATCH(A784, Agri_VA!$C:$C, 0), MATCH(B784, Agri_VA!$E$1:$ZZ$1, 0))</f>
        <v>2.1257485486993635</v>
      </c>
      <c r="I784" s="6">
        <f>INDEX('Agri_land '!$E:$ZZ, MATCH(A784, 'Agri_land '!$C:$C, 0), MATCH(B784, 'Agri_land '!$E$1:$ZZ$1, 0))</f>
        <v>79.417850283161187</v>
      </c>
      <c r="J784">
        <f>INDEX(Cereal_Yield!$E:$ZZ, MATCH(A784, Cereal_Yield!$C:$C, 0), MATCH(B784, Cereal_Yield!$E$1:$ZZ$1, 0))</f>
        <v>4899.6000000000004</v>
      </c>
    </row>
    <row r="785" spans="1:10" x14ac:dyDescent="0.3">
      <c r="A785" t="s">
        <v>38</v>
      </c>
      <c r="B785" s="4">
        <v>2015</v>
      </c>
      <c r="C785" t="s">
        <v>48</v>
      </c>
      <c r="D785" s="8">
        <f>INDEX(GDP_pc!$E:$ZZ, MATCH(A785, GDP_pc!$C:$C, 0), MATCH(B785, GDP_pc!$E$1:$ZZ$1, 0))</f>
        <v>346709790458.56305</v>
      </c>
      <c r="E785">
        <f>INDEX(CH4_Em!$E:$ZZ, MATCH(A785, CH4_Em!$C:$C, 0), MATCH(B785, CH4_Em!$E$1:$ZZ$1, 0))</f>
        <v>28.4057</v>
      </c>
      <c r="F785">
        <f>INDEX(N2O_Em!$E:$ZZ, MATCH(A785, N2O_Em!$C:$C, 0), MATCH(B785, N2O_Em!$E$1:$ZZ$1, 0))</f>
        <v>12.084199999999999</v>
      </c>
      <c r="G785">
        <f>INDEX(CO2_Em!$E:$ZZ, MATCH(A785, CO2_Em!$C:$C, 0), MATCH(B785, CO2_Em!$E$1:$ZZ$1, 0))</f>
        <v>0.71120000000000005</v>
      </c>
      <c r="H785">
        <f>INDEX(Agri_VA!$E:$ZZ, MATCH(A785, Agri_VA!$C:$C, 0), MATCH(B785, Agri_VA!$E$1:$ZZ$1, 0))</f>
        <v>2.2339783904591188</v>
      </c>
      <c r="I785" s="6">
        <f>INDEX('Agri_land '!$E:$ZZ, MATCH(A785, 'Agri_land '!$C:$C, 0), MATCH(B785, 'Agri_land '!$E$1:$ZZ$1, 0))</f>
        <v>79.417850283161187</v>
      </c>
      <c r="J785">
        <f>INDEX(Cereal_Yield!$E:$ZZ, MATCH(A785, Cereal_Yield!$C:$C, 0), MATCH(B785, Cereal_Yield!$E$1:$ZZ$1, 0))</f>
        <v>3348.4</v>
      </c>
    </row>
    <row r="786" spans="1:10" x14ac:dyDescent="0.3">
      <c r="A786" t="s">
        <v>38</v>
      </c>
      <c r="B786" s="4">
        <v>2016</v>
      </c>
      <c r="C786" t="s">
        <v>48</v>
      </c>
      <c r="D786" s="8">
        <f>INDEX(GDP_pc!$E:$ZZ, MATCH(A786, GDP_pc!$C:$C, 0), MATCH(B786, GDP_pc!$E$1:$ZZ$1, 0))</f>
        <v>323585509674.48059</v>
      </c>
      <c r="E786">
        <f>INDEX(CH4_Em!$E:$ZZ, MATCH(A786, CH4_Em!$C:$C, 0), MATCH(B786, CH4_Em!$E$1:$ZZ$1, 0))</f>
        <v>27.7318</v>
      </c>
      <c r="F786">
        <f>INDEX(N2O_Em!$E:$ZZ, MATCH(A786, N2O_Em!$C:$C, 0), MATCH(B786, N2O_Em!$E$1:$ZZ$1, 0))</f>
        <v>12.343</v>
      </c>
      <c r="G786">
        <f>INDEX(CO2_Em!$E:$ZZ, MATCH(A786, CO2_Em!$C:$C, 0), MATCH(B786, CO2_Em!$E$1:$ZZ$1, 0))</f>
        <v>0.84089999999999998</v>
      </c>
      <c r="H786">
        <f>INDEX(Agri_VA!$E:$ZZ, MATCH(A786, Agri_VA!$C:$C, 0), MATCH(B786, Agri_VA!$E$1:$ZZ$1, 0))</f>
        <v>2.4141860739457619</v>
      </c>
      <c r="I786" s="6">
        <f>INDEX('Agri_land '!$E:$ZZ, MATCH(A786, 'Agri_land '!$C:$C, 0), MATCH(B786, 'Agri_land '!$E$1:$ZZ$1, 0))</f>
        <v>79.417850283161187</v>
      </c>
      <c r="J786">
        <f>INDEX(Cereal_Yield!$E:$ZZ, MATCH(A786, Cereal_Yield!$C:$C, 0), MATCH(B786, Cereal_Yield!$E$1:$ZZ$1, 0))</f>
        <v>3623.1</v>
      </c>
    </row>
    <row r="787" spans="1:10" x14ac:dyDescent="0.3">
      <c r="A787" t="s">
        <v>38</v>
      </c>
      <c r="B787" s="4">
        <v>2017</v>
      </c>
      <c r="C787" t="s">
        <v>48</v>
      </c>
      <c r="D787" s="8">
        <f>INDEX(GDP_pc!$E:$ZZ, MATCH(A787, GDP_pc!$C:$C, 0), MATCH(B787, GDP_pc!$E$1:$ZZ$1, 0))</f>
        <v>381448814653.45642</v>
      </c>
      <c r="E787">
        <f>INDEX(CH4_Em!$E:$ZZ, MATCH(A787, CH4_Em!$C:$C, 0), MATCH(B787, CH4_Em!$E$1:$ZZ$1, 0))</f>
        <v>27.198899999999998</v>
      </c>
      <c r="F787">
        <f>INDEX(N2O_Em!$E:$ZZ, MATCH(A787, N2O_Em!$C:$C, 0), MATCH(B787, N2O_Em!$E$1:$ZZ$1, 0))</f>
        <v>13.2087</v>
      </c>
      <c r="G787">
        <f>INDEX(CO2_Em!$E:$ZZ, MATCH(A787, CO2_Em!$C:$C, 0), MATCH(B787, CO2_Em!$E$1:$ZZ$1, 0))</f>
        <v>1.0881000000000001</v>
      </c>
      <c r="H787">
        <f>INDEX(Agri_VA!$E:$ZZ, MATCH(A787, Agri_VA!$C:$C, 0), MATCH(B787, Agri_VA!$E$1:$ZZ$1, 0))</f>
        <v>2.4937986384976569</v>
      </c>
      <c r="I787" s="6">
        <f>INDEX('Agri_land '!$E:$ZZ, MATCH(A787, 'Agri_land '!$C:$C, 0), MATCH(B787, 'Agri_land '!$E$1:$ZZ$1, 0))</f>
        <v>79.417850283161187</v>
      </c>
      <c r="J787">
        <f>INDEX(Cereal_Yield!$E:$ZZ, MATCH(A787, Cereal_Yield!$C:$C, 0), MATCH(B787, Cereal_Yield!$E$1:$ZZ$1, 0))</f>
        <v>5331.8</v>
      </c>
    </row>
    <row r="788" spans="1:10" x14ac:dyDescent="0.3">
      <c r="A788" t="s">
        <v>38</v>
      </c>
      <c r="B788" s="4">
        <v>2018</v>
      </c>
      <c r="C788" t="s">
        <v>48</v>
      </c>
      <c r="D788" s="8">
        <f>INDEX(GDP_pc!$E:$ZZ, MATCH(A788, GDP_pc!$C:$C, 0), MATCH(B788, GDP_pc!$E$1:$ZZ$1, 0))</f>
        <v>405260723892.51685</v>
      </c>
      <c r="E788">
        <f>INDEX(CH4_Em!$E:$ZZ, MATCH(A788, CH4_Em!$C:$C, 0), MATCH(B788, CH4_Em!$E$1:$ZZ$1, 0))</f>
        <v>26.793900000000001</v>
      </c>
      <c r="F788">
        <f>INDEX(N2O_Em!$E:$ZZ, MATCH(A788, N2O_Em!$C:$C, 0), MATCH(B788, N2O_Em!$E$1:$ZZ$1, 0))</f>
        <v>12.077299999999999</v>
      </c>
      <c r="G788">
        <f>INDEX(CO2_Em!$E:$ZZ, MATCH(A788, CO2_Em!$C:$C, 0), MATCH(B788, CO2_Em!$E$1:$ZZ$1, 0))</f>
        <v>0.89629999999999999</v>
      </c>
      <c r="H788">
        <f>INDEX(Agri_VA!$E:$ZZ, MATCH(A788, Agri_VA!$C:$C, 0), MATCH(B788, Agri_VA!$E$1:$ZZ$1, 0))</f>
        <v>2.2607038266991961</v>
      </c>
      <c r="I788" s="6">
        <f>INDEX('Agri_land '!$E:$ZZ, MATCH(A788, 'Agri_land '!$C:$C, 0), MATCH(B788, 'Agri_land '!$E$1:$ZZ$1, 0))</f>
        <v>79.417850283161187</v>
      </c>
      <c r="J788">
        <f>INDEX(Cereal_Yield!$E:$ZZ, MATCH(A788, Cereal_Yield!$C:$C, 0), MATCH(B788, Cereal_Yield!$E$1:$ZZ$1, 0))</f>
        <v>4651.8999999999996</v>
      </c>
    </row>
    <row r="789" spans="1:10" x14ac:dyDescent="0.3">
      <c r="A789" t="s">
        <v>38</v>
      </c>
      <c r="B789" s="4">
        <v>2019</v>
      </c>
      <c r="C789" t="s">
        <v>48</v>
      </c>
      <c r="D789" s="8">
        <f>INDEX(GDP_pc!$E:$ZZ, MATCH(A789, GDP_pc!$C:$C, 0), MATCH(B789, GDP_pc!$E$1:$ZZ$1, 0))</f>
        <v>389330032224.2691</v>
      </c>
      <c r="E789">
        <f>INDEX(CH4_Em!$E:$ZZ, MATCH(A789, CH4_Em!$C:$C, 0), MATCH(B789, CH4_Em!$E$1:$ZZ$1, 0))</f>
        <v>26.309899999999999</v>
      </c>
      <c r="F789">
        <f>INDEX(N2O_Em!$E:$ZZ, MATCH(A789, N2O_Em!$C:$C, 0), MATCH(B789, N2O_Em!$E$1:$ZZ$1, 0))</f>
        <v>11.5242</v>
      </c>
      <c r="G789">
        <f>INDEX(CO2_Em!$E:$ZZ, MATCH(A789, CO2_Em!$C:$C, 0), MATCH(B789, CO2_Em!$E$1:$ZZ$1, 0))</f>
        <v>0.77259999999999995</v>
      </c>
      <c r="H789">
        <f>INDEX(Agri_VA!$E:$ZZ, MATCH(A789, Agri_VA!$C:$C, 0), MATCH(B789, Agri_VA!$E$1:$ZZ$1, 0))</f>
        <v>1.9503211452697966</v>
      </c>
      <c r="I789" s="6">
        <f>INDEX('Agri_land '!$E:$ZZ, MATCH(A789, 'Agri_land '!$C:$C, 0), MATCH(B789, 'Agri_land '!$E$1:$ZZ$1, 0))</f>
        <v>79.417850283161187</v>
      </c>
      <c r="J789">
        <f>INDEX(Cereal_Yield!$E:$ZZ, MATCH(A789, Cereal_Yield!$C:$C, 0), MATCH(B789, Cereal_Yield!$E$1:$ZZ$1, 0))</f>
        <v>4101.6000000000004</v>
      </c>
    </row>
    <row r="790" spans="1:10" x14ac:dyDescent="0.3">
      <c r="A790" t="s">
        <v>38</v>
      </c>
      <c r="B790" s="4">
        <v>2020</v>
      </c>
      <c r="C790" t="s">
        <v>48</v>
      </c>
      <c r="D790" s="8">
        <f>INDEX(GDP_pc!$E:$ZZ, MATCH(A790, GDP_pc!$C:$C, 0), MATCH(B790, GDP_pc!$E$1:$ZZ$1, 0))</f>
        <v>337974655408.0553</v>
      </c>
      <c r="E790">
        <f>INDEX(CH4_Em!$E:$ZZ, MATCH(A790, CH4_Em!$C:$C, 0), MATCH(B790, CH4_Em!$E$1:$ZZ$1, 0))</f>
        <v>25.910299999999999</v>
      </c>
      <c r="F790">
        <f>INDEX(N2O_Em!$E:$ZZ, MATCH(A790, N2O_Em!$C:$C, 0), MATCH(B790, N2O_Em!$E$1:$ZZ$1, 0))</f>
        <v>12.1174</v>
      </c>
      <c r="G790">
        <f>INDEX(CO2_Em!$E:$ZZ, MATCH(A790, CO2_Em!$C:$C, 0), MATCH(B790, CO2_Em!$E$1:$ZZ$1, 0))</f>
        <v>0.96850000000000003</v>
      </c>
      <c r="H790">
        <f>INDEX(Agri_VA!$E:$ZZ, MATCH(A790, Agri_VA!$C:$C, 0), MATCH(B790, Agri_VA!$E$1:$ZZ$1, 0))</f>
        <v>2.5786612223878294</v>
      </c>
      <c r="I790" s="6">
        <f>INDEX('Agri_land '!$E:$ZZ, MATCH(A790, 'Agri_land '!$C:$C, 0), MATCH(B790, 'Agri_land '!$E$1:$ZZ$1, 0))</f>
        <v>79.417850283161187</v>
      </c>
      <c r="J790">
        <f>INDEX(Cereal_Yield!$E:$ZZ, MATCH(A790, Cereal_Yield!$C:$C, 0), MATCH(B790, Cereal_Yield!$E$1:$ZZ$1, 0))</f>
        <v>5121.8</v>
      </c>
    </row>
    <row r="791" spans="1:10" x14ac:dyDescent="0.3">
      <c r="A791" t="s">
        <v>38</v>
      </c>
      <c r="B791" s="4">
        <v>2021</v>
      </c>
      <c r="C791" t="s">
        <v>48</v>
      </c>
      <c r="D791" s="8">
        <f>INDEX(GDP_pc!$E:$ZZ, MATCH(A791, GDP_pc!$C:$C, 0), MATCH(B791, GDP_pc!$E$1:$ZZ$1, 0))</f>
        <v>419986284375.36835</v>
      </c>
      <c r="E791">
        <f>INDEX(CH4_Em!$E:$ZZ, MATCH(A791, CH4_Em!$C:$C, 0), MATCH(B791, CH4_Em!$E$1:$ZZ$1, 0))</f>
        <v>25.809699999999999</v>
      </c>
      <c r="F791">
        <f>INDEX(N2O_Em!$E:$ZZ, MATCH(A791, N2O_Em!$C:$C, 0), MATCH(B791, N2O_Em!$E$1:$ZZ$1, 0))</f>
        <v>13.4293</v>
      </c>
      <c r="G791">
        <f>INDEX(CO2_Em!$E:$ZZ, MATCH(A791, CO2_Em!$C:$C, 0), MATCH(B791, CO2_Em!$E$1:$ZZ$1, 0))</f>
        <v>1.4650000000000001</v>
      </c>
      <c r="H791">
        <f>INDEX(Agri_VA!$E:$ZZ, MATCH(A791, Agri_VA!$C:$C, 0), MATCH(B791, Agri_VA!$E$1:$ZZ$1, 0))</f>
        <v>2.4578719966737084</v>
      </c>
      <c r="I791" s="6">
        <f>INDEX('Agri_land '!$E:$ZZ, MATCH(A791, 'Agri_land '!$C:$C, 0), MATCH(B791, 'Agri_land '!$E$1:$ZZ$1, 0))</f>
        <v>79.417850283161187</v>
      </c>
      <c r="J791">
        <f>INDEX(Cereal_Yield!$E:$ZZ, MATCH(A791, Cereal_Yield!$C:$C, 0), MATCH(B791, Cereal_Yield!$E$1:$ZZ$1, 0))</f>
        <v>5504.7</v>
      </c>
    </row>
    <row r="792" spans="1:10" x14ac:dyDescent="0.3">
      <c r="A792" t="s">
        <v>38</v>
      </c>
      <c r="B792" s="4">
        <v>2022</v>
      </c>
      <c r="C792" t="s">
        <v>48</v>
      </c>
      <c r="D792" s="8">
        <f>INDEX(GDP_pc!$E:$ZZ, MATCH(A792, GDP_pc!$C:$C, 0), MATCH(B792, GDP_pc!$E$1:$ZZ$1, 0))</f>
        <v>407596043067.88525</v>
      </c>
      <c r="E792">
        <f>INDEX(CH4_Em!$E:$ZZ, MATCH(A792, CH4_Em!$C:$C, 0), MATCH(B792, CH4_Em!$E$1:$ZZ$1, 0))</f>
        <v>25.720300000000002</v>
      </c>
      <c r="F792">
        <f>INDEX(N2O_Em!$E:$ZZ, MATCH(A792, N2O_Em!$C:$C, 0), MATCH(B792, N2O_Em!$E$1:$ZZ$1, 0))</f>
        <v>12.7117</v>
      </c>
      <c r="G792">
        <f>INDEX(CO2_Em!$E:$ZZ, MATCH(A792, CO2_Em!$C:$C, 0), MATCH(B792, CO2_Em!$E$1:$ZZ$1, 0))</f>
        <v>1.2666999999999999</v>
      </c>
      <c r="H792">
        <f>INDEX(Agri_VA!$E:$ZZ, MATCH(A792, Agri_VA!$C:$C, 0), MATCH(B792, Agri_VA!$E$1:$ZZ$1, 0))</f>
        <v>2.6057748498561781</v>
      </c>
      <c r="I792" s="6">
        <f>INDEX('Agri_land '!$E:$ZZ, MATCH(A792, 'Agri_land '!$C:$C, 0), MATCH(B792, 'Agri_land '!$E$1:$ZZ$1, 0))</f>
        <v>79.417850283161187</v>
      </c>
      <c r="J792">
        <f>INDEX(Cereal_Yield!$E:$ZZ, MATCH(A792, Cereal_Yield!$C:$C, 0), MATCH(B792, Cereal_Yield!$E$1:$ZZ$1, 0))</f>
        <v>5326.8</v>
      </c>
    </row>
    <row r="793" spans="1:10" x14ac:dyDescent="0.3">
      <c r="A793" t="s">
        <v>38</v>
      </c>
      <c r="B793" s="4">
        <v>2023</v>
      </c>
      <c r="C793" t="s">
        <v>48</v>
      </c>
      <c r="D793" s="8">
        <f>INDEX(GDP_pc!$E:$ZZ, MATCH(A793, GDP_pc!$C:$C, 0), MATCH(B793, GDP_pc!$E$1:$ZZ$1, 0))</f>
        <v>381440724491.23163</v>
      </c>
      <c r="E793">
        <f>INDEX(CH4_Em!$E:$ZZ, MATCH(A793, CH4_Em!$C:$C, 0), MATCH(B793, CH4_Em!$E$1:$ZZ$1, 0))</f>
        <v>25.769100000000002</v>
      </c>
      <c r="F793">
        <f>INDEX(N2O_Em!$E:$ZZ, MATCH(A793, N2O_Em!$C:$C, 0), MATCH(B793, N2O_Em!$E$1:$ZZ$1, 0))</f>
        <v>12.7475</v>
      </c>
      <c r="G793">
        <f>INDEX(CO2_Em!$E:$ZZ, MATCH(A793, CO2_Em!$C:$C, 0), MATCH(B793, CO2_Em!$E$1:$ZZ$1, 0))</f>
        <v>1.2777000000000001</v>
      </c>
      <c r="H793">
        <f>INDEX(Agri_VA!$E:$ZZ, MATCH(A793, Agri_VA!$C:$C, 0), MATCH(B793, Agri_VA!$E$1:$ZZ$1, 0))</f>
        <v>2.5351711230984808</v>
      </c>
      <c r="I793" s="6">
        <f>INDEX('Agri_land '!$E:$ZZ, MATCH(A793, 'Agri_land '!$C:$C, 0), MATCH(B793, 'Agri_land '!$E$1:$ZZ$1, 0))</f>
        <v>79.417850283161187</v>
      </c>
      <c r="J793">
        <f>INDEX(Cereal_Yield!$E:$ZZ, MATCH(A793, Cereal_Yield!$C:$C, 0), MATCH(B793, Cereal_Yield!$E$1:$ZZ$1, 0))</f>
        <v>5726.1</v>
      </c>
    </row>
    <row r="794" spans="1:10" x14ac:dyDescent="0.3">
      <c r="A794" t="s">
        <v>39</v>
      </c>
      <c r="B794" s="4">
        <v>2000</v>
      </c>
      <c r="C794" t="s">
        <v>49</v>
      </c>
      <c r="D794" s="8">
        <f>INDEX(GDP_pc!$E:$ZZ, MATCH(A794, GDP_pc!$C:$C, 0), MATCH(B794, GDP_pc!$E$1:$ZZ$1, 0))</f>
        <v>598102854756.07971</v>
      </c>
      <c r="E794">
        <f>INDEX(CH4_Em!$E:$ZZ, MATCH(A794, CH4_Em!$C:$C, 0), MATCH(B794, CH4_Em!$E$1:$ZZ$1, 0))</f>
        <v>26.9678</v>
      </c>
      <c r="F794">
        <f>INDEX(N2O_Em!$E:$ZZ, MATCH(A794, N2O_Em!$C:$C, 0), MATCH(B794, N2O_Em!$E$1:$ZZ$1, 0))</f>
        <v>15.0943</v>
      </c>
      <c r="G794">
        <f>INDEX(CO2_Em!$E:$ZZ, MATCH(A794, CO2_Em!$C:$C, 0), MATCH(B794, CO2_Em!$E$1:$ZZ$1, 0))</f>
        <v>1.4489000000000001</v>
      </c>
      <c r="H794">
        <f>INDEX(Agri_VA!$E:$ZZ, MATCH(A794, Agri_VA!$C:$C, 0), MATCH(B794, Agri_VA!$E$1:$ZZ$1, 0))</f>
        <v>3.7443114170072995</v>
      </c>
      <c r="I794" s="6">
        <f>INDEX('Agri_land '!$E:$ZZ, MATCH(A794, 'Agri_land '!$C:$C, 0), MATCH(B794, 'Agri_land '!$E$1:$ZZ$1, 0))</f>
        <v>59.651302605210418</v>
      </c>
      <c r="J794">
        <f>INDEX(Cereal_Yield!$E:$ZZ, MATCH(A794, Cereal_Yield!$C:$C, 0), MATCH(B794, Cereal_Yield!$E$1:$ZZ$1, 0))</f>
        <v>3603.3</v>
      </c>
    </row>
    <row r="795" spans="1:10" x14ac:dyDescent="0.3">
      <c r="A795" t="s">
        <v>39</v>
      </c>
      <c r="B795" s="4">
        <v>2001</v>
      </c>
      <c r="C795" t="s">
        <v>49</v>
      </c>
      <c r="D795" s="8">
        <f>INDEX(GDP_pc!$E:$ZZ, MATCH(A795, GDP_pc!$C:$C, 0), MATCH(B795, GDP_pc!$E$1:$ZZ$1, 0))</f>
        <v>627798682378.74097</v>
      </c>
      <c r="E795">
        <f>INDEX(CH4_Em!$E:$ZZ, MATCH(A795, CH4_Em!$C:$C, 0), MATCH(B795, CH4_Em!$E$1:$ZZ$1, 0))</f>
        <v>27.408000000000001</v>
      </c>
      <c r="F795">
        <f>INDEX(N2O_Em!$E:$ZZ, MATCH(A795, N2O_Em!$C:$C, 0), MATCH(B795, N2O_Em!$E$1:$ZZ$1, 0))</f>
        <v>14.8576</v>
      </c>
      <c r="G795">
        <f>INDEX(CO2_Em!$E:$ZZ, MATCH(A795, CO2_Em!$C:$C, 0), MATCH(B795, CO2_Em!$E$1:$ZZ$1, 0))</f>
        <v>1.4482999999999999</v>
      </c>
      <c r="H795">
        <f>INDEX(Agri_VA!$E:$ZZ, MATCH(A795, Agri_VA!$C:$C, 0), MATCH(B795, Agri_VA!$E$1:$ZZ$1, 0))</f>
        <v>3.6742572308183945</v>
      </c>
      <c r="I795" s="6">
        <f>INDEX('Agri_land '!$E:$ZZ, MATCH(A795, 'Agri_land '!$C:$C, 0), MATCH(B795, 'Agri_land '!$E$1:$ZZ$1, 0))</f>
        <v>59.215277220572894</v>
      </c>
      <c r="J795">
        <f>INDEX(Cereal_Yield!$E:$ZZ, MATCH(A795, Cereal_Yield!$C:$C, 0), MATCH(B795, Cereal_Yield!$E$1:$ZZ$1, 0))</f>
        <v>2804.7</v>
      </c>
    </row>
    <row r="796" spans="1:10" x14ac:dyDescent="0.3">
      <c r="A796" t="s">
        <v>39</v>
      </c>
      <c r="B796" s="4">
        <v>2002</v>
      </c>
      <c r="C796" t="s">
        <v>49</v>
      </c>
      <c r="D796" s="8">
        <f>INDEX(GDP_pc!$E:$ZZ, MATCH(A796, GDP_pc!$C:$C, 0), MATCH(B796, GDP_pc!$E$1:$ZZ$1, 0))</f>
        <v>708938227243.92285</v>
      </c>
      <c r="E796">
        <f>INDEX(CH4_Em!$E:$ZZ, MATCH(A796, CH4_Em!$C:$C, 0), MATCH(B796, CH4_Em!$E$1:$ZZ$1, 0))</f>
        <v>27.8965</v>
      </c>
      <c r="F796">
        <f>INDEX(N2O_Em!$E:$ZZ, MATCH(A796, N2O_Em!$C:$C, 0), MATCH(B796, N2O_Em!$E$1:$ZZ$1, 0))</f>
        <v>15.0329</v>
      </c>
      <c r="G796">
        <f>INDEX(CO2_Em!$E:$ZZ, MATCH(A796, CO2_Em!$C:$C, 0), MATCH(B796, CO2_Em!$E$1:$ZZ$1, 0))</f>
        <v>1.4426000000000001</v>
      </c>
      <c r="H796">
        <f>INDEX(Agri_VA!$E:$ZZ, MATCH(A796, Agri_VA!$C:$C, 0), MATCH(B796, Agri_VA!$E$1:$ZZ$1, 0))</f>
        <v>3.4821218976077164</v>
      </c>
      <c r="I796" s="6">
        <f>INDEX('Agri_land '!$E:$ZZ, MATCH(A796, 'Agri_land '!$C:$C, 0), MATCH(B796, 'Agri_land '!$E$1:$ZZ$1, 0))</f>
        <v>58.951186277653086</v>
      </c>
      <c r="J796">
        <f>INDEX(Cereal_Yield!$E:$ZZ, MATCH(A796, Cereal_Yield!$C:$C, 0), MATCH(B796, Cereal_Yield!$E$1:$ZZ$1, 0))</f>
        <v>3222</v>
      </c>
    </row>
    <row r="797" spans="1:10" x14ac:dyDescent="0.3">
      <c r="A797" t="s">
        <v>39</v>
      </c>
      <c r="B797" s="4">
        <v>2003</v>
      </c>
      <c r="C797" t="s">
        <v>49</v>
      </c>
      <c r="D797" s="8">
        <f>INDEX(GDP_pc!$E:$ZZ, MATCH(A797, GDP_pc!$C:$C, 0), MATCH(B797, GDP_pc!$E$1:$ZZ$1, 0))</f>
        <v>907963217057.64514</v>
      </c>
      <c r="E797">
        <f>INDEX(CH4_Em!$E:$ZZ, MATCH(A797, CH4_Em!$C:$C, 0), MATCH(B797, CH4_Em!$E$1:$ZZ$1, 0))</f>
        <v>28.019300000000001</v>
      </c>
      <c r="F797">
        <f>INDEX(N2O_Em!$E:$ZZ, MATCH(A797, N2O_Em!$C:$C, 0), MATCH(B797, N2O_Em!$E$1:$ZZ$1, 0))</f>
        <v>15.5229</v>
      </c>
      <c r="G797">
        <f>INDEX(CO2_Em!$E:$ZZ, MATCH(A797, CO2_Em!$C:$C, 0), MATCH(B797, CO2_Em!$E$1:$ZZ$1, 0))</f>
        <v>1.5295000000000001</v>
      </c>
      <c r="H797">
        <f>INDEX(Agri_VA!$E:$ZZ, MATCH(A797, Agri_VA!$C:$C, 0), MATCH(B797, Agri_VA!$E$1:$ZZ$1, 0))</f>
        <v>3.4207775672338894</v>
      </c>
      <c r="I797" s="6">
        <f>INDEX('Agri_land '!$E:$ZZ, MATCH(A797, 'Agri_land '!$C:$C, 0), MATCH(B797, 'Agri_land '!$E$1:$ZZ$1, 0))</f>
        <v>58.398269265439396</v>
      </c>
      <c r="J797">
        <f>INDEX(Cereal_Yield!$E:$ZZ, MATCH(A797, Cereal_Yield!$C:$C, 0), MATCH(B797, Cereal_Yield!$E$1:$ZZ$1, 0))</f>
        <v>3250.7</v>
      </c>
    </row>
    <row r="798" spans="1:10" x14ac:dyDescent="0.3">
      <c r="A798" t="s">
        <v>39</v>
      </c>
      <c r="B798" s="4">
        <v>2004</v>
      </c>
      <c r="C798" t="s">
        <v>49</v>
      </c>
      <c r="D798" s="8">
        <f>INDEX(GDP_pc!$E:$ZZ, MATCH(A798, GDP_pc!$C:$C, 0), MATCH(B798, GDP_pc!$E$1:$ZZ$1, 0))</f>
        <v>1069829382514.6746</v>
      </c>
      <c r="E798">
        <f>INDEX(CH4_Em!$E:$ZZ, MATCH(A798, CH4_Em!$C:$C, 0), MATCH(B798, CH4_Em!$E$1:$ZZ$1, 0))</f>
        <v>28.189299999999999</v>
      </c>
      <c r="F798">
        <f>INDEX(N2O_Em!$E:$ZZ, MATCH(A798, N2O_Em!$C:$C, 0), MATCH(B798, N2O_Em!$E$1:$ZZ$1, 0))</f>
        <v>15.0525</v>
      </c>
      <c r="G798">
        <f>INDEX(CO2_Em!$E:$ZZ, MATCH(A798, CO2_Em!$C:$C, 0), MATCH(B798, CO2_Em!$E$1:$ZZ$1, 0))</f>
        <v>1.3740000000000001</v>
      </c>
      <c r="H798">
        <f>INDEX(Agri_VA!$E:$ZZ, MATCH(A798, Agri_VA!$C:$C, 0), MATCH(B798, Agri_VA!$E$1:$ZZ$1, 0))</f>
        <v>3.117809359590447</v>
      </c>
      <c r="I798" s="6">
        <f>INDEX('Agri_land '!$E:$ZZ, MATCH(A798, 'Agri_land '!$C:$C, 0), MATCH(B798, 'Agri_land '!$E$1:$ZZ$1, 0))</f>
        <v>58.237509515605588</v>
      </c>
      <c r="J798">
        <f>INDEX(Cereal_Yield!$E:$ZZ, MATCH(A798, Cereal_Yield!$C:$C, 0), MATCH(B798, Cereal_Yield!$E$1:$ZZ$1, 0))</f>
        <v>3750.1</v>
      </c>
    </row>
    <row r="799" spans="1:10" x14ac:dyDescent="0.3">
      <c r="A799" t="s">
        <v>39</v>
      </c>
      <c r="B799" s="4">
        <v>2005</v>
      </c>
      <c r="C799" t="s">
        <v>49</v>
      </c>
      <c r="D799" s="8">
        <f>INDEX(GDP_pc!$E:$ZZ, MATCH(A799, GDP_pc!$C:$C, 0), MATCH(B799, GDP_pc!$E$1:$ZZ$1, 0))</f>
        <v>1154667551775.875</v>
      </c>
      <c r="E799">
        <f>INDEX(CH4_Em!$E:$ZZ, MATCH(A799, CH4_Em!$C:$C, 0), MATCH(B799, CH4_Em!$E$1:$ZZ$1, 0))</f>
        <v>27.442499999999999</v>
      </c>
      <c r="F799">
        <f>INDEX(N2O_Em!$E:$ZZ, MATCH(A799, N2O_Em!$C:$C, 0), MATCH(B799, N2O_Em!$E$1:$ZZ$1, 0))</f>
        <v>14.0914</v>
      </c>
      <c r="G799">
        <f>INDEX(CO2_Em!$E:$ZZ, MATCH(A799, CO2_Em!$C:$C, 0), MATCH(B799, CO2_Em!$E$1:$ZZ$1, 0))</f>
        <v>1.2493000000000001</v>
      </c>
      <c r="H799">
        <f>INDEX(Agri_VA!$E:$ZZ, MATCH(A799, Agri_VA!$C:$C, 0), MATCH(B799, Agri_VA!$E$1:$ZZ$1, 0))</f>
        <v>2.75836581828682</v>
      </c>
      <c r="I799" s="6">
        <f>INDEX('Agri_land '!$E:$ZZ, MATCH(A799, 'Agri_land '!$C:$C, 0), MATCH(B799, 'Agri_land '!$E$1:$ZZ$1, 0))</f>
        <v>58.434350517942654</v>
      </c>
      <c r="J799">
        <f>INDEX(Cereal_Yield!$E:$ZZ, MATCH(A799, Cereal_Yield!$C:$C, 0), MATCH(B799, Cereal_Yield!$E$1:$ZZ$1, 0))</f>
        <v>2159.3000000000002</v>
      </c>
    </row>
    <row r="800" spans="1:10" x14ac:dyDescent="0.3">
      <c r="A800" t="s">
        <v>39</v>
      </c>
      <c r="B800" s="4">
        <v>2006</v>
      </c>
      <c r="C800" t="s">
        <v>49</v>
      </c>
      <c r="D800" s="8">
        <f>INDEX(GDP_pc!$E:$ZZ, MATCH(A800, GDP_pc!$C:$C, 0), MATCH(B800, GDP_pc!$E$1:$ZZ$1, 0))</f>
        <v>1261846683275.2922</v>
      </c>
      <c r="E800">
        <f>INDEX(CH4_Em!$E:$ZZ, MATCH(A800, CH4_Em!$C:$C, 0), MATCH(B800, CH4_Em!$E$1:$ZZ$1, 0))</f>
        <v>27.091100000000001</v>
      </c>
      <c r="F800">
        <f>INDEX(N2O_Em!$E:$ZZ, MATCH(A800, N2O_Em!$C:$C, 0), MATCH(B800, N2O_Em!$E$1:$ZZ$1, 0))</f>
        <v>14.1554</v>
      </c>
      <c r="G800">
        <f>INDEX(CO2_Em!$E:$ZZ, MATCH(A800, CO2_Em!$C:$C, 0), MATCH(B800, CO2_Em!$E$1:$ZZ$1, 0))</f>
        <v>1.1953</v>
      </c>
      <c r="H800">
        <f>INDEX(Agri_VA!$E:$ZZ, MATCH(A800, Agri_VA!$C:$C, 0), MATCH(B800, Agri_VA!$E$1:$ZZ$1, 0))</f>
        <v>2.4007538488481317</v>
      </c>
      <c r="I800" s="6">
        <f>INDEX('Agri_land '!$E:$ZZ, MATCH(A800, 'Agri_land '!$C:$C, 0), MATCH(B800, 'Agri_land '!$E$1:$ZZ$1, 0))</f>
        <v>57.342979678544225</v>
      </c>
      <c r="J800">
        <f>INDEX(Cereal_Yield!$E:$ZZ, MATCH(A800, Cereal_Yield!$C:$C, 0), MATCH(B800, Cereal_Yield!$E$1:$ZZ$1, 0))</f>
        <v>3028.2</v>
      </c>
    </row>
    <row r="801" spans="1:10" x14ac:dyDescent="0.3">
      <c r="A801" t="s">
        <v>39</v>
      </c>
      <c r="B801" s="4">
        <v>2007</v>
      </c>
      <c r="C801" t="s">
        <v>49</v>
      </c>
      <c r="D801" s="8">
        <f>INDEX(GDP_pc!$E:$ZZ, MATCH(A801, GDP_pc!$C:$C, 0), MATCH(B801, GDP_pc!$E$1:$ZZ$1, 0))</f>
        <v>1476746276854.5144</v>
      </c>
      <c r="E801">
        <f>INDEX(CH4_Em!$E:$ZZ, MATCH(A801, CH4_Em!$C:$C, 0), MATCH(B801, CH4_Em!$E$1:$ZZ$1, 0))</f>
        <v>27.75</v>
      </c>
      <c r="F801">
        <f>INDEX(N2O_Em!$E:$ZZ, MATCH(A801, N2O_Em!$C:$C, 0), MATCH(B801, N2O_Em!$E$1:$ZZ$1, 0))</f>
        <v>14.7844</v>
      </c>
      <c r="G801">
        <f>INDEX(CO2_Em!$E:$ZZ, MATCH(A801, CO2_Em!$C:$C, 0), MATCH(B801, CO2_Em!$E$1:$ZZ$1, 0))</f>
        <v>1.1222000000000001</v>
      </c>
      <c r="H801">
        <f>INDEX(Agri_VA!$E:$ZZ, MATCH(A801, Agri_VA!$C:$C, 0), MATCH(B801, Agri_VA!$E$1:$ZZ$1, 0))</f>
        <v>2.4946614560374036</v>
      </c>
      <c r="I801" s="6">
        <f>INDEX('Agri_land '!$E:$ZZ, MATCH(A801, 'Agri_land '!$C:$C, 0), MATCH(B801, 'Agri_land '!$E$1:$ZZ$1, 0))</f>
        <v>56.10787201218168</v>
      </c>
      <c r="J801">
        <f>INDEX(Cereal_Yield!$E:$ZZ, MATCH(A801, Cereal_Yield!$C:$C, 0), MATCH(B801, Cereal_Yield!$E$1:$ZZ$1, 0))</f>
        <v>3933.9</v>
      </c>
    </row>
    <row r="802" spans="1:10" x14ac:dyDescent="0.3">
      <c r="A802" t="s">
        <v>39</v>
      </c>
      <c r="B802" s="4">
        <v>2008</v>
      </c>
      <c r="C802" t="s">
        <v>49</v>
      </c>
      <c r="D802" s="8">
        <f>INDEX(GDP_pc!$E:$ZZ, MATCH(A802, GDP_pc!$C:$C, 0), MATCH(B802, GDP_pc!$E$1:$ZZ$1, 0))</f>
        <v>1636115447612.4995</v>
      </c>
      <c r="E802">
        <f>INDEX(CH4_Em!$E:$ZZ, MATCH(A802, CH4_Em!$C:$C, 0), MATCH(B802, CH4_Em!$E$1:$ZZ$1, 0))</f>
        <v>26.195599999999999</v>
      </c>
      <c r="F802">
        <f>INDEX(N2O_Em!$E:$ZZ, MATCH(A802, N2O_Em!$C:$C, 0), MATCH(B802, N2O_Em!$E$1:$ZZ$1, 0))</f>
        <v>13.0343</v>
      </c>
      <c r="G802">
        <f>INDEX(CO2_Em!$E:$ZZ, MATCH(A802, CO2_Em!$C:$C, 0), MATCH(B802, CO2_Em!$E$1:$ZZ$1, 0))</f>
        <v>0.99839999999999995</v>
      </c>
      <c r="H802">
        <f>INDEX(Agri_VA!$E:$ZZ, MATCH(A802, Agri_VA!$C:$C, 0), MATCH(B802, Agri_VA!$E$1:$ZZ$1, 0))</f>
        <v>2.3536719547801574</v>
      </c>
      <c r="I802" s="6">
        <f>INDEX('Agri_land '!$E:$ZZ, MATCH(A802, 'Agri_land '!$C:$C, 0), MATCH(B802, 'Agri_land '!$E$1:$ZZ$1, 0))</f>
        <v>56.419406575781871</v>
      </c>
      <c r="J802">
        <f>INDEX(Cereal_Yield!$E:$ZZ, MATCH(A802, Cereal_Yield!$C:$C, 0), MATCH(B802, Cereal_Yield!$E$1:$ZZ$1, 0))</f>
        <v>3573.5</v>
      </c>
    </row>
    <row r="803" spans="1:10" x14ac:dyDescent="0.3">
      <c r="A803" t="s">
        <v>39</v>
      </c>
      <c r="B803" s="4">
        <v>2009</v>
      </c>
      <c r="C803" t="s">
        <v>49</v>
      </c>
      <c r="D803" s="8">
        <f>INDEX(GDP_pc!$E:$ZZ, MATCH(A803, GDP_pc!$C:$C, 0), MATCH(B803, GDP_pc!$E$1:$ZZ$1, 0))</f>
        <v>1496587590847.6553</v>
      </c>
      <c r="E803">
        <f>INDEX(CH4_Em!$E:$ZZ, MATCH(A803, CH4_Em!$C:$C, 0), MATCH(B803, CH4_Em!$E$1:$ZZ$1, 0))</f>
        <v>26.515699999999999</v>
      </c>
      <c r="F803">
        <f>INDEX(N2O_Em!$E:$ZZ, MATCH(A803, N2O_Em!$C:$C, 0), MATCH(B803, N2O_Em!$E$1:$ZZ$1, 0))</f>
        <v>13.2691</v>
      </c>
      <c r="G803">
        <f>INDEX(CO2_Em!$E:$ZZ, MATCH(A803, CO2_Em!$C:$C, 0), MATCH(B803, CO2_Em!$E$1:$ZZ$1, 0))</f>
        <v>1.0068999999999999</v>
      </c>
      <c r="H803">
        <f>INDEX(Agri_VA!$E:$ZZ, MATCH(A803, Agri_VA!$C:$C, 0), MATCH(B803, Agri_VA!$E$1:$ZZ$1, 0))</f>
        <v>2.2496015806298288</v>
      </c>
      <c r="I803" s="6">
        <f>INDEX('Agri_land '!$E:$ZZ, MATCH(A803, 'Agri_land '!$C:$C, 0), MATCH(B803, 'Agri_land '!$E$1:$ZZ$1, 0))</f>
        <v>56.090322063129186</v>
      </c>
      <c r="J803">
        <f>INDEX(Cereal_Yield!$E:$ZZ, MATCH(A803, Cereal_Yield!$C:$C, 0), MATCH(B803, Cereal_Yield!$E$1:$ZZ$1, 0))</f>
        <v>2944.8</v>
      </c>
    </row>
    <row r="804" spans="1:10" x14ac:dyDescent="0.3">
      <c r="A804" t="s">
        <v>39</v>
      </c>
      <c r="B804" s="4">
        <v>2010</v>
      </c>
      <c r="C804" t="s">
        <v>49</v>
      </c>
      <c r="D804" s="8">
        <f>INDEX(GDP_pc!$E:$ZZ, MATCH(A804, GDP_pc!$C:$C, 0), MATCH(B804, GDP_pc!$E$1:$ZZ$1, 0))</f>
        <v>1427989078916.6694</v>
      </c>
      <c r="E804">
        <f>INDEX(CH4_Em!$E:$ZZ, MATCH(A804, CH4_Em!$C:$C, 0), MATCH(B804, CH4_Em!$E$1:$ZZ$1, 0))</f>
        <v>26.014500000000002</v>
      </c>
      <c r="F804">
        <f>INDEX(N2O_Em!$E:$ZZ, MATCH(A804, N2O_Em!$C:$C, 0), MATCH(B804, N2O_Em!$E$1:$ZZ$1, 0))</f>
        <v>14.106199999999999</v>
      </c>
      <c r="G804">
        <f>INDEX(CO2_Em!$E:$ZZ, MATCH(A804, CO2_Em!$C:$C, 0), MATCH(B804, CO2_Em!$E$1:$ZZ$1, 0))</f>
        <v>1.0381</v>
      </c>
      <c r="H804">
        <f>INDEX(Agri_VA!$E:$ZZ, MATCH(A804, Agri_VA!$C:$C, 0), MATCH(B804, Agri_VA!$E$1:$ZZ$1, 0))</f>
        <v>2.417408983934382</v>
      </c>
      <c r="I804" s="6">
        <f>INDEX('Agri_land '!$E:$ZZ, MATCH(A804, 'Agri_land '!$C:$C, 0), MATCH(B804, 'Agri_land '!$E$1:$ZZ$1, 0))</f>
        <v>55.088898222035553</v>
      </c>
      <c r="J804">
        <f>INDEX(Cereal_Yield!$E:$ZZ, MATCH(A804, Cereal_Yield!$C:$C, 0), MATCH(B804, Cereal_Yield!$E$1:$ZZ$1, 0))</f>
        <v>3291.5</v>
      </c>
    </row>
    <row r="805" spans="1:10" x14ac:dyDescent="0.3">
      <c r="A805" t="s">
        <v>39</v>
      </c>
      <c r="B805" s="4">
        <v>2011</v>
      </c>
      <c r="C805" t="s">
        <v>49</v>
      </c>
      <c r="D805" s="8">
        <f>INDEX(GDP_pc!$E:$ZZ, MATCH(A805, GDP_pc!$C:$C, 0), MATCH(B805, GDP_pc!$E$1:$ZZ$1, 0))</f>
        <v>1487568659241.248</v>
      </c>
      <c r="E805">
        <f>INDEX(CH4_Em!$E:$ZZ, MATCH(A805, CH4_Em!$C:$C, 0), MATCH(B805, CH4_Em!$E$1:$ZZ$1, 0))</f>
        <v>25.376000000000001</v>
      </c>
      <c r="F805">
        <f>INDEX(N2O_Em!$E:$ZZ, MATCH(A805, N2O_Em!$C:$C, 0), MATCH(B805, N2O_Em!$E$1:$ZZ$1, 0))</f>
        <v>13.199299999999999</v>
      </c>
      <c r="G805">
        <f>INDEX(CO2_Em!$E:$ZZ, MATCH(A805, CO2_Em!$C:$C, 0), MATCH(B805, CO2_Em!$E$1:$ZZ$1, 0))</f>
        <v>0.76619999999999999</v>
      </c>
      <c r="H805">
        <f>INDEX(Agri_VA!$E:$ZZ, MATCH(A805, Agri_VA!$C:$C, 0), MATCH(B805, Agri_VA!$E$1:$ZZ$1, 0))</f>
        <v>2.3625185975353005</v>
      </c>
      <c r="I805" s="6">
        <f>INDEX('Agri_land '!$E:$ZZ, MATCH(A805, 'Agri_land '!$C:$C, 0), MATCH(B805, 'Agri_land '!$E$1:$ZZ$1, 0))</f>
        <v>54.040969832759863</v>
      </c>
      <c r="J805">
        <f>INDEX(Cereal_Yield!$E:$ZZ, MATCH(A805, Cereal_Yield!$C:$C, 0), MATCH(B805, Cereal_Yield!$E$1:$ZZ$1, 0))</f>
        <v>3691.8</v>
      </c>
    </row>
    <row r="806" spans="1:10" x14ac:dyDescent="0.3">
      <c r="A806" t="s">
        <v>39</v>
      </c>
      <c r="B806" s="4">
        <v>2012</v>
      </c>
      <c r="C806" t="s">
        <v>49</v>
      </c>
      <c r="D806" s="8">
        <f>INDEX(GDP_pc!$E:$ZZ, MATCH(A806, GDP_pc!$C:$C, 0), MATCH(B806, GDP_pc!$E$1:$ZZ$1, 0))</f>
        <v>1330994811670.3127</v>
      </c>
      <c r="E806">
        <f>INDEX(CH4_Em!$E:$ZZ, MATCH(A806, CH4_Em!$C:$C, 0), MATCH(B806, CH4_Em!$E$1:$ZZ$1, 0))</f>
        <v>24.944500000000001</v>
      </c>
      <c r="F806">
        <f>INDEX(N2O_Em!$E:$ZZ, MATCH(A806, N2O_Em!$C:$C, 0), MATCH(B806, N2O_Em!$E$1:$ZZ$1, 0))</f>
        <v>13.6257</v>
      </c>
      <c r="G806">
        <f>INDEX(CO2_Em!$E:$ZZ, MATCH(A806, CO2_Em!$C:$C, 0), MATCH(B806, CO2_Em!$E$1:$ZZ$1, 0))</f>
        <v>1.0403</v>
      </c>
      <c r="H806">
        <f>INDEX(Agri_VA!$E:$ZZ, MATCH(A806, Agri_VA!$C:$C, 0), MATCH(B806, Agri_VA!$E$1:$ZZ$1, 0))</f>
        <v>2.3977667177623934</v>
      </c>
      <c r="I806" s="6">
        <f>INDEX('Agri_land '!$E:$ZZ, MATCH(A806, 'Agri_land '!$C:$C, 0), MATCH(B806, 'Agri_land '!$E$1:$ZZ$1, 0))</f>
        <v>53.861378221147113</v>
      </c>
      <c r="J806">
        <f>INDEX(Cereal_Yield!$E:$ZZ, MATCH(A806, Cereal_Yield!$C:$C, 0), MATCH(B806, Cereal_Yield!$E$1:$ZZ$1, 0))</f>
        <v>2842.5</v>
      </c>
    </row>
    <row r="807" spans="1:10" x14ac:dyDescent="0.3">
      <c r="A807" t="s">
        <v>39</v>
      </c>
      <c r="B807" s="4">
        <v>2013</v>
      </c>
      <c r="C807" t="s">
        <v>49</v>
      </c>
      <c r="D807" s="8">
        <f>INDEX(GDP_pc!$E:$ZZ, MATCH(A807, GDP_pc!$C:$C, 0), MATCH(B807, GDP_pc!$E$1:$ZZ$1, 0))</f>
        <v>1362186923157.6509</v>
      </c>
      <c r="E807">
        <f>INDEX(CH4_Em!$E:$ZZ, MATCH(A807, CH4_Em!$C:$C, 0), MATCH(B807, CH4_Em!$E$1:$ZZ$1, 0))</f>
        <v>25.029599999999999</v>
      </c>
      <c r="F807">
        <f>INDEX(N2O_Em!$E:$ZZ, MATCH(A807, N2O_Em!$C:$C, 0), MATCH(B807, N2O_Em!$E$1:$ZZ$1, 0))</f>
        <v>14.295299999999999</v>
      </c>
      <c r="G807">
        <f>INDEX(CO2_Em!$E:$ZZ, MATCH(A807, CO2_Em!$C:$C, 0), MATCH(B807, CO2_Em!$E$1:$ZZ$1, 0))</f>
        <v>1.1839999999999999</v>
      </c>
      <c r="H807">
        <f>INDEX(Agri_VA!$E:$ZZ, MATCH(A807, Agri_VA!$C:$C, 0), MATCH(B807, Agri_VA!$E$1:$ZZ$1, 0))</f>
        <v>2.6094620787557572</v>
      </c>
      <c r="I807" s="6">
        <f>INDEX('Agri_land '!$E:$ZZ, MATCH(A807, 'Agri_land '!$C:$C, 0), MATCH(B807, 'Agri_land '!$E$1:$ZZ$1, 0))</f>
        <v>53.443953539513402</v>
      </c>
      <c r="J807">
        <f>INDEX(Cereal_Yield!$E:$ZZ, MATCH(A807, Cereal_Yield!$C:$C, 0), MATCH(B807, Cereal_Yield!$E$1:$ZZ$1, 0))</f>
        <v>4047.1</v>
      </c>
    </row>
    <row r="808" spans="1:10" x14ac:dyDescent="0.3">
      <c r="A808" t="s">
        <v>39</v>
      </c>
      <c r="B808" s="4">
        <v>2014</v>
      </c>
      <c r="C808" t="s">
        <v>49</v>
      </c>
      <c r="D808" s="8">
        <f>INDEX(GDP_pc!$E:$ZZ, MATCH(A808, GDP_pc!$C:$C, 0), MATCH(B808, GDP_pc!$E$1:$ZZ$1, 0))</f>
        <v>1380244561361.9561</v>
      </c>
      <c r="E808">
        <f>INDEX(CH4_Em!$E:$ZZ, MATCH(A808, CH4_Em!$C:$C, 0), MATCH(B808, CH4_Em!$E$1:$ZZ$1, 0))</f>
        <v>25.805</v>
      </c>
      <c r="F808">
        <f>INDEX(N2O_Em!$E:$ZZ, MATCH(A808, N2O_Em!$C:$C, 0), MATCH(B808, N2O_Em!$E$1:$ZZ$1, 0))</f>
        <v>14.241400000000001</v>
      </c>
      <c r="G808">
        <f>INDEX(CO2_Em!$E:$ZZ, MATCH(A808, CO2_Em!$C:$C, 0), MATCH(B808, CO2_Em!$E$1:$ZZ$1, 0))</f>
        <v>1.1807000000000001</v>
      </c>
      <c r="H808">
        <f>INDEX(Agri_VA!$E:$ZZ, MATCH(A808, Agri_VA!$C:$C, 0), MATCH(B808, Agri_VA!$E$1:$ZZ$1, 0))</f>
        <v>2.5269767813434538</v>
      </c>
      <c r="I808" s="6">
        <f>INDEX('Agri_land '!$E:$ZZ, MATCH(A808, 'Agri_land '!$C:$C, 0), MATCH(B808, 'Agri_land '!$E$1:$ZZ$1, 0))</f>
        <v>53.133683852781829</v>
      </c>
      <c r="J808">
        <f>INDEX(Cereal_Yield!$E:$ZZ, MATCH(A808, Cereal_Yield!$C:$C, 0), MATCH(B808, Cereal_Yield!$E$1:$ZZ$1, 0))</f>
        <v>3248.5</v>
      </c>
    </row>
    <row r="809" spans="1:10" x14ac:dyDescent="0.3">
      <c r="A809" t="s">
        <v>39</v>
      </c>
      <c r="B809" s="4">
        <v>2015</v>
      </c>
      <c r="C809" t="s">
        <v>49</v>
      </c>
      <c r="D809" s="8">
        <f>INDEX(GDP_pc!$E:$ZZ, MATCH(A809, GDP_pc!$C:$C, 0), MATCH(B809, GDP_pc!$E$1:$ZZ$1, 0))</f>
        <v>1206164777553.1243</v>
      </c>
      <c r="E809">
        <f>INDEX(CH4_Em!$E:$ZZ, MATCH(A809, CH4_Em!$C:$C, 0), MATCH(B809, CH4_Em!$E$1:$ZZ$1, 0))</f>
        <v>26.967400000000001</v>
      </c>
      <c r="F809">
        <f>INDEX(N2O_Em!$E:$ZZ, MATCH(A809, N2O_Em!$C:$C, 0), MATCH(B809, N2O_Em!$E$1:$ZZ$1, 0))</f>
        <v>14.428100000000001</v>
      </c>
      <c r="G809">
        <f>INDEX(CO2_Em!$E:$ZZ, MATCH(A809, CO2_Em!$C:$C, 0), MATCH(B809, CO2_Em!$E$1:$ZZ$1, 0))</f>
        <v>1.0817000000000001</v>
      </c>
      <c r="H809">
        <f>INDEX(Agri_VA!$E:$ZZ, MATCH(A809, Agri_VA!$C:$C, 0), MATCH(B809, Agri_VA!$E$1:$ZZ$1, 0))</f>
        <v>2.7232704633929163</v>
      </c>
      <c r="I809" s="6">
        <f>INDEX('Agri_land '!$E:$ZZ, MATCH(A809, 'Agri_land '!$C:$C, 0), MATCH(B809, 'Agri_land '!$E$1:$ZZ$1, 0))</f>
        <v>53.189062184160861</v>
      </c>
      <c r="J809">
        <f>INDEX(Cereal_Yield!$E:$ZZ, MATCH(A809, Cereal_Yield!$C:$C, 0), MATCH(B809, Cereal_Yield!$E$1:$ZZ$1, 0))</f>
        <v>3243.1</v>
      </c>
    </row>
    <row r="810" spans="1:10" x14ac:dyDescent="0.3">
      <c r="A810" t="s">
        <v>39</v>
      </c>
      <c r="B810" s="4">
        <v>2016</v>
      </c>
      <c r="C810" t="s">
        <v>49</v>
      </c>
      <c r="D810" s="8">
        <f>INDEX(GDP_pc!$E:$ZZ, MATCH(A810, GDP_pc!$C:$C, 0), MATCH(B810, GDP_pc!$E$1:$ZZ$1, 0))</f>
        <v>1243015667917.1238</v>
      </c>
      <c r="E810">
        <f>INDEX(CH4_Em!$E:$ZZ, MATCH(A810, CH4_Em!$C:$C, 0), MATCH(B810, CH4_Em!$E$1:$ZZ$1, 0))</f>
        <v>27.116299999999999</v>
      </c>
      <c r="F810">
        <f>INDEX(N2O_Em!$E:$ZZ, MATCH(A810, N2O_Em!$C:$C, 0), MATCH(B810, N2O_Em!$E$1:$ZZ$1, 0))</f>
        <v>14.8773</v>
      </c>
      <c r="G810">
        <f>INDEX(CO2_Em!$E:$ZZ, MATCH(A810, CO2_Em!$C:$C, 0), MATCH(B810, CO2_Em!$E$1:$ZZ$1, 0))</f>
        <v>1.2</v>
      </c>
      <c r="H810">
        <f>INDEX(Agri_VA!$E:$ZZ, MATCH(A810, Agri_VA!$C:$C, 0), MATCH(B810, Agri_VA!$E$1:$ZZ$1, 0))</f>
        <v>2.815220750030945</v>
      </c>
      <c r="I810" s="6">
        <f>INDEX('Agri_land '!$E:$ZZ, MATCH(A810, 'Agri_land '!$C:$C, 0), MATCH(B810, 'Agri_land '!$E$1:$ZZ$1, 0))</f>
        <v>52.577247359697651</v>
      </c>
      <c r="J810">
        <f>INDEX(Cereal_Yield!$E:$ZZ, MATCH(A810, Cereal_Yield!$C:$C, 0), MATCH(B810, Cereal_Yield!$E$1:$ZZ$1, 0))</f>
        <v>3877.8</v>
      </c>
    </row>
    <row r="811" spans="1:10" x14ac:dyDescent="0.3">
      <c r="A811" t="s">
        <v>39</v>
      </c>
      <c r="B811" s="4">
        <v>2017</v>
      </c>
      <c r="C811" t="s">
        <v>49</v>
      </c>
      <c r="D811" s="8">
        <f>INDEX(GDP_pc!$E:$ZZ, MATCH(A811, GDP_pc!$C:$C, 0), MATCH(B811, GDP_pc!$E$1:$ZZ$1, 0))</f>
        <v>1321754088818.8259</v>
      </c>
      <c r="E811">
        <f>INDEX(CH4_Em!$E:$ZZ, MATCH(A811, CH4_Em!$C:$C, 0), MATCH(B811, CH4_Em!$E$1:$ZZ$1, 0))</f>
        <v>27.457599999999999</v>
      </c>
      <c r="F811">
        <f>INDEX(N2O_Em!$E:$ZZ, MATCH(A811, N2O_Em!$C:$C, 0), MATCH(B811, N2O_Em!$E$1:$ZZ$1, 0))</f>
        <v>15.129799999999999</v>
      </c>
      <c r="G811">
        <f>INDEX(CO2_Em!$E:$ZZ, MATCH(A811, CO2_Em!$C:$C, 0), MATCH(B811, CO2_Em!$E$1:$ZZ$1, 0))</f>
        <v>1.4326000000000001</v>
      </c>
      <c r="H811">
        <f>INDEX(Agri_VA!$E:$ZZ, MATCH(A811, Agri_VA!$C:$C, 0), MATCH(B811, Agri_VA!$E$1:$ZZ$1, 0))</f>
        <v>2.8034467669039267</v>
      </c>
      <c r="I811" s="6">
        <f>INDEX('Agri_land '!$E:$ZZ, MATCH(A811, 'Agri_land '!$C:$C, 0), MATCH(B811, 'Agri_land '!$E$1:$ZZ$1, 0))</f>
        <v>52.638713827628145</v>
      </c>
      <c r="J811">
        <f>INDEX(Cereal_Yield!$E:$ZZ, MATCH(A811, Cereal_Yield!$C:$C, 0), MATCH(B811, Cereal_Yield!$E$1:$ZZ$1, 0))</f>
        <v>2770.2</v>
      </c>
    </row>
    <row r="812" spans="1:10" x14ac:dyDescent="0.3">
      <c r="A812" t="s">
        <v>39</v>
      </c>
      <c r="B812" s="4">
        <v>2018</v>
      </c>
      <c r="C812" t="s">
        <v>49</v>
      </c>
      <c r="D812" s="8">
        <f>INDEX(GDP_pc!$E:$ZZ, MATCH(A812, GDP_pc!$C:$C, 0), MATCH(B812, GDP_pc!$E$1:$ZZ$1, 0))</f>
        <v>1431642809327.0579</v>
      </c>
      <c r="E812">
        <f>INDEX(CH4_Em!$E:$ZZ, MATCH(A812, CH4_Em!$C:$C, 0), MATCH(B812, CH4_Em!$E$1:$ZZ$1, 0))</f>
        <v>27.814499999999999</v>
      </c>
      <c r="F812">
        <f>INDEX(N2O_Em!$E:$ZZ, MATCH(A812, N2O_Em!$C:$C, 0), MATCH(B812, N2O_Em!$E$1:$ZZ$1, 0))</f>
        <v>15.328099999999999</v>
      </c>
      <c r="G812">
        <f>INDEX(CO2_Em!$E:$ZZ, MATCH(A812, CO2_Em!$C:$C, 0), MATCH(B812, CO2_Em!$E$1:$ZZ$1, 0))</f>
        <v>1.1069</v>
      </c>
      <c r="H812">
        <f>INDEX(Agri_VA!$E:$ZZ, MATCH(A812, Agri_VA!$C:$C, 0), MATCH(B812, Agri_VA!$E$1:$ZZ$1, 0))</f>
        <v>2.7012825462188479</v>
      </c>
      <c r="I812" s="6">
        <f>INDEX('Agri_land '!$E:$ZZ, MATCH(A812, 'Agri_land '!$C:$C, 0), MATCH(B812, 'Agri_land '!$E$1:$ZZ$1, 0))</f>
        <v>52.408209711445984</v>
      </c>
      <c r="J812">
        <f>INDEX(Cereal_Yield!$E:$ZZ, MATCH(A812, Cereal_Yield!$C:$C, 0), MATCH(B812, Cereal_Yield!$E$1:$ZZ$1, 0))</f>
        <v>4205.5</v>
      </c>
    </row>
    <row r="813" spans="1:10" x14ac:dyDescent="0.3">
      <c r="A813" t="s">
        <v>39</v>
      </c>
      <c r="B813" s="4">
        <v>2019</v>
      </c>
      <c r="C813" t="s">
        <v>49</v>
      </c>
      <c r="D813" s="8">
        <f>INDEX(GDP_pc!$E:$ZZ, MATCH(A813, GDP_pc!$C:$C, 0), MATCH(B813, GDP_pc!$E$1:$ZZ$1, 0))</f>
        <v>1403496387686.2722</v>
      </c>
      <c r="E813">
        <f>INDEX(CH4_Em!$E:$ZZ, MATCH(A813, CH4_Em!$C:$C, 0), MATCH(B813, CH4_Em!$E$1:$ZZ$1, 0))</f>
        <v>27.982299999999999</v>
      </c>
      <c r="F813">
        <f>INDEX(N2O_Em!$E:$ZZ, MATCH(A813, N2O_Em!$C:$C, 0), MATCH(B813, N2O_Em!$E$1:$ZZ$1, 0))</f>
        <v>15.021800000000001</v>
      </c>
      <c r="G813">
        <f>INDEX(CO2_Em!$E:$ZZ, MATCH(A813, CO2_Em!$C:$C, 0), MATCH(B813, CO2_Em!$E$1:$ZZ$1, 0))</f>
        <v>1.1295999999999999</v>
      </c>
      <c r="H813">
        <f>INDEX(Agri_VA!$E:$ZZ, MATCH(A813, Agri_VA!$C:$C, 0), MATCH(B813, Agri_VA!$E$1:$ZZ$1, 0))</f>
        <v>2.5198012299495098</v>
      </c>
      <c r="I813" s="6">
        <f>INDEX('Agri_land '!$E:$ZZ, MATCH(A813, 'Agri_land '!$C:$C, 0), MATCH(B813, 'Agri_land '!$E$1:$ZZ$1, 0))</f>
        <v>52.458491725872847</v>
      </c>
      <c r="J813">
        <f>INDEX(Cereal_Yield!$E:$ZZ, MATCH(A813, Cereal_Yield!$C:$C, 0), MATCH(B813, Cereal_Yield!$E$1:$ZZ$1, 0))</f>
        <v>3445.5</v>
      </c>
    </row>
    <row r="814" spans="1:10" x14ac:dyDescent="0.3">
      <c r="A814" t="s">
        <v>39</v>
      </c>
      <c r="B814" s="4">
        <v>2020</v>
      </c>
      <c r="C814" t="s">
        <v>49</v>
      </c>
      <c r="D814" s="8">
        <f>INDEX(GDP_pc!$E:$ZZ, MATCH(A814, GDP_pc!$C:$C, 0), MATCH(B814, GDP_pc!$E$1:$ZZ$1, 0))</f>
        <v>1289783836971.2097</v>
      </c>
      <c r="E814">
        <f>INDEX(CH4_Em!$E:$ZZ, MATCH(A814, CH4_Em!$C:$C, 0), MATCH(B814, CH4_Em!$E$1:$ZZ$1, 0))</f>
        <v>28.439900000000002</v>
      </c>
      <c r="F814">
        <f>INDEX(N2O_Em!$E:$ZZ, MATCH(A814, N2O_Em!$C:$C, 0), MATCH(B814, N2O_Em!$E$1:$ZZ$1, 0))</f>
        <v>15.3492</v>
      </c>
      <c r="G814">
        <f>INDEX(CO2_Em!$E:$ZZ, MATCH(A814, CO2_Em!$C:$C, 0), MATCH(B814, CO2_Em!$E$1:$ZZ$1, 0))</f>
        <v>1.337</v>
      </c>
      <c r="H814">
        <f>INDEX(Agri_VA!$E:$ZZ, MATCH(A814, Agri_VA!$C:$C, 0), MATCH(B814, Agri_VA!$E$1:$ZZ$1, 0))</f>
        <v>2.7846803174597552</v>
      </c>
      <c r="I814" s="6">
        <f>INDEX('Agri_land '!$E:$ZZ, MATCH(A814, 'Agri_land '!$C:$C, 0), MATCH(B814, 'Agri_land '!$E$1:$ZZ$1, 0))</f>
        <v>52.331679223284077</v>
      </c>
      <c r="J814">
        <f>INDEX(Cereal_Yield!$E:$ZZ, MATCH(A814, Cereal_Yield!$C:$C, 0), MATCH(B814, Cereal_Yield!$E$1:$ZZ$1, 0))</f>
        <v>4501.5</v>
      </c>
    </row>
    <row r="815" spans="1:10" x14ac:dyDescent="0.3">
      <c r="A815" t="s">
        <v>39</v>
      </c>
      <c r="B815" s="4">
        <v>2021</v>
      </c>
      <c r="C815" t="s">
        <v>49</v>
      </c>
      <c r="D815" s="8">
        <f>INDEX(GDP_pc!$E:$ZZ, MATCH(A815, GDP_pc!$C:$C, 0), MATCH(B815, GDP_pc!$E$1:$ZZ$1, 0))</f>
        <v>1461244901852.6897</v>
      </c>
      <c r="E815">
        <f>INDEX(CH4_Em!$E:$ZZ, MATCH(A815, CH4_Em!$C:$C, 0), MATCH(B815, CH4_Em!$E$1:$ZZ$1, 0))</f>
        <v>28.634799999999998</v>
      </c>
      <c r="F815">
        <f>INDEX(N2O_Em!$E:$ZZ, MATCH(A815, N2O_Em!$C:$C, 0), MATCH(B815, N2O_Em!$E$1:$ZZ$1, 0))</f>
        <v>14.443</v>
      </c>
      <c r="G815">
        <f>INDEX(CO2_Em!$E:$ZZ, MATCH(A815, CO2_Em!$C:$C, 0), MATCH(B815, CO2_Em!$E$1:$ZZ$1, 0))</f>
        <v>0.9788</v>
      </c>
      <c r="H815">
        <f>INDEX(Agri_VA!$E:$ZZ, MATCH(A815, Agri_VA!$C:$C, 0), MATCH(B815, Agri_VA!$E$1:$ZZ$1, 0))</f>
        <v>2.7682492711299469</v>
      </c>
      <c r="I815" s="6">
        <f>INDEX('Agri_land '!$E:$ZZ, MATCH(A815, 'Agri_land '!$C:$C, 0), MATCH(B815, 'Agri_land '!$E$1:$ZZ$1, 0))</f>
        <v>52.484894120832195</v>
      </c>
      <c r="J815">
        <f>INDEX(Cereal_Yield!$E:$ZZ, MATCH(A815, Cereal_Yield!$C:$C, 0), MATCH(B815, Cereal_Yield!$E$1:$ZZ$1, 0))</f>
        <v>4227.3999999999996</v>
      </c>
    </row>
    <row r="816" spans="1:10" x14ac:dyDescent="0.3">
      <c r="A816" t="s">
        <v>39</v>
      </c>
      <c r="B816" s="4">
        <v>2022</v>
      </c>
      <c r="C816" t="s">
        <v>49</v>
      </c>
      <c r="D816" s="8">
        <f>INDEX(GDP_pc!$E:$ZZ, MATCH(A816, GDP_pc!$C:$C, 0), MATCH(B816, GDP_pc!$E$1:$ZZ$1, 0))</f>
        <v>1448850658406.6204</v>
      </c>
      <c r="E816">
        <f>INDEX(CH4_Em!$E:$ZZ, MATCH(A816, CH4_Em!$C:$C, 0), MATCH(B816, CH4_Em!$E$1:$ZZ$1, 0))</f>
        <v>28.082699999999999</v>
      </c>
      <c r="F816">
        <f>INDEX(N2O_Em!$E:$ZZ, MATCH(A816, N2O_Em!$C:$C, 0), MATCH(B816, N2O_Em!$E$1:$ZZ$1, 0))</f>
        <v>13.829599999999999</v>
      </c>
      <c r="G816">
        <f>INDEX(CO2_Em!$E:$ZZ, MATCH(A816, CO2_Em!$C:$C, 0), MATCH(B816, CO2_Em!$E$1:$ZZ$1, 0))</f>
        <v>1.0528</v>
      </c>
      <c r="H816">
        <f>INDEX(Agri_VA!$E:$ZZ, MATCH(A816, Agri_VA!$C:$C, 0), MATCH(B816, Agri_VA!$E$1:$ZZ$1, 0))</f>
        <v>2.3696400004942353</v>
      </c>
      <c r="I816" s="6">
        <f>INDEX('Agri_land '!$E:$ZZ, MATCH(A816, 'Agri_land '!$C:$C, 0), MATCH(B816, 'Agri_land '!$E$1:$ZZ$1, 0))</f>
        <v>53.357281006681099</v>
      </c>
      <c r="J816">
        <f>INDEX(Cereal_Yield!$E:$ZZ, MATCH(A816, Cereal_Yield!$C:$C, 0), MATCH(B816, Cereal_Yield!$E$1:$ZZ$1, 0))</f>
        <v>3307.4</v>
      </c>
    </row>
    <row r="817" spans="1:10" x14ac:dyDescent="0.3">
      <c r="A817" t="s">
        <v>39</v>
      </c>
      <c r="B817" s="4">
        <v>2023</v>
      </c>
      <c r="C817" t="s">
        <v>49</v>
      </c>
      <c r="D817" s="8">
        <f>INDEX(GDP_pc!$E:$ZZ, MATCH(A817, GDP_pc!$C:$C, 0), MATCH(B817, GDP_pc!$E$1:$ZZ$1, 0))</f>
        <v>1619481980719.6365</v>
      </c>
      <c r="E817">
        <f>INDEX(CH4_Em!$E:$ZZ, MATCH(A817, CH4_Em!$C:$C, 0), MATCH(B817, CH4_Em!$E$1:$ZZ$1, 0))</f>
        <v>27.471299999999999</v>
      </c>
      <c r="F817">
        <f>INDEX(N2O_Em!$E:$ZZ, MATCH(A817, N2O_Em!$C:$C, 0), MATCH(B817, N2O_Em!$E$1:$ZZ$1, 0))</f>
        <v>13.0749</v>
      </c>
      <c r="G817">
        <f>INDEX(CO2_Em!$E:$ZZ, MATCH(A817, CO2_Em!$C:$C, 0), MATCH(B817, CO2_Em!$E$1:$ZZ$1, 0))</f>
        <v>1.0368999999999999</v>
      </c>
      <c r="H817">
        <f>INDEX(Agri_VA!$E:$ZZ, MATCH(A817, Agri_VA!$C:$C, 0), MATCH(B817, Agri_VA!$E$1:$ZZ$1, 0))</f>
        <v>2.6062235563617961</v>
      </c>
      <c r="I817" s="6">
        <f>INDEX('Agri_land '!$E:$ZZ, MATCH(A817, 'Agri_land '!$C:$C, 0), MATCH(B817, 'Agri_land '!$E$1:$ZZ$1, 0))</f>
        <v>49.575326987893071</v>
      </c>
      <c r="J817">
        <f>INDEX(Cereal_Yield!$E:$ZZ, MATCH(A817, Cereal_Yield!$C:$C, 0), MATCH(B817, Cereal_Yield!$E$1:$ZZ$1, 0))</f>
        <v>2190.9</v>
      </c>
    </row>
    <row r="818" spans="1:10" x14ac:dyDescent="0.3">
      <c r="A818" t="s">
        <v>40</v>
      </c>
      <c r="B818" s="4">
        <v>2000</v>
      </c>
      <c r="C818" t="s">
        <v>49</v>
      </c>
      <c r="D818" s="8">
        <f>INDEX(GDP_pc!$E:$ZZ, MATCH(A818, GDP_pc!$C:$C, 0), MATCH(B818, GDP_pc!$E$1:$ZZ$1, 0))</f>
        <v>262903560280.28201</v>
      </c>
      <c r="E818">
        <f>INDEX(CH4_Em!$E:$ZZ, MATCH(A818, CH4_Em!$C:$C, 0), MATCH(B818, CH4_Em!$E$1:$ZZ$1, 0))</f>
        <v>4.4340000000000002</v>
      </c>
      <c r="F818">
        <f>INDEX(N2O_Em!$E:$ZZ, MATCH(A818, N2O_Em!$C:$C, 0), MATCH(B818, N2O_Em!$E$1:$ZZ$1, 0))</f>
        <v>3.9169</v>
      </c>
      <c r="G818">
        <f>INDEX(CO2_Em!$E:$ZZ, MATCH(A818, CO2_Em!$C:$C, 0), MATCH(B818, CO2_Em!$E$1:$ZZ$1, 0))</f>
        <v>5.0299999999999997E-2</v>
      </c>
      <c r="H818">
        <f>INDEX(Agri_VA!$E:$ZZ, MATCH(A818, Agri_VA!$C:$C, 0), MATCH(B818, Agri_VA!$E$1:$ZZ$1, 0))</f>
        <v>1.7847661155566625</v>
      </c>
      <c r="I818" s="6">
        <f>INDEX('Agri_land '!$E:$ZZ, MATCH(A818, 'Agri_land '!$C:$C, 0), MATCH(B818, 'Agri_land '!$E$1:$ZZ$1, 0))</f>
        <v>7.301277042232809</v>
      </c>
      <c r="J818">
        <f>INDEX(Cereal_Yield!$E:$ZZ, MATCH(A818, Cereal_Yield!$C:$C, 0), MATCH(B818, Cereal_Yield!$E$1:$ZZ$1, 0))</f>
        <v>4560.3</v>
      </c>
    </row>
    <row r="819" spans="1:10" x14ac:dyDescent="0.3">
      <c r="A819" t="s">
        <v>40</v>
      </c>
      <c r="B819" s="4">
        <v>2001</v>
      </c>
      <c r="C819" t="s">
        <v>49</v>
      </c>
      <c r="D819" s="8">
        <f>INDEX(GDP_pc!$E:$ZZ, MATCH(A819, GDP_pc!$C:$C, 0), MATCH(B819, GDP_pc!$E$1:$ZZ$1, 0))</f>
        <v>242497797484.776</v>
      </c>
      <c r="E819">
        <f>INDEX(CH4_Em!$E:$ZZ, MATCH(A819, CH4_Em!$C:$C, 0), MATCH(B819, CH4_Em!$E$1:$ZZ$1, 0))</f>
        <v>4.3894000000000002</v>
      </c>
      <c r="F819">
        <f>INDEX(N2O_Em!$E:$ZZ, MATCH(A819, N2O_Em!$C:$C, 0), MATCH(B819, N2O_Em!$E$1:$ZZ$1, 0))</f>
        <v>3.8835999999999999</v>
      </c>
      <c r="G819">
        <f>INDEX(CO2_Em!$E:$ZZ, MATCH(A819, CO2_Em!$C:$C, 0), MATCH(B819, CO2_Em!$E$1:$ZZ$1, 0))</f>
        <v>8.3799999999999999E-2</v>
      </c>
      <c r="H819">
        <f>INDEX(Agri_VA!$E:$ZZ, MATCH(A819, Agri_VA!$C:$C, 0), MATCH(B819, Agri_VA!$E$1:$ZZ$1, 0))</f>
        <v>1.7917712665044172</v>
      </c>
      <c r="I819" s="6">
        <f>INDEX('Agri_land '!$E:$ZZ, MATCH(A819, 'Agri_land '!$C:$C, 0), MATCH(B819, 'Agri_land '!$E$1:$ZZ$1, 0))</f>
        <v>7.497182327182939</v>
      </c>
      <c r="J819">
        <f>INDEX(Cereal_Yield!$E:$ZZ, MATCH(A819, Cereal_Yield!$C:$C, 0), MATCH(B819, Cereal_Yield!$E$1:$ZZ$1, 0))</f>
        <v>4583.3</v>
      </c>
    </row>
    <row r="820" spans="1:10" x14ac:dyDescent="0.3">
      <c r="A820" t="s">
        <v>40</v>
      </c>
      <c r="B820" s="4">
        <v>2002</v>
      </c>
      <c r="C820" t="s">
        <v>49</v>
      </c>
      <c r="D820" s="8">
        <f>INDEX(GDP_pc!$E:$ZZ, MATCH(A820, GDP_pc!$C:$C, 0), MATCH(B820, GDP_pc!$E$1:$ZZ$1, 0))</f>
        <v>267371907446.77573</v>
      </c>
      <c r="E820">
        <f>INDEX(CH4_Em!$E:$ZZ, MATCH(A820, CH4_Em!$C:$C, 0), MATCH(B820, CH4_Em!$E$1:$ZZ$1, 0))</f>
        <v>4.3536000000000001</v>
      </c>
      <c r="F820">
        <f>INDEX(N2O_Em!$E:$ZZ, MATCH(A820, N2O_Em!$C:$C, 0), MATCH(B820, N2O_Em!$E$1:$ZZ$1, 0))</f>
        <v>3.8614999999999999</v>
      </c>
      <c r="G820">
        <f>INDEX(CO2_Em!$E:$ZZ, MATCH(A820, CO2_Em!$C:$C, 0), MATCH(B820, CO2_Em!$E$1:$ZZ$1, 0))</f>
        <v>7.5399999999999995E-2</v>
      </c>
      <c r="H820">
        <f>INDEX(Agri_VA!$E:$ZZ, MATCH(A820, Agri_VA!$C:$C, 0), MATCH(B820, Agri_VA!$E$1:$ZZ$1, 0))</f>
        <v>1.7519984236162565</v>
      </c>
      <c r="I820" s="6">
        <f>INDEX('Agri_land '!$E:$ZZ, MATCH(A820, 'Agri_land '!$C:$C, 0), MATCH(B820, 'Agri_land '!$E$1:$ZZ$1, 0))</f>
        <v>7.7083083234951069</v>
      </c>
      <c r="J820">
        <f>INDEX(Cereal_Yield!$E:$ZZ, MATCH(A820, Cereal_Yield!$C:$C, 0), MATCH(B820, Cereal_Yield!$E$1:$ZZ$1, 0))</f>
        <v>4780.3999999999996</v>
      </c>
    </row>
    <row r="821" spans="1:10" x14ac:dyDescent="0.3">
      <c r="A821" t="s">
        <v>40</v>
      </c>
      <c r="B821" s="4">
        <v>2003</v>
      </c>
      <c r="C821" t="s">
        <v>49</v>
      </c>
      <c r="D821" s="8">
        <f>INDEX(GDP_pc!$E:$ZZ, MATCH(A821, GDP_pc!$C:$C, 0), MATCH(B821, GDP_pc!$E$1:$ZZ$1, 0))</f>
        <v>334072443515.57574</v>
      </c>
      <c r="E821">
        <f>INDEX(CH4_Em!$E:$ZZ, MATCH(A821, CH4_Em!$C:$C, 0), MATCH(B821, CH4_Em!$E$1:$ZZ$1, 0))</f>
        <v>4.3205</v>
      </c>
      <c r="F821">
        <f>INDEX(N2O_Em!$E:$ZZ, MATCH(A821, N2O_Em!$C:$C, 0), MATCH(B821, N2O_Em!$E$1:$ZZ$1, 0))</f>
        <v>3.8285</v>
      </c>
      <c r="G821">
        <f>INDEX(CO2_Em!$E:$ZZ, MATCH(A821, CO2_Em!$C:$C, 0), MATCH(B821, CO2_Em!$E$1:$ZZ$1, 0))</f>
        <v>4.0899999999999999E-2</v>
      </c>
      <c r="H821">
        <f>INDEX(Agri_VA!$E:$ZZ, MATCH(A821, Agri_VA!$C:$C, 0), MATCH(B821, Agri_VA!$E$1:$ZZ$1, 0))</f>
        <v>1.7115506346685621</v>
      </c>
      <c r="I821" s="6">
        <f>INDEX('Agri_land '!$E:$ZZ, MATCH(A821, 'Agri_land '!$C:$C, 0), MATCH(B821, 'Agri_land '!$E$1:$ZZ$1, 0))</f>
        <v>7.6808128449056152</v>
      </c>
      <c r="J821">
        <f>INDEX(Cereal_Yield!$E:$ZZ, MATCH(A821, Cereal_Yield!$C:$C, 0), MATCH(B821, Cereal_Yield!$E$1:$ZZ$1, 0))</f>
        <v>4584.5</v>
      </c>
    </row>
    <row r="822" spans="1:10" x14ac:dyDescent="0.3">
      <c r="A822" t="s">
        <v>40</v>
      </c>
      <c r="B822" s="4">
        <v>2004</v>
      </c>
      <c r="C822" t="s">
        <v>49</v>
      </c>
      <c r="D822" s="8">
        <f>INDEX(GDP_pc!$E:$ZZ, MATCH(A822, GDP_pc!$C:$C, 0), MATCH(B822, GDP_pc!$E$1:$ZZ$1, 0))</f>
        <v>384545442175.01935</v>
      </c>
      <c r="E822">
        <f>INDEX(CH4_Em!$E:$ZZ, MATCH(A822, CH4_Em!$C:$C, 0), MATCH(B822, CH4_Em!$E$1:$ZZ$1, 0))</f>
        <v>4.3619000000000003</v>
      </c>
      <c r="F822">
        <f>INDEX(N2O_Em!$E:$ZZ, MATCH(A822, N2O_Em!$C:$C, 0), MATCH(B822, N2O_Em!$E$1:$ZZ$1, 0))</f>
        <v>3.8081999999999998</v>
      </c>
      <c r="G822">
        <f>INDEX(CO2_Em!$E:$ZZ, MATCH(A822, CO2_Em!$C:$C, 0), MATCH(B822, CO2_Em!$E$1:$ZZ$1, 0))</f>
        <v>4.0899999999999999E-2</v>
      </c>
      <c r="H822">
        <f>INDEX(Agri_VA!$E:$ZZ, MATCH(A822, Agri_VA!$C:$C, 0), MATCH(B822, Agri_VA!$E$1:$ZZ$1, 0))</f>
        <v>1.6806169598858594</v>
      </c>
      <c r="I822" s="6">
        <f>INDEX('Agri_land '!$E:$ZZ, MATCH(A822, 'Agri_land '!$C:$C, 0), MATCH(B822, 'Agri_land '!$E$1:$ZZ$1, 0))</f>
        <v>7.740959204320129</v>
      </c>
      <c r="J822">
        <f>INDEX(Cereal_Yield!$E:$ZZ, MATCH(A822, Cereal_Yield!$C:$C, 0), MATCH(B822, Cereal_Yield!$E$1:$ZZ$1, 0))</f>
        <v>4892.8999999999996</v>
      </c>
    </row>
    <row r="823" spans="1:10" x14ac:dyDescent="0.3">
      <c r="A823" t="s">
        <v>40</v>
      </c>
      <c r="B823" s="4">
        <v>2005</v>
      </c>
      <c r="C823" t="s">
        <v>49</v>
      </c>
      <c r="D823" s="8">
        <f>INDEX(GDP_pc!$E:$ZZ, MATCH(A823, GDP_pc!$C:$C, 0), MATCH(B823, GDP_pc!$E$1:$ZZ$1, 0))</f>
        <v>391688455928.59723</v>
      </c>
      <c r="E823">
        <f>INDEX(CH4_Em!$E:$ZZ, MATCH(A823, CH4_Em!$C:$C, 0), MATCH(B823, CH4_Em!$E$1:$ZZ$1, 0))</f>
        <v>4.3314000000000004</v>
      </c>
      <c r="F823">
        <f>INDEX(N2O_Em!$E:$ZZ, MATCH(A823, N2O_Em!$C:$C, 0), MATCH(B823, N2O_Em!$E$1:$ZZ$1, 0))</f>
        <v>3.8668</v>
      </c>
      <c r="G823">
        <f>INDEX(CO2_Em!$E:$ZZ, MATCH(A823, CO2_Em!$C:$C, 0), MATCH(B823, CO2_Em!$E$1:$ZZ$1, 0))</f>
        <v>6.2899999999999998E-2</v>
      </c>
      <c r="H823">
        <f>INDEX(Agri_VA!$E:$ZZ, MATCH(A823, Agri_VA!$C:$C, 0), MATCH(B823, Agri_VA!$E$1:$ZZ$1, 0))</f>
        <v>1.160318633253699</v>
      </c>
      <c r="I823" s="6">
        <f>INDEX('Agri_land '!$E:$ZZ, MATCH(A823, 'Agri_land '!$C:$C, 0), MATCH(B823, 'Agri_land '!$E$1:$ZZ$1, 0))</f>
        <v>7.8587969697036648</v>
      </c>
      <c r="J823">
        <f>INDEX(Cereal_Yield!$E:$ZZ, MATCH(A823, Cereal_Yield!$C:$C, 0), MATCH(B823, Cereal_Yield!$E$1:$ZZ$1, 0))</f>
        <v>4932.3</v>
      </c>
    </row>
    <row r="824" spans="1:10" x14ac:dyDescent="0.3">
      <c r="A824" t="s">
        <v>40</v>
      </c>
      <c r="B824" s="4">
        <v>2006</v>
      </c>
      <c r="C824" t="s">
        <v>49</v>
      </c>
      <c r="D824" s="8">
        <f>INDEX(GDP_pc!$E:$ZZ, MATCH(A824, GDP_pc!$C:$C, 0), MATCH(B824, GDP_pc!$E$1:$ZZ$1, 0))</f>
        <v>422528394459.35327</v>
      </c>
      <c r="E824">
        <f>INDEX(CH4_Em!$E:$ZZ, MATCH(A824, CH4_Em!$C:$C, 0), MATCH(B824, CH4_Em!$E$1:$ZZ$1, 0))</f>
        <v>4.2754000000000003</v>
      </c>
      <c r="F824">
        <f>INDEX(N2O_Em!$E:$ZZ, MATCH(A824, N2O_Em!$C:$C, 0), MATCH(B824, N2O_Em!$E$1:$ZZ$1, 0))</f>
        <v>3.8193999999999999</v>
      </c>
      <c r="G824">
        <f>INDEX(CO2_Em!$E:$ZZ, MATCH(A824, CO2_Em!$C:$C, 0), MATCH(B824, CO2_Em!$E$1:$ZZ$1, 0))</f>
        <v>5.6599999999999998E-2</v>
      </c>
      <c r="H824">
        <f>INDEX(Agri_VA!$E:$ZZ, MATCH(A824, Agri_VA!$C:$C, 0), MATCH(B824, Agri_VA!$E$1:$ZZ$1, 0))</f>
        <v>1.2403211677052663</v>
      </c>
      <c r="I824" s="6">
        <f>INDEX('Agri_land '!$E:$ZZ, MATCH(A824, 'Agri_land '!$C:$C, 0), MATCH(B824, 'Agri_land '!$E$1:$ZZ$1, 0))</f>
        <v>7.7333488486391087</v>
      </c>
      <c r="J824">
        <f>INDEX(Cereal_Yield!$E:$ZZ, MATCH(A824, Cereal_Yield!$C:$C, 0), MATCH(B824, Cereal_Yield!$E$1:$ZZ$1, 0))</f>
        <v>4292.2</v>
      </c>
    </row>
    <row r="825" spans="1:10" x14ac:dyDescent="0.3">
      <c r="A825" t="s">
        <v>40</v>
      </c>
      <c r="B825" s="4">
        <v>2007</v>
      </c>
      <c r="C825" t="s">
        <v>49</v>
      </c>
      <c r="D825" s="8">
        <f>INDEX(GDP_pc!$E:$ZZ, MATCH(A825, GDP_pc!$C:$C, 0), MATCH(B825, GDP_pc!$E$1:$ZZ$1, 0))</f>
        <v>490047789548.44055</v>
      </c>
      <c r="E825">
        <f>INDEX(CH4_Em!$E:$ZZ, MATCH(A825, CH4_Em!$C:$C, 0), MATCH(B825, CH4_Em!$E$1:$ZZ$1, 0))</f>
        <v>4.1875</v>
      </c>
      <c r="F825">
        <f>INDEX(N2O_Em!$E:$ZZ, MATCH(A825, N2O_Em!$C:$C, 0), MATCH(B825, N2O_Em!$E$1:$ZZ$1, 0))</f>
        <v>3.9582999999999999</v>
      </c>
      <c r="G825">
        <f>INDEX(CO2_Em!$E:$ZZ, MATCH(A825, CO2_Em!$C:$C, 0), MATCH(B825, CO2_Em!$E$1:$ZZ$1, 0))</f>
        <v>6.1800000000000001E-2</v>
      </c>
      <c r="H825">
        <f>INDEX(Agri_VA!$E:$ZZ, MATCH(A825, Agri_VA!$C:$C, 0), MATCH(B825, Agri_VA!$E$1:$ZZ$1, 0))</f>
        <v>1.4388302409171125</v>
      </c>
      <c r="I825" s="6">
        <f>INDEX('Agri_land '!$E:$ZZ, MATCH(A825, 'Agri_land '!$C:$C, 0), MATCH(B825, 'Agri_land '!$E$1:$ZZ$1, 0))</f>
        <v>7.6616642080307908</v>
      </c>
      <c r="J825">
        <f>INDEX(Cereal_Yield!$E:$ZZ, MATCH(A825, Cereal_Yield!$C:$C, 0), MATCH(B825, Cereal_Yield!$E$1:$ZZ$1, 0))</f>
        <v>5150.8</v>
      </c>
    </row>
    <row r="826" spans="1:10" x14ac:dyDescent="0.3">
      <c r="A826" t="s">
        <v>40</v>
      </c>
      <c r="B826" s="4">
        <v>2008</v>
      </c>
      <c r="C826" t="s">
        <v>49</v>
      </c>
      <c r="D826" s="8">
        <f>INDEX(GDP_pc!$E:$ZZ, MATCH(A826, GDP_pc!$C:$C, 0), MATCH(B826, GDP_pc!$E$1:$ZZ$1, 0))</f>
        <v>514614100832.94141</v>
      </c>
      <c r="E826">
        <f>INDEX(CH4_Em!$E:$ZZ, MATCH(A826, CH4_Em!$C:$C, 0), MATCH(B826, CH4_Em!$E$1:$ZZ$1, 0))</f>
        <v>4.2186000000000003</v>
      </c>
      <c r="F826">
        <f>INDEX(N2O_Em!$E:$ZZ, MATCH(A826, N2O_Em!$C:$C, 0), MATCH(B826, N2O_Em!$E$1:$ZZ$1, 0))</f>
        <v>3.7833000000000001</v>
      </c>
      <c r="G826">
        <f>INDEX(CO2_Em!$E:$ZZ, MATCH(A826, CO2_Em!$C:$C, 0), MATCH(B826, CO2_Em!$E$1:$ZZ$1, 0))</f>
        <v>5.3400000000000003E-2</v>
      </c>
      <c r="H826">
        <f>INDEX(Agri_VA!$E:$ZZ, MATCH(A826, Agri_VA!$C:$C, 0), MATCH(B826, Agri_VA!$E$1:$ZZ$1, 0))</f>
        <v>1.2595695652520009</v>
      </c>
      <c r="I826" s="6">
        <f>INDEX('Agri_land '!$E:$ZZ, MATCH(A826, 'Agri_land '!$C:$C, 0), MATCH(B826, 'Agri_land '!$E$1:$ZZ$1, 0))</f>
        <v>7.5509458076391773</v>
      </c>
      <c r="J826">
        <f>INDEX(Cereal_Yield!$E:$ZZ, MATCH(A826, Cereal_Yield!$C:$C, 0), MATCH(B826, Cereal_Yield!$E$1:$ZZ$1, 0))</f>
        <v>4820.5</v>
      </c>
    </row>
    <row r="827" spans="1:10" x14ac:dyDescent="0.3">
      <c r="A827" t="s">
        <v>40</v>
      </c>
      <c r="B827" s="4">
        <v>2009</v>
      </c>
      <c r="C827" t="s">
        <v>49</v>
      </c>
      <c r="D827" s="8">
        <f>INDEX(GDP_pc!$E:$ZZ, MATCH(A827, GDP_pc!$C:$C, 0), MATCH(B827, GDP_pc!$E$1:$ZZ$1, 0))</f>
        <v>434311714442.49915</v>
      </c>
      <c r="E827">
        <f>INDEX(CH4_Em!$E:$ZZ, MATCH(A827, CH4_Em!$C:$C, 0), MATCH(B827, CH4_Em!$E$1:$ZZ$1, 0))</f>
        <v>4.1757</v>
      </c>
      <c r="F827">
        <f>INDEX(N2O_Em!$E:$ZZ, MATCH(A827, N2O_Em!$C:$C, 0), MATCH(B827, N2O_Em!$E$1:$ZZ$1, 0))</f>
        <v>3.8879000000000001</v>
      </c>
      <c r="G827">
        <f>INDEX(CO2_Em!$E:$ZZ, MATCH(A827, CO2_Em!$C:$C, 0), MATCH(B827, CO2_Em!$E$1:$ZZ$1, 0))</f>
        <v>3.2099999999999997E-2</v>
      </c>
      <c r="H827">
        <f>INDEX(Agri_VA!$E:$ZZ, MATCH(A827, Agri_VA!$C:$C, 0), MATCH(B827, Agri_VA!$E$1:$ZZ$1, 0))</f>
        <v>1.1393339921513417</v>
      </c>
      <c r="I827" s="6">
        <f>INDEX('Agri_land '!$E:$ZZ, MATCH(A827, 'Agri_land '!$C:$C, 0), MATCH(B827, 'Agri_land '!$E$1:$ZZ$1, 0))</f>
        <v>7.5298332080079602</v>
      </c>
      <c r="J827">
        <f>INDEX(Cereal_Yield!$E:$ZZ, MATCH(A827, Cereal_Yield!$C:$C, 0), MATCH(B827, Cereal_Yield!$E$1:$ZZ$1, 0))</f>
        <v>5078.8999999999996</v>
      </c>
    </row>
    <row r="828" spans="1:10" x14ac:dyDescent="0.3">
      <c r="A828" t="s">
        <v>40</v>
      </c>
      <c r="B828" s="4">
        <v>2010</v>
      </c>
      <c r="C828" t="s">
        <v>49</v>
      </c>
      <c r="D828" s="8">
        <f>INDEX(GDP_pc!$E:$ZZ, MATCH(A828, GDP_pc!$C:$C, 0), MATCH(B828, GDP_pc!$E$1:$ZZ$1, 0))</f>
        <v>492750897239.44708</v>
      </c>
      <c r="E828">
        <f>INDEX(CH4_Em!$E:$ZZ, MATCH(A828, CH4_Em!$C:$C, 0), MATCH(B828, CH4_Em!$E$1:$ZZ$1, 0))</f>
        <v>4.1738</v>
      </c>
      <c r="F828">
        <f>INDEX(N2O_Em!$E:$ZZ, MATCH(A828, N2O_Em!$C:$C, 0), MATCH(B828, N2O_Em!$E$1:$ZZ$1, 0))</f>
        <v>3.8942999999999999</v>
      </c>
      <c r="G828">
        <f>INDEX(CO2_Em!$E:$ZZ, MATCH(A828, CO2_Em!$C:$C, 0), MATCH(B828, CO2_Em!$E$1:$ZZ$1, 0))</f>
        <v>3.4599999999999999E-2</v>
      </c>
      <c r="H828">
        <f>INDEX(Agri_VA!$E:$ZZ, MATCH(A828, Agri_VA!$C:$C, 0), MATCH(B828, Agri_VA!$E$1:$ZZ$1, 0))</f>
        <v>1.3616164824353783</v>
      </c>
      <c r="I828" s="6">
        <f>INDEX('Agri_land '!$E:$ZZ, MATCH(A828, 'Agri_land '!$C:$C, 0), MATCH(B828, 'Agri_land '!$E$1:$ZZ$1, 0))</f>
        <v>7.5457904054036478</v>
      </c>
      <c r="J828">
        <f>INDEX(Cereal_Yield!$E:$ZZ, MATCH(A828, Cereal_Yield!$C:$C, 0), MATCH(B828, Cereal_Yield!$E$1:$ZZ$1, 0))</f>
        <v>4510.3999999999996</v>
      </c>
    </row>
    <row r="829" spans="1:10" x14ac:dyDescent="0.3">
      <c r="A829" t="s">
        <v>40</v>
      </c>
      <c r="B829" s="4">
        <v>2011</v>
      </c>
      <c r="C829" t="s">
        <v>49</v>
      </c>
      <c r="D829" s="8">
        <f>INDEX(GDP_pc!$E:$ZZ, MATCH(A829, GDP_pc!$C:$C, 0), MATCH(B829, GDP_pc!$E$1:$ZZ$1, 0))</f>
        <v>570538581144.44995</v>
      </c>
      <c r="E829">
        <f>INDEX(CH4_Em!$E:$ZZ, MATCH(A829, CH4_Em!$C:$C, 0), MATCH(B829, CH4_Em!$E$1:$ZZ$1, 0))</f>
        <v>4.157</v>
      </c>
      <c r="F829">
        <f>INDEX(N2O_Em!$E:$ZZ, MATCH(A829, N2O_Em!$C:$C, 0), MATCH(B829, N2O_Em!$E$1:$ZZ$1, 0))</f>
        <v>3.8780000000000001</v>
      </c>
      <c r="G829">
        <f>INDEX(CO2_Em!$E:$ZZ, MATCH(A829, CO2_Em!$C:$C, 0), MATCH(B829, CO2_Em!$E$1:$ZZ$1, 0))</f>
        <v>2.1600000000000001E-2</v>
      </c>
      <c r="H829">
        <f>INDEX(Agri_VA!$E:$ZZ, MATCH(A829, Agri_VA!$C:$C, 0), MATCH(B829, Agri_VA!$E$1:$ZZ$1, 0))</f>
        <v>1.4116756644120343</v>
      </c>
      <c r="I829" s="6">
        <f>INDEX('Agri_land '!$E:$ZZ, MATCH(A829, 'Agri_land '!$C:$C, 0), MATCH(B829, 'Agri_land '!$E$1:$ZZ$1, 0))</f>
        <v>7.5197678988814491</v>
      </c>
      <c r="J829">
        <f>INDEX(Cereal_Yield!$E:$ZZ, MATCH(A829, Cereal_Yield!$C:$C, 0), MATCH(B829, Cereal_Yield!$E$1:$ZZ$1, 0))</f>
        <v>4712.8999999999996</v>
      </c>
    </row>
    <row r="830" spans="1:10" x14ac:dyDescent="0.3">
      <c r="A830" t="s">
        <v>40</v>
      </c>
      <c r="B830" s="4">
        <v>2012</v>
      </c>
      <c r="C830" t="s">
        <v>49</v>
      </c>
      <c r="D830" s="8">
        <f>INDEX(GDP_pc!$E:$ZZ, MATCH(A830, GDP_pc!$C:$C, 0), MATCH(B830, GDP_pc!$E$1:$ZZ$1, 0))</f>
        <v>549739674655.12714</v>
      </c>
      <c r="E830">
        <f>INDEX(CH4_Em!$E:$ZZ, MATCH(A830, CH4_Em!$C:$C, 0), MATCH(B830, CH4_Em!$E$1:$ZZ$1, 0))</f>
        <v>4.1273999999999997</v>
      </c>
      <c r="F830">
        <f>INDEX(N2O_Em!$E:$ZZ, MATCH(A830, N2O_Em!$C:$C, 0), MATCH(B830, N2O_Em!$E$1:$ZZ$1, 0))</f>
        <v>3.9022999999999999</v>
      </c>
      <c r="G830">
        <f>INDEX(CO2_Em!$E:$ZZ, MATCH(A830, CO2_Em!$C:$C, 0), MATCH(B830, CO2_Em!$E$1:$ZZ$1, 0))</f>
        <v>1.15E-2</v>
      </c>
      <c r="H830">
        <f>INDEX(Agri_VA!$E:$ZZ, MATCH(A830, Agri_VA!$C:$C, 0), MATCH(B830, Agri_VA!$E$1:$ZZ$1, 0))</f>
        <v>1.2525456471279999</v>
      </c>
      <c r="I830" s="6">
        <f>INDEX('Agri_land '!$E:$ZZ, MATCH(A830, 'Agri_land '!$C:$C, 0), MATCH(B830, 'Agri_land '!$E$1:$ZZ$1, 0))</f>
        <v>7.4421913700039548</v>
      </c>
      <c r="J830">
        <f>INDEX(Cereal_Yield!$E:$ZZ, MATCH(A830, Cereal_Yield!$C:$C, 0), MATCH(B830, Cereal_Yield!$E$1:$ZZ$1, 0))</f>
        <v>5101.8</v>
      </c>
    </row>
    <row r="831" spans="1:10" x14ac:dyDescent="0.3">
      <c r="A831" t="s">
        <v>40</v>
      </c>
      <c r="B831" s="4">
        <v>2013</v>
      </c>
      <c r="C831" t="s">
        <v>49</v>
      </c>
      <c r="D831" s="8">
        <f>INDEX(GDP_pc!$E:$ZZ, MATCH(A831, GDP_pc!$C:$C, 0), MATCH(B831, GDP_pc!$E$1:$ZZ$1, 0))</f>
        <v>584125353119.17969</v>
      </c>
      <c r="E831">
        <f>INDEX(CH4_Em!$E:$ZZ, MATCH(A831, CH4_Em!$C:$C, 0), MATCH(B831, CH4_Em!$E$1:$ZZ$1, 0))</f>
        <v>4.1249000000000002</v>
      </c>
      <c r="F831">
        <f>INDEX(N2O_Em!$E:$ZZ, MATCH(A831, N2O_Em!$C:$C, 0), MATCH(B831, N2O_Em!$E$1:$ZZ$1, 0))</f>
        <v>3.9041999999999999</v>
      </c>
      <c r="G831">
        <f>INDEX(CO2_Em!$E:$ZZ, MATCH(A831, CO2_Em!$C:$C, 0), MATCH(B831, CO2_Em!$E$1:$ZZ$1, 0))</f>
        <v>8.8999999999999999E-3</v>
      </c>
      <c r="H831">
        <f>INDEX(Agri_VA!$E:$ZZ, MATCH(A831, Agri_VA!$C:$C, 0), MATCH(B831, Agri_VA!$E$1:$ZZ$1, 0))</f>
        <v>1.2306253705673833</v>
      </c>
      <c r="I831" s="6">
        <f>INDEX('Agri_land '!$E:$ZZ, MATCH(A831, 'Agri_land '!$C:$C, 0), MATCH(B831, 'Agri_land '!$E$1:$ZZ$1, 0))</f>
        <v>7.4534350567843006</v>
      </c>
      <c r="J831">
        <f>INDEX(Cereal_Yield!$E:$ZZ, MATCH(A831, Cereal_Yield!$C:$C, 0), MATCH(B831, Cereal_Yield!$E$1:$ZZ$1, 0))</f>
        <v>5123.5</v>
      </c>
    </row>
    <row r="832" spans="1:10" x14ac:dyDescent="0.3">
      <c r="A832" t="s">
        <v>40</v>
      </c>
      <c r="B832" s="4">
        <v>2014</v>
      </c>
      <c r="C832" t="s">
        <v>49</v>
      </c>
      <c r="D832" s="8">
        <f>INDEX(GDP_pc!$E:$ZZ, MATCH(A832, GDP_pc!$C:$C, 0), MATCH(B832, GDP_pc!$E$1:$ZZ$1, 0))</f>
        <v>577727767303.5957</v>
      </c>
      <c r="E832">
        <f>INDEX(CH4_Em!$E:$ZZ, MATCH(A832, CH4_Em!$C:$C, 0), MATCH(B832, CH4_Em!$E$1:$ZZ$1, 0))</f>
        <v>4.1162999999999998</v>
      </c>
      <c r="F832">
        <f>INDEX(N2O_Em!$E:$ZZ, MATCH(A832, N2O_Em!$C:$C, 0), MATCH(B832, N2O_Em!$E$1:$ZZ$1, 0))</f>
        <v>4.04</v>
      </c>
      <c r="G832">
        <f>INDEX(CO2_Em!$E:$ZZ, MATCH(A832, CO2_Em!$C:$C, 0), MATCH(B832, CO2_Em!$E$1:$ZZ$1, 0))</f>
        <v>2.3800000000000002E-2</v>
      </c>
      <c r="H832">
        <f>INDEX(Agri_VA!$E:$ZZ, MATCH(A832, Agri_VA!$C:$C, 0), MATCH(B832, Agri_VA!$E$1:$ZZ$1, 0))</f>
        <v>1.2515938527615595</v>
      </c>
      <c r="I832" s="6">
        <f>INDEX('Agri_land '!$E:$ZZ, MATCH(A832, 'Agri_land '!$C:$C, 0), MATCH(B832, 'Agri_land '!$E$1:$ZZ$1, 0))</f>
        <v>7.4534105072498456</v>
      </c>
      <c r="J832">
        <f>INDEX(Cereal_Yield!$E:$ZZ, MATCH(A832, Cereal_Yield!$C:$C, 0), MATCH(B832, Cereal_Yield!$E$1:$ZZ$1, 0))</f>
        <v>5646.9</v>
      </c>
    </row>
    <row r="833" spans="1:10" x14ac:dyDescent="0.3">
      <c r="A833" t="s">
        <v>40</v>
      </c>
      <c r="B833" s="4">
        <v>2015</v>
      </c>
      <c r="C833" t="s">
        <v>49</v>
      </c>
      <c r="D833" s="8">
        <f>INDEX(GDP_pc!$E:$ZZ, MATCH(A833, GDP_pc!$C:$C, 0), MATCH(B833, GDP_pc!$E$1:$ZZ$1, 0))</f>
        <v>501602351911.60016</v>
      </c>
      <c r="E833">
        <f>INDEX(CH4_Em!$E:$ZZ, MATCH(A833, CH4_Em!$C:$C, 0), MATCH(B833, CH4_Em!$E$1:$ZZ$1, 0))</f>
        <v>4.0248999999999997</v>
      </c>
      <c r="F833">
        <f>INDEX(N2O_Em!$E:$ZZ, MATCH(A833, N2O_Em!$C:$C, 0), MATCH(B833, N2O_Em!$E$1:$ZZ$1, 0))</f>
        <v>4.1116999999999999</v>
      </c>
      <c r="G833">
        <f>INDEX(CO2_Em!$E:$ZZ, MATCH(A833, CO2_Em!$C:$C, 0), MATCH(B833, CO2_Em!$E$1:$ZZ$1, 0))</f>
        <v>2.4799999999999999E-2</v>
      </c>
      <c r="H833">
        <f>INDEX(Agri_VA!$E:$ZZ, MATCH(A833, Agri_VA!$C:$C, 0), MATCH(B833, Agri_VA!$E$1:$ZZ$1, 0))</f>
        <v>1.3031159062675495</v>
      </c>
      <c r="I833" s="6">
        <f>INDEX('Agri_land '!$E:$ZZ, MATCH(A833, 'Agri_land '!$C:$C, 0), MATCH(B833, 'Agri_land '!$E$1:$ZZ$1, 0))</f>
        <v>7.4349886857853749</v>
      </c>
      <c r="J833">
        <f>INDEX(Cereal_Yield!$E:$ZZ, MATCH(A833, Cereal_Yield!$C:$C, 0), MATCH(B833, Cereal_Yield!$E$1:$ZZ$1, 0))</f>
        <v>6053.6</v>
      </c>
    </row>
    <row r="834" spans="1:10" x14ac:dyDescent="0.3">
      <c r="A834" t="s">
        <v>40</v>
      </c>
      <c r="B834" s="4">
        <v>2016</v>
      </c>
      <c r="C834" t="s">
        <v>49</v>
      </c>
      <c r="D834" s="8">
        <f>INDEX(GDP_pc!$E:$ZZ, MATCH(A834, GDP_pc!$C:$C, 0), MATCH(B834, GDP_pc!$E$1:$ZZ$1, 0))</f>
        <v>513058312950.93903</v>
      </c>
      <c r="E834">
        <f>INDEX(CH4_Em!$E:$ZZ, MATCH(A834, CH4_Em!$C:$C, 0), MATCH(B834, CH4_Em!$E$1:$ZZ$1, 0))</f>
        <v>4.0278</v>
      </c>
      <c r="F834">
        <f>INDEX(N2O_Em!$E:$ZZ, MATCH(A834, N2O_Em!$C:$C, 0), MATCH(B834, N2O_Em!$E$1:$ZZ$1, 0))</f>
        <v>4.1736000000000004</v>
      </c>
      <c r="G834">
        <f>INDEX(CO2_Em!$E:$ZZ, MATCH(A834, CO2_Em!$C:$C, 0), MATCH(B834, CO2_Em!$E$1:$ZZ$1, 0))</f>
        <v>1.23E-2</v>
      </c>
      <c r="H834">
        <f>INDEX(Agri_VA!$E:$ZZ, MATCH(A834, Agri_VA!$C:$C, 0), MATCH(B834, Agri_VA!$E$1:$ZZ$1, 0))</f>
        <v>1.2811871059034998</v>
      </c>
      <c r="I834" s="6">
        <f>INDEX('Agri_land '!$E:$ZZ, MATCH(A834, 'Agri_land '!$C:$C, 0), MATCH(B834, 'Agri_land '!$E$1:$ZZ$1, 0))</f>
        <v>7.4167470803119713</v>
      </c>
      <c r="J834">
        <f>INDEX(Cereal_Yield!$E:$ZZ, MATCH(A834, Cereal_Yield!$C:$C, 0), MATCH(B834, Cereal_Yield!$E$1:$ZZ$1, 0))</f>
        <v>5438.2</v>
      </c>
    </row>
    <row r="835" spans="1:10" x14ac:dyDescent="0.3">
      <c r="A835" t="s">
        <v>40</v>
      </c>
      <c r="B835" s="4">
        <v>2017</v>
      </c>
      <c r="C835" t="s">
        <v>49</v>
      </c>
      <c r="D835" s="8">
        <f>INDEX(GDP_pc!$E:$ZZ, MATCH(A835, GDP_pc!$C:$C, 0), MATCH(B835, GDP_pc!$E$1:$ZZ$1, 0))</f>
        <v>535172356784.76868</v>
      </c>
      <c r="E835">
        <f>INDEX(CH4_Em!$E:$ZZ, MATCH(A835, CH4_Em!$C:$C, 0), MATCH(B835, CH4_Em!$E$1:$ZZ$1, 0))</f>
        <v>4.0453000000000001</v>
      </c>
      <c r="F835">
        <f>INDEX(N2O_Em!$E:$ZZ, MATCH(A835, N2O_Em!$C:$C, 0), MATCH(B835, N2O_Em!$E$1:$ZZ$1, 0))</f>
        <v>4.1619000000000002</v>
      </c>
      <c r="G835">
        <f>INDEX(CO2_Em!$E:$ZZ, MATCH(A835, CO2_Em!$C:$C, 0), MATCH(B835, CO2_Em!$E$1:$ZZ$1, 0))</f>
        <v>2.3599999999999999E-2</v>
      </c>
      <c r="H835">
        <f>INDEX(Agri_VA!$E:$ZZ, MATCH(A835, Agri_VA!$C:$C, 0), MATCH(B835, Agri_VA!$E$1:$ZZ$1, 0))</f>
        <v>1.3210162632013105</v>
      </c>
      <c r="I835" s="6">
        <f>INDEX('Agri_land '!$E:$ZZ, MATCH(A835, 'Agri_land '!$C:$C, 0), MATCH(B835, 'Agri_land '!$E$1:$ZZ$1, 0))</f>
        <v>7.393300602213583</v>
      </c>
      <c r="J835">
        <f>INDEX(Cereal_Yield!$E:$ZZ, MATCH(A835, Cereal_Yield!$C:$C, 0), MATCH(B835, Cereal_Yield!$E$1:$ZZ$1, 0))</f>
        <v>5992.3</v>
      </c>
    </row>
    <row r="836" spans="1:10" x14ac:dyDescent="0.3">
      <c r="A836" t="s">
        <v>40</v>
      </c>
      <c r="B836" s="4">
        <v>2018</v>
      </c>
      <c r="C836" t="s">
        <v>49</v>
      </c>
      <c r="D836" s="8">
        <f>INDEX(GDP_pc!$E:$ZZ, MATCH(A836, GDP_pc!$C:$C, 0), MATCH(B836, GDP_pc!$E$1:$ZZ$1, 0))</f>
        <v>549649344043.18213</v>
      </c>
      <c r="E836">
        <f>INDEX(CH4_Em!$E:$ZZ, MATCH(A836, CH4_Em!$C:$C, 0), MATCH(B836, CH4_Em!$E$1:$ZZ$1, 0))</f>
        <v>4.0087000000000002</v>
      </c>
      <c r="F836">
        <f>INDEX(N2O_Em!$E:$ZZ, MATCH(A836, N2O_Em!$C:$C, 0), MATCH(B836, N2O_Em!$E$1:$ZZ$1, 0))</f>
        <v>4.0763999999999996</v>
      </c>
      <c r="G836">
        <f>INDEX(CO2_Em!$E:$ZZ, MATCH(A836, CO2_Em!$C:$C, 0), MATCH(B836, CO2_Em!$E$1:$ZZ$1, 0))</f>
        <v>1.6799999999999999E-2</v>
      </c>
      <c r="H836">
        <f>INDEX(Agri_VA!$E:$ZZ, MATCH(A836, Agri_VA!$C:$C, 0), MATCH(B836, Agri_VA!$E$1:$ZZ$1, 0))</f>
        <v>1.2500845047664875</v>
      </c>
      <c r="I836" s="6">
        <f>INDEX('Agri_land '!$E:$ZZ, MATCH(A836, 'Agri_land '!$C:$C, 0), MATCH(B836, 'Agri_land '!$E$1:$ZZ$1, 0))</f>
        <v>7.3663432902219297</v>
      </c>
      <c r="J836">
        <f>INDEX(Cereal_Yield!$E:$ZZ, MATCH(A836, Cereal_Yield!$C:$C, 0), MATCH(B836, Cereal_Yield!$E$1:$ZZ$1, 0))</f>
        <v>3535.5</v>
      </c>
    </row>
    <row r="837" spans="1:10" x14ac:dyDescent="0.3">
      <c r="A837" t="s">
        <v>40</v>
      </c>
      <c r="B837" s="4">
        <v>2019</v>
      </c>
      <c r="C837" t="s">
        <v>49</v>
      </c>
      <c r="D837" s="8">
        <f>INDEX(GDP_pc!$E:$ZZ, MATCH(A837, GDP_pc!$C:$C, 0), MATCH(B837, GDP_pc!$E$1:$ZZ$1, 0))</f>
        <v>530894124494.41754</v>
      </c>
      <c r="E837">
        <f>INDEX(CH4_Em!$E:$ZZ, MATCH(A837, CH4_Em!$C:$C, 0), MATCH(B837, CH4_Em!$E$1:$ZZ$1, 0))</f>
        <v>3.9131</v>
      </c>
      <c r="F837">
        <f>INDEX(N2O_Em!$E:$ZZ, MATCH(A837, N2O_Em!$C:$C, 0), MATCH(B837, N2O_Em!$E$1:$ZZ$1, 0))</f>
        <v>4.2839999999999998</v>
      </c>
      <c r="G837">
        <f>INDEX(CO2_Em!$E:$ZZ, MATCH(A837, CO2_Em!$C:$C, 0), MATCH(B837, CO2_Em!$E$1:$ZZ$1, 0))</f>
        <v>1.9800000000000002E-2</v>
      </c>
      <c r="H837">
        <f>INDEX(Agri_VA!$E:$ZZ, MATCH(A837, Agri_VA!$C:$C, 0), MATCH(B837, Agri_VA!$E$1:$ZZ$1, 0))</f>
        <v>1.2571837792862604</v>
      </c>
      <c r="I837" s="6">
        <f>INDEX('Agri_land '!$E:$ZZ, MATCH(A837, 'Agri_land '!$C:$C, 0), MATCH(B837, 'Agri_land '!$E$1:$ZZ$1, 0))</f>
        <v>7.3782164604203491</v>
      </c>
      <c r="J837">
        <f>INDEX(Cereal_Yield!$E:$ZZ, MATCH(A837, Cereal_Yield!$C:$C, 0), MATCH(B837, Cereal_Yield!$E$1:$ZZ$1, 0))</f>
        <v>6292.1</v>
      </c>
    </row>
    <row r="838" spans="1:10" x14ac:dyDescent="0.3">
      <c r="A838" t="s">
        <v>40</v>
      </c>
      <c r="B838" s="4">
        <v>2020</v>
      </c>
      <c r="C838" t="s">
        <v>49</v>
      </c>
      <c r="D838" s="8">
        <f>INDEX(GDP_pc!$E:$ZZ, MATCH(A838, GDP_pc!$C:$C, 0), MATCH(B838, GDP_pc!$E$1:$ZZ$1, 0))</f>
        <v>544265668451.6781</v>
      </c>
      <c r="E838">
        <f>INDEX(CH4_Em!$E:$ZZ, MATCH(A838, CH4_Em!$C:$C, 0), MATCH(B838, CH4_Em!$E$1:$ZZ$1, 0))</f>
        <v>3.8755000000000002</v>
      </c>
      <c r="F838">
        <f>INDEX(N2O_Em!$E:$ZZ, MATCH(A838, N2O_Em!$C:$C, 0), MATCH(B838, N2O_Em!$E$1:$ZZ$1, 0))</f>
        <v>4.3308999999999997</v>
      </c>
      <c r="G838">
        <f>INDEX(CO2_Em!$E:$ZZ, MATCH(A838, CO2_Em!$C:$C, 0), MATCH(B838, CO2_Em!$E$1:$ZZ$1, 0))</f>
        <v>1.8200000000000001E-2</v>
      </c>
      <c r="H838">
        <f>INDEX(Agri_VA!$E:$ZZ, MATCH(A838, Agri_VA!$C:$C, 0), MATCH(B838, Agri_VA!$E$1:$ZZ$1, 0))</f>
        <v>1.196224506793035</v>
      </c>
      <c r="I838" s="6">
        <f>INDEX('Agri_land '!$E:$ZZ, MATCH(A838, 'Agri_land '!$C:$C, 0), MATCH(B838, 'Agri_land '!$E$1:$ZZ$1, 0))</f>
        <v>7.3806717737183263</v>
      </c>
      <c r="J838">
        <f>INDEX(Cereal_Yield!$E:$ZZ, MATCH(A838, Cereal_Yield!$C:$C, 0), MATCH(B838, Cereal_Yield!$E$1:$ZZ$1, 0))</f>
        <v>5994.4</v>
      </c>
    </row>
    <row r="839" spans="1:10" x14ac:dyDescent="0.3">
      <c r="A839" t="s">
        <v>40</v>
      </c>
      <c r="B839" s="4">
        <v>2021</v>
      </c>
      <c r="C839" t="s">
        <v>49</v>
      </c>
      <c r="D839" s="8">
        <f>INDEX(GDP_pc!$E:$ZZ, MATCH(A839, GDP_pc!$C:$C, 0), MATCH(B839, GDP_pc!$E$1:$ZZ$1, 0))</f>
        <v>631693331300.77576</v>
      </c>
      <c r="E839">
        <f>INDEX(CH4_Em!$E:$ZZ, MATCH(A839, CH4_Em!$C:$C, 0), MATCH(B839, CH4_Em!$E$1:$ZZ$1, 0))</f>
        <v>3.8643000000000001</v>
      </c>
      <c r="F839">
        <f>INDEX(N2O_Em!$E:$ZZ, MATCH(A839, N2O_Em!$C:$C, 0), MATCH(B839, N2O_Em!$E$1:$ZZ$1, 0))</f>
        <v>4.1547000000000001</v>
      </c>
      <c r="G839">
        <f>INDEX(CO2_Em!$E:$ZZ, MATCH(A839, CO2_Em!$C:$C, 0), MATCH(B839, CO2_Em!$E$1:$ZZ$1, 0))</f>
        <v>1.0200000000000001E-2</v>
      </c>
      <c r="H839">
        <f>INDEX(Agri_VA!$E:$ZZ, MATCH(A839, Agri_VA!$C:$C, 0), MATCH(B839, Agri_VA!$E$1:$ZZ$1, 0))</f>
        <v>1.1594275124774815</v>
      </c>
      <c r="I839" s="6">
        <f>INDEX('Agri_land '!$E:$ZZ, MATCH(A839, 'Agri_land '!$C:$C, 0), MATCH(B839, 'Agri_land '!$E$1:$ZZ$1, 0))</f>
        <v>7.3733058338243964</v>
      </c>
      <c r="J839">
        <f>INDEX(Cereal_Yield!$E:$ZZ, MATCH(A839, Cereal_Yield!$C:$C, 0), MATCH(B839, Cereal_Yield!$E$1:$ZZ$1, 0))</f>
        <v>5064.7</v>
      </c>
    </row>
    <row r="840" spans="1:10" x14ac:dyDescent="0.3">
      <c r="A840" t="s">
        <v>40</v>
      </c>
      <c r="B840" s="4">
        <v>2022</v>
      </c>
      <c r="C840" t="s">
        <v>49</v>
      </c>
      <c r="D840" s="8">
        <f>INDEX(GDP_pc!$E:$ZZ, MATCH(A840, GDP_pc!$C:$C, 0), MATCH(B840, GDP_pc!$E$1:$ZZ$1, 0))</f>
        <v>575071237640.92139</v>
      </c>
      <c r="E840">
        <f>INDEX(CH4_Em!$E:$ZZ, MATCH(A840, CH4_Em!$C:$C, 0), MATCH(B840, CH4_Em!$E$1:$ZZ$1, 0))</f>
        <v>3.8668999999999998</v>
      </c>
      <c r="F840">
        <f>INDEX(N2O_Em!$E:$ZZ, MATCH(A840, N2O_Em!$C:$C, 0), MATCH(B840, N2O_Em!$E$1:$ZZ$1, 0))</f>
        <v>4.1551</v>
      </c>
      <c r="G840">
        <f>INDEX(CO2_Em!$E:$ZZ, MATCH(A840, CO2_Em!$C:$C, 0), MATCH(B840, CO2_Em!$E$1:$ZZ$1, 0))</f>
        <v>9.7000000000000003E-3</v>
      </c>
      <c r="H840">
        <f>INDEX(Agri_VA!$E:$ZZ, MATCH(A840, Agri_VA!$C:$C, 0), MATCH(B840, Agri_VA!$E$1:$ZZ$1, 0))</f>
        <v>1.2387699295872114</v>
      </c>
      <c r="I840" s="6">
        <f>INDEX('Agri_land '!$E:$ZZ, MATCH(A840, 'Agri_land '!$C:$C, 0), MATCH(B840, 'Agri_land '!$E$1:$ZZ$1, 0))</f>
        <v>7.3536633274405805</v>
      </c>
      <c r="J840">
        <f>INDEX(Cereal_Yield!$E:$ZZ, MATCH(A840, Cereal_Yield!$C:$C, 0), MATCH(B840, Cereal_Yield!$E$1:$ZZ$1, 0))</f>
        <v>6107.4</v>
      </c>
    </row>
    <row r="841" spans="1:10" x14ac:dyDescent="0.3">
      <c r="A841" t="s">
        <v>40</v>
      </c>
      <c r="B841" s="4">
        <v>2023</v>
      </c>
      <c r="C841" t="s">
        <v>49</v>
      </c>
      <c r="D841" s="8">
        <f>INDEX(GDP_pc!$E:$ZZ, MATCH(A841, GDP_pc!$C:$C, 0), MATCH(B841, GDP_pc!$E$1:$ZZ$1, 0))</f>
        <v>578990915246.07031</v>
      </c>
      <c r="E841">
        <f>INDEX(CH4_Em!$E:$ZZ, MATCH(A841, CH4_Em!$C:$C, 0), MATCH(B841, CH4_Em!$E$1:$ZZ$1, 0))</f>
        <v>3.7974000000000001</v>
      </c>
      <c r="F841">
        <f>INDEX(N2O_Em!$E:$ZZ, MATCH(A841, N2O_Em!$C:$C, 0), MATCH(B841, N2O_Em!$E$1:$ZZ$1, 0))</f>
        <v>4.0551000000000004</v>
      </c>
      <c r="G841">
        <f>INDEX(CO2_Em!$E:$ZZ, MATCH(A841, CO2_Em!$C:$C, 0), MATCH(B841, CO2_Em!$E$1:$ZZ$1, 0))</f>
        <v>9.5999999999999992E-3</v>
      </c>
      <c r="H841">
        <f>INDEX(Agri_VA!$E:$ZZ, MATCH(A841, Agri_VA!$C:$C, 0), MATCH(B841, Agri_VA!$E$1:$ZZ$1, 0))</f>
        <v>1.2822823072128522</v>
      </c>
      <c r="I841" s="6">
        <f>INDEX('Agri_land '!$E:$ZZ, MATCH(A841, 'Agri_land '!$C:$C, 0), MATCH(B841, 'Agri_land '!$E$1:$ZZ$1, 0))</f>
        <v>7.3219240307412763</v>
      </c>
      <c r="J841">
        <f>INDEX(Cereal_Yield!$E:$ZZ, MATCH(A841, Cereal_Yield!$C:$C, 0), MATCH(B841, Cereal_Yield!$E$1:$ZZ$1, 0))</f>
        <v>4456.5</v>
      </c>
    </row>
    <row r="842" spans="1:10" x14ac:dyDescent="0.3">
      <c r="A842" t="s">
        <v>41</v>
      </c>
      <c r="B842" s="4">
        <v>2000</v>
      </c>
      <c r="C842" t="s">
        <v>49</v>
      </c>
      <c r="D842" s="8">
        <f>INDEX(GDP_pc!$E:$ZZ, MATCH(A842, GDP_pc!$C:$C, 0), MATCH(B842, GDP_pc!$E$1:$ZZ$1, 0))</f>
        <v>279216033870.20367</v>
      </c>
      <c r="E842">
        <f>INDEX(CH4_Em!$E:$ZZ, MATCH(A842, CH4_Em!$C:$C, 0), MATCH(B842, CH4_Em!$E$1:$ZZ$1, 0))</f>
        <v>4.1856</v>
      </c>
      <c r="F842">
        <f>INDEX(N2O_Em!$E:$ZZ, MATCH(A842, N2O_Em!$C:$C, 0), MATCH(B842, N2O_Em!$E$1:$ZZ$1, 0))</f>
        <v>1.5648</v>
      </c>
      <c r="G842">
        <f>INDEX(CO2_Em!$E:$ZZ, MATCH(A842, CO2_Em!$C:$C, 0), MATCH(B842, CO2_Em!$E$1:$ZZ$1, 0))</f>
        <v>4.24E-2</v>
      </c>
      <c r="H842">
        <f>INDEX(Agri_VA!$E:$ZZ, MATCH(A842, Agri_VA!$C:$C, 0), MATCH(B842, Agri_VA!$E$1:$ZZ$1, 0))</f>
        <v>1.0538895108627022</v>
      </c>
      <c r="I842" s="6">
        <f>INDEX('Agri_land '!$E:$ZZ, MATCH(A842, 'Agri_land '!$C:$C, 0), MATCH(B842, 'Agri_land '!$E$1:$ZZ$1, 0))</f>
        <v>39.61727304011243</v>
      </c>
      <c r="J842">
        <f>INDEX(Cereal_Yield!$E:$ZZ, MATCH(A842, Cereal_Yield!$C:$C, 0), MATCH(B842, Cereal_Yield!$E$1:$ZZ$1, 0))</f>
        <v>6402.2</v>
      </c>
    </row>
    <row r="843" spans="1:10" x14ac:dyDescent="0.3">
      <c r="A843" t="s">
        <v>41</v>
      </c>
      <c r="B843" s="4">
        <v>2001</v>
      </c>
      <c r="C843" t="s">
        <v>49</v>
      </c>
      <c r="D843" s="8">
        <f>INDEX(GDP_pc!$E:$ZZ, MATCH(A843, GDP_pc!$C:$C, 0), MATCH(B843, GDP_pc!$E$1:$ZZ$1, 0))</f>
        <v>286582672434.22614</v>
      </c>
      <c r="E843">
        <f>INDEX(CH4_Em!$E:$ZZ, MATCH(A843, CH4_Em!$C:$C, 0), MATCH(B843, CH4_Em!$E$1:$ZZ$1, 0))</f>
        <v>4.2378999999999998</v>
      </c>
      <c r="F843">
        <f>INDEX(N2O_Em!$E:$ZZ, MATCH(A843, N2O_Em!$C:$C, 0), MATCH(B843, N2O_Em!$E$1:$ZZ$1, 0))</f>
        <v>1.5682</v>
      </c>
      <c r="G843">
        <f>INDEX(CO2_Em!$E:$ZZ, MATCH(A843, CO2_Em!$C:$C, 0), MATCH(B843, CO2_Em!$E$1:$ZZ$1, 0))</f>
        <v>3.3000000000000002E-2</v>
      </c>
      <c r="H843">
        <f>INDEX(Agri_VA!$E:$ZZ, MATCH(A843, Agri_VA!$C:$C, 0), MATCH(B843, Agri_VA!$E$1:$ZZ$1, 0))</f>
        <v>0.9209241135723224</v>
      </c>
      <c r="I843" s="6">
        <f>INDEX('Agri_land '!$E:$ZZ, MATCH(A843, 'Agri_land '!$C:$C, 0), MATCH(B843, 'Agri_land '!$E$1:$ZZ$1, 0))</f>
        <v>39.540771350698698</v>
      </c>
      <c r="J843">
        <f>INDEX(Cereal_Yield!$E:$ZZ, MATCH(A843, Cereal_Yield!$C:$C, 0), MATCH(B843, Cereal_Yield!$E$1:$ZZ$1, 0))</f>
        <v>6011.9</v>
      </c>
    </row>
    <row r="844" spans="1:10" x14ac:dyDescent="0.3">
      <c r="A844" t="s">
        <v>41</v>
      </c>
      <c r="B844" s="4">
        <v>2002</v>
      </c>
      <c r="C844" t="s">
        <v>49</v>
      </c>
      <c r="D844" s="8">
        <f>INDEX(GDP_pc!$E:$ZZ, MATCH(A844, GDP_pc!$C:$C, 0), MATCH(B844, GDP_pc!$E$1:$ZZ$1, 0))</f>
        <v>309301422430.38623</v>
      </c>
      <c r="E844">
        <f>INDEX(CH4_Em!$E:$ZZ, MATCH(A844, CH4_Em!$C:$C, 0), MATCH(B844, CH4_Em!$E$1:$ZZ$1, 0))</f>
        <v>4.2092999999999998</v>
      </c>
      <c r="F844">
        <f>INDEX(N2O_Em!$E:$ZZ, MATCH(A844, N2O_Em!$C:$C, 0), MATCH(B844, N2O_Em!$E$1:$ZZ$1, 0))</f>
        <v>1.5258</v>
      </c>
      <c r="G844">
        <f>INDEX(CO2_Em!$E:$ZZ, MATCH(A844, CO2_Em!$C:$C, 0), MATCH(B844, CO2_Em!$E$1:$ZZ$1, 0))</f>
        <v>2.6700000000000002E-2</v>
      </c>
      <c r="H844">
        <f>INDEX(Agri_VA!$E:$ZZ, MATCH(A844, Agri_VA!$C:$C, 0), MATCH(B844, Agri_VA!$E$1:$ZZ$1, 0))</f>
        <v>0.93365814189298824</v>
      </c>
      <c r="I844" s="6">
        <f>INDEX('Agri_land '!$E:$ZZ, MATCH(A844, 'Agri_land '!$C:$C, 0), MATCH(B844, 'Agri_land '!$E$1:$ZZ$1, 0))</f>
        <v>39.465603458442835</v>
      </c>
      <c r="J844">
        <f>INDEX(Cereal_Yield!$E:$ZZ, MATCH(A844, Cereal_Yield!$C:$C, 0), MATCH(B844, Cereal_Yield!$E$1:$ZZ$1, 0))</f>
        <v>6269.8</v>
      </c>
    </row>
    <row r="845" spans="1:10" x14ac:dyDescent="0.3">
      <c r="A845" t="s">
        <v>41</v>
      </c>
      <c r="B845" s="4">
        <v>2003</v>
      </c>
      <c r="C845" t="s">
        <v>49</v>
      </c>
      <c r="D845" s="8">
        <f>INDEX(GDP_pc!$E:$ZZ, MATCH(A845, GDP_pc!$C:$C, 0), MATCH(B845, GDP_pc!$E$1:$ZZ$1, 0))</f>
        <v>362075086507.7597</v>
      </c>
      <c r="E845">
        <f>INDEX(CH4_Em!$E:$ZZ, MATCH(A845, CH4_Em!$C:$C, 0), MATCH(B845, CH4_Em!$E$1:$ZZ$1, 0))</f>
        <v>4.1532999999999998</v>
      </c>
      <c r="F845">
        <f>INDEX(N2O_Em!$E:$ZZ, MATCH(A845, N2O_Em!$C:$C, 0), MATCH(B845, N2O_Em!$E$1:$ZZ$1, 0))</f>
        <v>1.5173000000000001</v>
      </c>
      <c r="G845">
        <f>INDEX(CO2_Em!$E:$ZZ, MATCH(A845, CO2_Em!$C:$C, 0), MATCH(B845, CO2_Em!$E$1:$ZZ$1, 0))</f>
        <v>3.1399999999999997E-2</v>
      </c>
      <c r="H845">
        <f>INDEX(Agri_VA!$E:$ZZ, MATCH(A845, Agri_VA!$C:$C, 0), MATCH(B845, Agri_VA!$E$1:$ZZ$1, 0))</f>
        <v>0.83699188607443531</v>
      </c>
      <c r="I845" s="6">
        <f>INDEX('Agri_land '!$E:$ZZ, MATCH(A845, 'Agri_land '!$C:$C, 0), MATCH(B845, 'Agri_land '!$E$1:$ZZ$1, 0))</f>
        <v>39.389477968792285</v>
      </c>
      <c r="J845">
        <f>INDEX(Cereal_Yield!$E:$ZZ, MATCH(A845, Cereal_Yield!$C:$C, 0), MATCH(B845, Cereal_Yield!$E$1:$ZZ$1, 0))</f>
        <v>5086.5</v>
      </c>
    </row>
    <row r="846" spans="1:10" x14ac:dyDescent="0.3">
      <c r="A846" t="s">
        <v>41</v>
      </c>
      <c r="B846" s="4">
        <v>2004</v>
      </c>
      <c r="C846" t="s">
        <v>49</v>
      </c>
      <c r="D846" s="8">
        <f>INDEX(GDP_pc!$E:$ZZ, MATCH(A846, GDP_pc!$C:$C, 0), MATCH(B846, GDP_pc!$E$1:$ZZ$1, 0))</f>
        <v>403912891033.37354</v>
      </c>
      <c r="E846">
        <f>INDEX(CH4_Em!$E:$ZZ, MATCH(A846, CH4_Em!$C:$C, 0), MATCH(B846, CH4_Em!$E$1:$ZZ$1, 0))</f>
        <v>4.0856000000000003</v>
      </c>
      <c r="F846">
        <f>INDEX(N2O_Em!$E:$ZZ, MATCH(A846, N2O_Em!$C:$C, 0), MATCH(B846, N2O_Em!$E$1:$ZZ$1, 0))</f>
        <v>1.5135000000000001</v>
      </c>
      <c r="G846">
        <f>INDEX(CO2_Em!$E:$ZZ, MATCH(A846, CO2_Em!$C:$C, 0), MATCH(B846, CO2_Em!$E$1:$ZZ$1, 0))</f>
        <v>3.7699999999999997E-2</v>
      </c>
      <c r="H846">
        <f>INDEX(Agri_VA!$E:$ZZ, MATCH(A846, Agri_VA!$C:$C, 0), MATCH(B846, Agri_VA!$E$1:$ZZ$1, 0))</f>
        <v>0.93499958030180352</v>
      </c>
      <c r="I846" s="6">
        <f>INDEX('Agri_land '!$E:$ZZ, MATCH(A846, 'Agri_land '!$C:$C, 0), MATCH(B846, 'Agri_land '!$E$1:$ZZ$1, 0))</f>
        <v>39.311924123808339</v>
      </c>
      <c r="J846">
        <f>INDEX(Cereal_Yield!$E:$ZZ, MATCH(A846, Cereal_Yield!$C:$C, 0), MATCH(B846, Cereal_Yield!$E$1:$ZZ$1, 0))</f>
        <v>6732.5</v>
      </c>
    </row>
    <row r="847" spans="1:10" x14ac:dyDescent="0.3">
      <c r="A847" t="s">
        <v>41</v>
      </c>
      <c r="B847" s="4">
        <v>2005</v>
      </c>
      <c r="C847" t="s">
        <v>49</v>
      </c>
      <c r="D847" s="8">
        <f>INDEX(GDP_pc!$E:$ZZ, MATCH(A847, GDP_pc!$C:$C, 0), MATCH(B847, GDP_pc!$E$1:$ZZ$1, 0))</f>
        <v>418284865884.99835</v>
      </c>
      <c r="E847">
        <f>INDEX(CH4_Em!$E:$ZZ, MATCH(A847, CH4_Em!$C:$C, 0), MATCH(B847, CH4_Em!$E$1:$ZZ$1, 0))</f>
        <v>4.1078000000000001</v>
      </c>
      <c r="F847">
        <f>INDEX(N2O_Em!$E:$ZZ, MATCH(A847, N2O_Em!$C:$C, 0), MATCH(B847, N2O_Em!$E$1:$ZZ$1, 0))</f>
        <v>1.5298</v>
      </c>
      <c r="G847">
        <f>INDEX(CO2_Em!$E:$ZZ, MATCH(A847, CO2_Em!$C:$C, 0), MATCH(B847, CO2_Em!$E$1:$ZZ$1, 0))</f>
        <v>5.5E-2</v>
      </c>
      <c r="H847">
        <f>INDEX(Agri_VA!$E:$ZZ, MATCH(A847, Agri_VA!$C:$C, 0), MATCH(B847, Agri_VA!$E$1:$ZZ$1, 0))</f>
        <v>0.81861933257862241</v>
      </c>
      <c r="I847" s="6">
        <f>INDEX('Agri_land '!$E:$ZZ, MATCH(A847, 'Agri_land '!$C:$C, 0), MATCH(B847, 'Agri_land '!$E$1:$ZZ$1, 0))</f>
        <v>39.234877637662535</v>
      </c>
      <c r="J847">
        <f>INDEX(Cereal_Yield!$E:$ZZ, MATCH(A847, Cereal_Yield!$C:$C, 0), MATCH(B847, Cereal_Yield!$E$1:$ZZ$1, 0))</f>
        <v>6300.4</v>
      </c>
    </row>
    <row r="848" spans="1:10" x14ac:dyDescent="0.3">
      <c r="A848" t="s">
        <v>41</v>
      </c>
      <c r="B848" s="4">
        <v>2006</v>
      </c>
      <c r="C848" t="s">
        <v>49</v>
      </c>
      <c r="D848" s="8">
        <f>INDEX(GDP_pc!$E:$ZZ, MATCH(A848, GDP_pc!$C:$C, 0), MATCH(B848, GDP_pc!$E$1:$ZZ$1, 0))</f>
        <v>441634672196.52258</v>
      </c>
      <c r="E848">
        <f>INDEX(CH4_Em!$E:$ZZ, MATCH(A848, CH4_Em!$C:$C, 0), MATCH(B848, CH4_Em!$E$1:$ZZ$1, 0))</f>
        <v>4.1326000000000001</v>
      </c>
      <c r="F848">
        <f>INDEX(N2O_Em!$E:$ZZ, MATCH(A848, N2O_Em!$C:$C, 0), MATCH(B848, N2O_Em!$E$1:$ZZ$1, 0))</f>
        <v>1.5142</v>
      </c>
      <c r="G848">
        <f>INDEX(CO2_Em!$E:$ZZ, MATCH(A848, CO2_Em!$C:$C, 0), MATCH(B848, CO2_Em!$E$1:$ZZ$1, 0))</f>
        <v>5.3400000000000003E-2</v>
      </c>
      <c r="H848">
        <f>INDEX(Agri_VA!$E:$ZZ, MATCH(A848, Agri_VA!$C:$C, 0), MATCH(B848, Agri_VA!$E$1:$ZZ$1, 0))</f>
        <v>0.75329811255025891</v>
      </c>
      <c r="I848" s="6">
        <f>INDEX('Agri_land '!$E:$ZZ, MATCH(A848, 'Agri_land '!$C:$C, 0), MATCH(B848, 'Agri_land '!$E$1:$ZZ$1, 0))</f>
        <v>39.159052182210125</v>
      </c>
      <c r="J848">
        <f>INDEX(Cereal_Yield!$E:$ZZ, MATCH(A848, Cereal_Yield!$C:$C, 0), MATCH(B848, Cereal_Yield!$E$1:$ZZ$1, 0))</f>
        <v>6165</v>
      </c>
    </row>
    <row r="849" spans="1:10" x14ac:dyDescent="0.3">
      <c r="A849" t="s">
        <v>41</v>
      </c>
      <c r="B849" s="4">
        <v>2007</v>
      </c>
      <c r="C849" t="s">
        <v>49</v>
      </c>
      <c r="D849" s="8">
        <f>INDEX(GDP_pc!$E:$ZZ, MATCH(A849, GDP_pc!$C:$C, 0), MATCH(B849, GDP_pc!$E$1:$ZZ$1, 0))</f>
        <v>490740715594.80176</v>
      </c>
      <c r="E849">
        <f>INDEX(CH4_Em!$E:$ZZ, MATCH(A849, CH4_Em!$C:$C, 0), MATCH(B849, CH4_Em!$E$1:$ZZ$1, 0))</f>
        <v>4.1342999999999996</v>
      </c>
      <c r="F849">
        <f>INDEX(N2O_Em!$E:$ZZ, MATCH(A849, N2O_Em!$C:$C, 0), MATCH(B849, N2O_Em!$E$1:$ZZ$1, 0))</f>
        <v>1.4714</v>
      </c>
      <c r="G849">
        <f>INDEX(CO2_Em!$E:$ZZ, MATCH(A849, CO2_Em!$C:$C, 0), MATCH(B849, CO2_Em!$E$1:$ZZ$1, 0))</f>
        <v>4.0899999999999999E-2</v>
      </c>
      <c r="H849">
        <f>INDEX(Agri_VA!$E:$ZZ, MATCH(A849, Agri_VA!$C:$C, 0), MATCH(B849, Agri_VA!$E$1:$ZZ$1, 0))</f>
        <v>0.77316258292063056</v>
      </c>
      <c r="I849" s="6">
        <f>INDEX('Agri_land '!$E:$ZZ, MATCH(A849, 'Agri_land '!$C:$C, 0), MATCH(B849, 'Agri_land '!$E$1:$ZZ$1, 0))</f>
        <v>39.083077776501192</v>
      </c>
      <c r="J849">
        <f>INDEX(Cereal_Yield!$E:$ZZ, MATCH(A849, Cereal_Yield!$C:$C, 0), MATCH(B849, Cereal_Yield!$E$1:$ZZ$1, 0))</f>
        <v>6418.5</v>
      </c>
    </row>
    <row r="850" spans="1:10" x14ac:dyDescent="0.3">
      <c r="A850" t="s">
        <v>41</v>
      </c>
      <c r="B850" s="4">
        <v>2008</v>
      </c>
      <c r="C850" t="s">
        <v>49</v>
      </c>
      <c r="D850" s="8">
        <f>INDEX(GDP_pc!$E:$ZZ, MATCH(A850, GDP_pc!$C:$C, 0), MATCH(B850, GDP_pc!$E$1:$ZZ$1, 0))</f>
        <v>567267767519.15796</v>
      </c>
      <c r="E850">
        <f>INDEX(CH4_Em!$E:$ZZ, MATCH(A850, CH4_Em!$C:$C, 0), MATCH(B850, CH4_Em!$E$1:$ZZ$1, 0))</f>
        <v>4.2260999999999997</v>
      </c>
      <c r="F850">
        <f>INDEX(N2O_Em!$E:$ZZ, MATCH(A850, N2O_Em!$C:$C, 0), MATCH(B850, N2O_Em!$E$1:$ZZ$1, 0))</f>
        <v>1.4671000000000001</v>
      </c>
      <c r="G850">
        <f>INDEX(CO2_Em!$E:$ZZ, MATCH(A850, CO2_Em!$C:$C, 0), MATCH(B850, CO2_Em!$E$1:$ZZ$1, 0))</f>
        <v>3.1399999999999997E-2</v>
      </c>
      <c r="H850">
        <f>INDEX(Agri_VA!$E:$ZZ, MATCH(A850, Agri_VA!$C:$C, 0), MATCH(B850, Agri_VA!$E$1:$ZZ$1, 0))</f>
        <v>0.7835339386418092</v>
      </c>
      <c r="I850" s="6">
        <f>INDEX('Agri_land '!$E:$ZZ, MATCH(A850, 'Agri_land '!$C:$C, 0), MATCH(B850, 'Agri_land '!$E$1:$ZZ$1, 0))</f>
        <v>38.999110248911144</v>
      </c>
      <c r="J850">
        <f>INDEX(Cereal_Yield!$E:$ZZ, MATCH(A850, Cereal_Yield!$C:$C, 0), MATCH(B850, Cereal_Yield!$E$1:$ZZ$1, 0))</f>
        <v>6413.1</v>
      </c>
    </row>
    <row r="851" spans="1:10" x14ac:dyDescent="0.3">
      <c r="A851" t="s">
        <v>41</v>
      </c>
      <c r="B851" s="4">
        <v>2009</v>
      </c>
      <c r="C851" t="s">
        <v>49</v>
      </c>
      <c r="D851" s="8">
        <f>INDEX(GDP_pc!$E:$ZZ, MATCH(A851, GDP_pc!$C:$C, 0), MATCH(B851, GDP_pc!$E$1:$ZZ$1, 0))</f>
        <v>554212916092.27087</v>
      </c>
      <c r="E851">
        <f>INDEX(CH4_Em!$E:$ZZ, MATCH(A851, CH4_Em!$C:$C, 0), MATCH(B851, CH4_Em!$E$1:$ZZ$1, 0))</f>
        <v>4.1588000000000003</v>
      </c>
      <c r="F851">
        <f>INDEX(N2O_Em!$E:$ZZ, MATCH(A851, N2O_Em!$C:$C, 0), MATCH(B851, N2O_Em!$E$1:$ZZ$1, 0))</f>
        <v>1.4516</v>
      </c>
      <c r="G851">
        <f>INDEX(CO2_Em!$E:$ZZ, MATCH(A851, CO2_Em!$C:$C, 0), MATCH(B851, CO2_Em!$E$1:$ZZ$1, 0))</f>
        <v>3.39E-2</v>
      </c>
      <c r="H851">
        <f>INDEX(Agri_VA!$E:$ZZ, MATCH(A851, Agri_VA!$C:$C, 0), MATCH(B851, Agri_VA!$E$1:$ZZ$1, 0))</f>
        <v>0.72250757668150711</v>
      </c>
      <c r="I851" s="6">
        <f>INDEX('Agri_land '!$E:$ZZ, MATCH(A851, 'Agri_land '!$C:$C, 0), MATCH(B851, 'Agri_land '!$E$1:$ZZ$1, 0))</f>
        <v>38.915451463265107</v>
      </c>
      <c r="J851">
        <f>INDEX(Cereal_Yield!$E:$ZZ, MATCH(A851, Cereal_Yield!$C:$C, 0), MATCH(B851, Cereal_Yield!$E$1:$ZZ$1, 0))</f>
        <v>6578.3</v>
      </c>
    </row>
    <row r="852" spans="1:10" x14ac:dyDescent="0.3">
      <c r="A852" t="s">
        <v>41</v>
      </c>
      <c r="B852" s="4">
        <v>2010</v>
      </c>
      <c r="C852" t="s">
        <v>49</v>
      </c>
      <c r="D852" s="8">
        <f>INDEX(GDP_pc!$E:$ZZ, MATCH(A852, GDP_pc!$C:$C, 0), MATCH(B852, GDP_pc!$E$1:$ZZ$1, 0))</f>
        <v>598851028906.58032</v>
      </c>
      <c r="E852">
        <f>INDEX(CH4_Em!$E:$ZZ, MATCH(A852, CH4_Em!$C:$C, 0), MATCH(B852, CH4_Em!$E$1:$ZZ$1, 0))</f>
        <v>4.1787999999999998</v>
      </c>
      <c r="F852">
        <f>INDEX(N2O_Em!$E:$ZZ, MATCH(A852, N2O_Em!$C:$C, 0), MATCH(B852, N2O_Em!$E$1:$ZZ$1, 0))</f>
        <v>1.4410000000000001</v>
      </c>
      <c r="G852">
        <f>INDEX(CO2_Em!$E:$ZZ, MATCH(A852, CO2_Em!$C:$C, 0), MATCH(B852, CO2_Em!$E$1:$ZZ$1, 0))</f>
        <v>2.6700000000000002E-2</v>
      </c>
      <c r="H852">
        <f>INDEX(Agri_VA!$E:$ZZ, MATCH(A852, Agri_VA!$C:$C, 0), MATCH(B852, Agri_VA!$E$1:$ZZ$1, 0))</f>
        <v>0.66294057451436117</v>
      </c>
      <c r="I852" s="6">
        <f>INDEX('Agri_land '!$E:$ZZ, MATCH(A852, 'Agri_land '!$C:$C, 0), MATCH(B852, 'Agri_land '!$E$1:$ZZ$1, 0))</f>
        <v>38.832838878628614</v>
      </c>
      <c r="J852">
        <f>INDEX(Cereal_Yield!$E:$ZZ, MATCH(A852, Cereal_Yield!$C:$C, 0), MATCH(B852, Cereal_Yield!$E$1:$ZZ$1, 0))</f>
        <v>6093.9</v>
      </c>
    </row>
    <row r="853" spans="1:10" x14ac:dyDescent="0.3">
      <c r="A853" t="s">
        <v>41</v>
      </c>
      <c r="B853" s="4">
        <v>2011</v>
      </c>
      <c r="C853" t="s">
        <v>49</v>
      </c>
      <c r="D853" s="8">
        <f>INDEX(GDP_pc!$E:$ZZ, MATCH(A853, GDP_pc!$C:$C, 0), MATCH(B853, GDP_pc!$E$1:$ZZ$1, 0))</f>
        <v>715888126682.39587</v>
      </c>
      <c r="E853">
        <f>INDEX(CH4_Em!$E:$ZZ, MATCH(A853, CH4_Em!$C:$C, 0), MATCH(B853, CH4_Em!$E$1:$ZZ$1, 0))</f>
        <v>4.1467999999999998</v>
      </c>
      <c r="F853">
        <f>INDEX(N2O_Em!$E:$ZZ, MATCH(A853, N2O_Em!$C:$C, 0), MATCH(B853, N2O_Em!$E$1:$ZZ$1, 0))</f>
        <v>1.488</v>
      </c>
      <c r="G853">
        <f>INDEX(CO2_Em!$E:$ZZ, MATCH(A853, CO2_Em!$C:$C, 0), MATCH(B853, CO2_Em!$E$1:$ZZ$1, 0))</f>
        <v>6.8099999999999994E-2</v>
      </c>
      <c r="H853">
        <f>INDEX(Agri_VA!$E:$ZZ, MATCH(A853, Agri_VA!$C:$C, 0), MATCH(B853, Agri_VA!$E$1:$ZZ$1, 0))</f>
        <v>0.67669983001696687</v>
      </c>
      <c r="I853" s="6">
        <f>INDEX('Agri_land '!$E:$ZZ, MATCH(A853, 'Agri_land '!$C:$C, 0), MATCH(B853, 'Agri_land '!$E$1:$ZZ$1, 0))</f>
        <v>38.750211135043266</v>
      </c>
      <c r="J853">
        <f>INDEX(Cereal_Yield!$E:$ZZ, MATCH(A853, Cereal_Yield!$C:$C, 0), MATCH(B853, Cereal_Yield!$E$1:$ZZ$1, 0))</f>
        <v>6874.6</v>
      </c>
    </row>
    <row r="854" spans="1:10" x14ac:dyDescent="0.3">
      <c r="A854" t="s">
        <v>41</v>
      </c>
      <c r="B854" s="4">
        <v>2012</v>
      </c>
      <c r="C854" t="s">
        <v>49</v>
      </c>
      <c r="D854" s="8">
        <f>INDEX(GDP_pc!$E:$ZZ, MATCH(A854, GDP_pc!$C:$C, 0), MATCH(B854, GDP_pc!$E$1:$ZZ$1, 0))</f>
        <v>686420221557.98987</v>
      </c>
      <c r="E854">
        <f>INDEX(CH4_Em!$E:$ZZ, MATCH(A854, CH4_Em!$C:$C, 0), MATCH(B854, CH4_Em!$E$1:$ZZ$1, 0))</f>
        <v>4.12</v>
      </c>
      <c r="F854">
        <f>INDEX(N2O_Em!$E:$ZZ, MATCH(A854, N2O_Em!$C:$C, 0), MATCH(B854, N2O_Em!$E$1:$ZZ$1, 0))</f>
        <v>1.4036</v>
      </c>
      <c r="G854">
        <f>INDEX(CO2_Em!$E:$ZZ, MATCH(A854, CO2_Em!$C:$C, 0), MATCH(B854, CO2_Em!$E$1:$ZZ$1, 0))</f>
        <v>5.9799999999999999E-2</v>
      </c>
      <c r="H854">
        <f>INDEX(Agri_VA!$E:$ZZ, MATCH(A854, Agri_VA!$C:$C, 0), MATCH(B854, Agri_VA!$E$1:$ZZ$1, 0))</f>
        <v>0.63458696366518563</v>
      </c>
      <c r="I854" s="6">
        <f>INDEX('Agri_land '!$E:$ZZ, MATCH(A854, 'Agri_land '!$C:$C, 0), MATCH(B854, 'Agri_land '!$E$1:$ZZ$1, 0))</f>
        <v>38.667655833813441</v>
      </c>
      <c r="J854">
        <f>INDEX(Cereal_Yield!$E:$ZZ, MATCH(A854, Cereal_Yield!$C:$C, 0), MATCH(B854, Cereal_Yield!$E$1:$ZZ$1, 0))</f>
        <v>6464.3</v>
      </c>
    </row>
    <row r="855" spans="1:10" x14ac:dyDescent="0.3">
      <c r="A855" t="s">
        <v>41</v>
      </c>
      <c r="B855" s="4">
        <v>2013</v>
      </c>
      <c r="C855" t="s">
        <v>49</v>
      </c>
      <c r="D855" s="8">
        <f>INDEX(GDP_pc!$E:$ZZ, MATCH(A855, GDP_pc!$C:$C, 0), MATCH(B855, GDP_pc!$E$1:$ZZ$1, 0))</f>
        <v>706234937370.96753</v>
      </c>
      <c r="E855">
        <f>INDEX(CH4_Em!$E:$ZZ, MATCH(A855, CH4_Em!$C:$C, 0), MATCH(B855, CH4_Em!$E$1:$ZZ$1, 0))</f>
        <v>4.2428999999999997</v>
      </c>
      <c r="F855">
        <f>INDEX(N2O_Em!$E:$ZZ, MATCH(A855, N2O_Em!$C:$C, 0), MATCH(B855, N2O_Em!$E$1:$ZZ$1, 0))</f>
        <v>1.391</v>
      </c>
      <c r="G855">
        <f>INDEX(CO2_Em!$E:$ZZ, MATCH(A855, CO2_Em!$C:$C, 0), MATCH(B855, CO2_Em!$E$1:$ZZ$1, 0))</f>
        <v>6.0100000000000001E-2</v>
      </c>
      <c r="H855">
        <f>INDEX(Agri_VA!$E:$ZZ, MATCH(A855, Agri_VA!$C:$C, 0), MATCH(B855, Agri_VA!$E$1:$ZZ$1, 0))</f>
        <v>0.66253371355651769</v>
      </c>
      <c r="I855" s="6">
        <f>INDEX('Agri_land '!$E:$ZZ, MATCH(A855, 'Agri_land '!$C:$C, 0), MATCH(B855, 'Agri_land '!$E$1:$ZZ$1, 0))</f>
        <v>38.585375856321875</v>
      </c>
      <c r="J855">
        <f>INDEX(Cereal_Yield!$E:$ZZ, MATCH(A855, Cereal_Yield!$C:$C, 0), MATCH(B855, Cereal_Yield!$E$1:$ZZ$1, 0))</f>
        <v>5945.6</v>
      </c>
    </row>
    <row r="856" spans="1:10" x14ac:dyDescent="0.3">
      <c r="A856" t="s">
        <v>41</v>
      </c>
      <c r="B856" s="4">
        <v>2014</v>
      </c>
      <c r="C856" t="s">
        <v>49</v>
      </c>
      <c r="D856" s="8">
        <f>INDEX(GDP_pc!$E:$ZZ, MATCH(A856, GDP_pc!$C:$C, 0), MATCH(B856, GDP_pc!$E$1:$ZZ$1, 0))</f>
        <v>726537808338.00049</v>
      </c>
      <c r="E856">
        <f>INDEX(CH4_Em!$E:$ZZ, MATCH(A856, CH4_Em!$C:$C, 0), MATCH(B856, CH4_Em!$E$1:$ZZ$1, 0))</f>
        <v>4.2747000000000002</v>
      </c>
      <c r="F856">
        <f>INDEX(N2O_Em!$E:$ZZ, MATCH(A856, N2O_Em!$C:$C, 0), MATCH(B856, N2O_Em!$E$1:$ZZ$1, 0))</f>
        <v>1.3856999999999999</v>
      </c>
      <c r="G856">
        <f>INDEX(CO2_Em!$E:$ZZ, MATCH(A856, CO2_Em!$C:$C, 0), MATCH(B856, CO2_Em!$E$1:$ZZ$1, 0))</f>
        <v>4.6100000000000002E-2</v>
      </c>
      <c r="H856">
        <f>INDEX(Agri_VA!$E:$ZZ, MATCH(A856, Agri_VA!$C:$C, 0), MATCH(B856, Agri_VA!$E$1:$ZZ$1, 0))</f>
        <v>0.70887766688964626</v>
      </c>
      <c r="I856" s="6">
        <f>INDEX('Agri_land '!$E:$ZZ, MATCH(A856, 'Agri_land '!$C:$C, 0), MATCH(B856, 'Agri_land '!$E$1:$ZZ$1, 0))</f>
        <v>38.502806407833155</v>
      </c>
      <c r="J856">
        <f>INDEX(Cereal_Yield!$E:$ZZ, MATCH(A856, Cereal_Yield!$C:$C, 0), MATCH(B856, Cereal_Yield!$E$1:$ZZ$1, 0))</f>
        <v>7044.6</v>
      </c>
    </row>
    <row r="857" spans="1:10" x14ac:dyDescent="0.3">
      <c r="A857" t="s">
        <v>41</v>
      </c>
      <c r="B857" s="4">
        <v>2015</v>
      </c>
      <c r="C857" t="s">
        <v>49</v>
      </c>
      <c r="D857" s="8">
        <f>INDEX(GDP_pc!$E:$ZZ, MATCH(A857, GDP_pc!$C:$C, 0), MATCH(B857, GDP_pc!$E$1:$ZZ$1, 0))</f>
        <v>694118186379.62781</v>
      </c>
      <c r="E857">
        <f>INDEX(CH4_Em!$E:$ZZ, MATCH(A857, CH4_Em!$C:$C, 0), MATCH(B857, CH4_Em!$E$1:$ZZ$1, 0))</f>
        <v>4.2354000000000003</v>
      </c>
      <c r="F857">
        <f>INDEX(N2O_Em!$E:$ZZ, MATCH(A857, N2O_Em!$C:$C, 0), MATCH(B857, N2O_Em!$E$1:$ZZ$1, 0))</f>
        <v>1.3547</v>
      </c>
      <c r="G857">
        <f>INDEX(CO2_Em!$E:$ZZ, MATCH(A857, CO2_Em!$C:$C, 0), MATCH(B857, CO2_Em!$E$1:$ZZ$1, 0))</f>
        <v>5.3600000000000002E-2</v>
      </c>
      <c r="H857">
        <f>INDEX(Agri_VA!$E:$ZZ, MATCH(A857, Agri_VA!$C:$C, 0), MATCH(B857, Agri_VA!$E$1:$ZZ$1, 0))</f>
        <v>0.62644626050893026</v>
      </c>
      <c r="I857" s="6">
        <f>INDEX('Agri_land '!$E:$ZZ, MATCH(A857, 'Agri_land '!$C:$C, 0), MATCH(B857, 'Agri_land '!$E$1:$ZZ$1, 0))</f>
        <v>38.420568546424562</v>
      </c>
      <c r="J857">
        <f>INDEX(Cereal_Yield!$E:$ZZ, MATCH(A857, Cereal_Yield!$C:$C, 0), MATCH(B857, Cereal_Yield!$E$1:$ZZ$1, 0))</f>
        <v>6431.9</v>
      </c>
    </row>
    <row r="858" spans="1:10" x14ac:dyDescent="0.3">
      <c r="A858" t="s">
        <v>41</v>
      </c>
      <c r="B858" s="4">
        <v>2016</v>
      </c>
      <c r="C858" t="s">
        <v>49</v>
      </c>
      <c r="D858" s="8">
        <f>INDEX(GDP_pc!$E:$ZZ, MATCH(A858, GDP_pc!$C:$C, 0), MATCH(B858, GDP_pc!$E$1:$ZZ$1, 0))</f>
        <v>687895460902.71326</v>
      </c>
      <c r="E858">
        <f>INDEX(CH4_Em!$E:$ZZ, MATCH(A858, CH4_Em!$C:$C, 0), MATCH(B858, CH4_Em!$E$1:$ZZ$1, 0))</f>
        <v>4.2050000000000001</v>
      </c>
      <c r="F858">
        <f>INDEX(N2O_Em!$E:$ZZ, MATCH(A858, N2O_Em!$C:$C, 0), MATCH(B858, N2O_Em!$E$1:$ZZ$1, 0))</f>
        <v>1.3393999999999999</v>
      </c>
      <c r="G858">
        <f>INDEX(CO2_Em!$E:$ZZ, MATCH(A858, CO2_Em!$C:$C, 0), MATCH(B858, CO2_Em!$E$1:$ZZ$1, 0))</f>
        <v>5.8200000000000002E-2</v>
      </c>
      <c r="H858">
        <f>INDEX(Agri_VA!$E:$ZZ, MATCH(A858, Agri_VA!$C:$C, 0), MATCH(B858, Agri_VA!$E$1:$ZZ$1, 0))</f>
        <v>0.65801047166700188</v>
      </c>
      <c r="I858" s="6">
        <f>INDEX('Agri_land '!$E:$ZZ, MATCH(A858, 'Agri_land '!$C:$C, 0), MATCH(B858, 'Agri_land '!$E$1:$ZZ$1, 0))</f>
        <v>38.338660726511485</v>
      </c>
      <c r="J858">
        <f>INDEX(Cereal_Yield!$E:$ZZ, MATCH(A858, Cereal_Yield!$C:$C, 0), MATCH(B858, Cereal_Yield!$E$1:$ZZ$1, 0))</f>
        <v>5154.6000000000004</v>
      </c>
    </row>
    <row r="859" spans="1:10" x14ac:dyDescent="0.3">
      <c r="A859" t="s">
        <v>41</v>
      </c>
      <c r="B859" s="4">
        <v>2017</v>
      </c>
      <c r="C859" t="s">
        <v>49</v>
      </c>
      <c r="D859" s="8">
        <f>INDEX(GDP_pc!$E:$ZZ, MATCH(A859, GDP_pc!$C:$C, 0), MATCH(B859, GDP_pc!$E$1:$ZZ$1, 0))</f>
        <v>695200833086.4989</v>
      </c>
      <c r="E859">
        <f>INDEX(CH4_Em!$E:$ZZ, MATCH(A859, CH4_Em!$C:$C, 0), MATCH(B859, CH4_Em!$E$1:$ZZ$1, 0))</f>
        <v>4.1856</v>
      </c>
      <c r="F859">
        <f>INDEX(N2O_Em!$E:$ZZ, MATCH(A859, N2O_Em!$C:$C, 0), MATCH(B859, N2O_Em!$E$1:$ZZ$1, 0))</f>
        <v>1.3951</v>
      </c>
      <c r="G859">
        <f>INDEX(CO2_Em!$E:$ZZ, MATCH(A859, CO2_Em!$C:$C, 0), MATCH(B859, CO2_Em!$E$1:$ZZ$1, 0))</f>
        <v>4.9000000000000002E-2</v>
      </c>
      <c r="H859">
        <f>INDEX(Agri_VA!$E:$ZZ, MATCH(A859, Agri_VA!$C:$C, 0), MATCH(B859, Agri_VA!$E$1:$ZZ$1, 0))</f>
        <v>0.63133351033404128</v>
      </c>
      <c r="I859" s="6">
        <f>INDEX('Agri_land '!$E:$ZZ, MATCH(A859, 'Agri_land '!$C:$C, 0), MATCH(B859, 'Agri_land '!$E$1:$ZZ$1, 0))</f>
        <v>38.259882464097991</v>
      </c>
      <c r="J859">
        <f>INDEX(Cereal_Yield!$E:$ZZ, MATCH(A859, Cereal_Yield!$C:$C, 0), MATCH(B859, Cereal_Yield!$E$1:$ZZ$1, 0))</f>
        <v>6800.2</v>
      </c>
    </row>
    <row r="860" spans="1:10" x14ac:dyDescent="0.3">
      <c r="A860" t="s">
        <v>41</v>
      </c>
      <c r="B860" s="4">
        <v>2018</v>
      </c>
      <c r="C860" t="s">
        <v>49</v>
      </c>
      <c r="D860" s="8">
        <f>INDEX(GDP_pc!$E:$ZZ, MATCH(A860, GDP_pc!$C:$C, 0), MATCH(B860, GDP_pc!$E$1:$ZZ$1, 0))</f>
        <v>725568717468.00085</v>
      </c>
      <c r="E860">
        <f>INDEX(CH4_Em!$E:$ZZ, MATCH(A860, CH4_Em!$C:$C, 0), MATCH(B860, CH4_Em!$E$1:$ZZ$1, 0))</f>
        <v>4.1835000000000004</v>
      </c>
      <c r="F860">
        <f>INDEX(N2O_Em!$E:$ZZ, MATCH(A860, N2O_Em!$C:$C, 0), MATCH(B860, N2O_Em!$E$1:$ZZ$1, 0))</f>
        <v>1.3955</v>
      </c>
      <c r="G860">
        <f>INDEX(CO2_Em!$E:$ZZ, MATCH(A860, CO2_Em!$C:$C, 0), MATCH(B860, CO2_Em!$E$1:$ZZ$1, 0))</f>
        <v>1.55E-2</v>
      </c>
      <c r="H860">
        <f>INDEX(Agri_VA!$E:$ZZ, MATCH(A860, Agri_VA!$C:$C, 0), MATCH(B860, Agri_VA!$E$1:$ZZ$1, 0))</f>
        <v>0.64375070233947895</v>
      </c>
      <c r="I860" s="6">
        <f>INDEX('Agri_land '!$E:$ZZ, MATCH(A860, 'Agri_land '!$C:$C, 0), MATCH(B860, 'Agri_land '!$E$1:$ZZ$1, 0))</f>
        <v>38.182405150339292</v>
      </c>
      <c r="J860">
        <f>INDEX(Cereal_Yield!$E:$ZZ, MATCH(A860, Cereal_Yield!$C:$C, 0), MATCH(B860, Cereal_Yield!$E$1:$ZZ$1, 0))</f>
        <v>6332.3</v>
      </c>
    </row>
    <row r="861" spans="1:10" x14ac:dyDescent="0.3">
      <c r="A861" t="s">
        <v>41</v>
      </c>
      <c r="B861" s="4">
        <v>2019</v>
      </c>
      <c r="C861" t="s">
        <v>49</v>
      </c>
      <c r="D861" s="8">
        <f>INDEX(GDP_pc!$E:$ZZ, MATCH(A861, GDP_pc!$C:$C, 0), MATCH(B861, GDP_pc!$E$1:$ZZ$1, 0))</f>
        <v>721369112726.72388</v>
      </c>
      <c r="E861">
        <f>INDEX(CH4_Em!$E:$ZZ, MATCH(A861, CH4_Em!$C:$C, 0), MATCH(B861, CH4_Em!$E$1:$ZZ$1, 0))</f>
        <v>4.1003999999999996</v>
      </c>
      <c r="F861">
        <f>INDEX(N2O_Em!$E:$ZZ, MATCH(A861, N2O_Em!$C:$C, 0), MATCH(B861, N2O_Em!$E$1:$ZZ$1, 0))</f>
        <v>1.3902000000000001</v>
      </c>
      <c r="G861">
        <f>INDEX(CO2_Em!$E:$ZZ, MATCH(A861, CO2_Em!$C:$C, 0), MATCH(B861, CO2_Em!$E$1:$ZZ$1, 0))</f>
        <v>1.4E-2</v>
      </c>
      <c r="H861">
        <f>INDEX(Agri_VA!$E:$ZZ, MATCH(A861, Agri_VA!$C:$C, 0), MATCH(B861, Agri_VA!$E$1:$ZZ$1, 0))</f>
        <v>0.64774552689598386</v>
      </c>
      <c r="I861" s="6">
        <f>INDEX('Agri_land '!$E:$ZZ, MATCH(A861, 'Agri_land '!$C:$C, 0), MATCH(B861, 'Agri_land '!$E$1:$ZZ$1, 0))</f>
        <v>38.105034139778077</v>
      </c>
      <c r="J861">
        <f>INDEX(Cereal_Yield!$E:$ZZ, MATCH(A861, Cereal_Yield!$C:$C, 0), MATCH(B861, Cereal_Yield!$E$1:$ZZ$1, 0))</f>
        <v>6580.8</v>
      </c>
    </row>
    <row r="862" spans="1:10" x14ac:dyDescent="0.3">
      <c r="A862" t="s">
        <v>41</v>
      </c>
      <c r="B862" s="4">
        <v>2020</v>
      </c>
      <c r="C862" t="s">
        <v>49</v>
      </c>
      <c r="D862" s="8">
        <f>INDEX(GDP_pc!$E:$ZZ, MATCH(A862, GDP_pc!$C:$C, 0), MATCH(B862, GDP_pc!$E$1:$ZZ$1, 0))</f>
        <v>741999406005.6272</v>
      </c>
      <c r="E862">
        <f>INDEX(CH4_Em!$E:$ZZ, MATCH(A862, CH4_Em!$C:$C, 0), MATCH(B862, CH4_Em!$E$1:$ZZ$1, 0))</f>
        <v>4.0777999999999999</v>
      </c>
      <c r="F862">
        <f>INDEX(N2O_Em!$E:$ZZ, MATCH(A862, N2O_Em!$C:$C, 0), MATCH(B862, N2O_Em!$E$1:$ZZ$1, 0))</f>
        <v>1.4830000000000001</v>
      </c>
      <c r="G862">
        <f>INDEX(CO2_Em!$E:$ZZ, MATCH(A862, CO2_Em!$C:$C, 0), MATCH(B862, CO2_Em!$E$1:$ZZ$1, 0))</f>
        <v>4.2799999999999998E-2</v>
      </c>
      <c r="H862">
        <f>INDEX(Agri_VA!$E:$ZZ, MATCH(A862, Agri_VA!$C:$C, 0), MATCH(B862, Agri_VA!$E$1:$ZZ$1, 0))</f>
        <v>0.70547763332172919</v>
      </c>
      <c r="I862" s="6">
        <f>INDEX('Agri_land '!$E:$ZZ, MATCH(A862, 'Agri_land '!$C:$C, 0), MATCH(B862, 'Agri_land '!$E$1:$ZZ$1, 0))</f>
        <v>38.027106302944368</v>
      </c>
      <c r="J862">
        <f>INDEX(Cereal_Yield!$E:$ZZ, MATCH(A862, Cereal_Yield!$C:$C, 0), MATCH(B862, Cereal_Yield!$E$1:$ZZ$1, 0))</f>
        <v>6978</v>
      </c>
    </row>
    <row r="863" spans="1:10" x14ac:dyDescent="0.3">
      <c r="A863" t="s">
        <v>41</v>
      </c>
      <c r="B863" s="4">
        <v>2021</v>
      </c>
      <c r="C863" t="s">
        <v>49</v>
      </c>
      <c r="D863" s="8">
        <f>INDEX(GDP_pc!$E:$ZZ, MATCH(A863, GDP_pc!$C:$C, 0), MATCH(B863, GDP_pc!$E$1:$ZZ$1, 0))</f>
        <v>815309330986.71851</v>
      </c>
      <c r="E863">
        <f>INDEX(CH4_Em!$E:$ZZ, MATCH(A863, CH4_Em!$C:$C, 0), MATCH(B863, CH4_Em!$E$1:$ZZ$1, 0))</f>
        <v>4.0785</v>
      </c>
      <c r="F863">
        <f>INDEX(N2O_Em!$E:$ZZ, MATCH(A863, N2O_Em!$C:$C, 0), MATCH(B863, N2O_Em!$E$1:$ZZ$1, 0))</f>
        <v>1.4773000000000001</v>
      </c>
      <c r="G863">
        <f>INDEX(CO2_Em!$E:$ZZ, MATCH(A863, CO2_Em!$C:$C, 0), MATCH(B863, CO2_Em!$E$1:$ZZ$1, 0))</f>
        <v>4.2599999999999999E-2</v>
      </c>
      <c r="H863">
        <f>INDEX(Agri_VA!$E:$ZZ, MATCH(A863, Agri_VA!$C:$C, 0), MATCH(B863, Agri_VA!$E$1:$ZZ$1, 0))</f>
        <v>0.62756742418485878</v>
      </c>
      <c r="I863" s="6">
        <f>INDEX('Agri_land '!$E:$ZZ, MATCH(A863, 'Agri_land '!$C:$C, 0), MATCH(B863, 'Agri_land '!$E$1:$ZZ$1, 0))</f>
        <v>37.949692264898459</v>
      </c>
      <c r="J863">
        <f>INDEX(Cereal_Yield!$E:$ZZ, MATCH(A863, Cereal_Yield!$C:$C, 0), MATCH(B863, Cereal_Yield!$E$1:$ZZ$1, 0))</f>
        <v>5515.8</v>
      </c>
    </row>
    <row r="864" spans="1:10" x14ac:dyDescent="0.3">
      <c r="A864" t="s">
        <v>41</v>
      </c>
      <c r="B864" s="4">
        <v>2022</v>
      </c>
      <c r="C864" t="s">
        <v>49</v>
      </c>
      <c r="D864" s="8">
        <f>INDEX(GDP_pc!$E:$ZZ, MATCH(A864, GDP_pc!$C:$C, 0), MATCH(B864, GDP_pc!$E$1:$ZZ$1, 0))</f>
        <v>828508926958.39331</v>
      </c>
      <c r="E864">
        <f>INDEX(CH4_Em!$E:$ZZ, MATCH(A864, CH4_Em!$C:$C, 0), MATCH(B864, CH4_Em!$E$1:$ZZ$1, 0))</f>
        <v>4.0872000000000002</v>
      </c>
      <c r="F864">
        <f>INDEX(N2O_Em!$E:$ZZ, MATCH(A864, N2O_Em!$C:$C, 0), MATCH(B864, N2O_Em!$E$1:$ZZ$1, 0))</f>
        <v>1.4398</v>
      </c>
      <c r="G864">
        <f>INDEX(CO2_Em!$E:$ZZ, MATCH(A864, CO2_Em!$C:$C, 0), MATCH(B864, CO2_Em!$E$1:$ZZ$1, 0))</f>
        <v>3.5999999999999997E-2</v>
      </c>
      <c r="H864">
        <f>INDEX(Agri_VA!$E:$ZZ, MATCH(A864, Agri_VA!$C:$C, 0), MATCH(B864, Agri_VA!$E$1:$ZZ$1, 0))</f>
        <v>0.61637979881485894</v>
      </c>
      <c r="I864" s="6">
        <f>INDEX('Agri_land '!$E:$ZZ, MATCH(A864, 'Agri_land '!$C:$C, 0), MATCH(B864, 'Agri_land '!$E$1:$ZZ$1, 0))</f>
        <v>37.871293656761658</v>
      </c>
      <c r="J864">
        <f>INDEX(Cereal_Yield!$E:$ZZ, MATCH(A864, Cereal_Yield!$C:$C, 0), MATCH(B864, Cereal_Yield!$E$1:$ZZ$1, 0))</f>
        <v>6081.1</v>
      </c>
    </row>
    <row r="865" spans="1:10" x14ac:dyDescent="0.3">
      <c r="A865" t="s">
        <v>41</v>
      </c>
      <c r="B865" s="4">
        <v>2023</v>
      </c>
      <c r="C865" t="s">
        <v>49</v>
      </c>
      <c r="D865" s="8">
        <f>INDEX(GDP_pc!$E:$ZZ, MATCH(A865, GDP_pc!$C:$C, 0), MATCH(B865, GDP_pc!$E$1:$ZZ$1, 0))</f>
        <v>894424821645.20471</v>
      </c>
      <c r="E865">
        <f>INDEX(CH4_Em!$E:$ZZ, MATCH(A865, CH4_Em!$C:$C, 0), MATCH(B865, CH4_Em!$E$1:$ZZ$1, 0))</f>
        <v>4.0491000000000001</v>
      </c>
      <c r="F865">
        <f>INDEX(N2O_Em!$E:$ZZ, MATCH(A865, N2O_Em!$C:$C, 0), MATCH(B865, N2O_Em!$E$1:$ZZ$1, 0))</f>
        <v>1.4482999999999999</v>
      </c>
      <c r="G865">
        <f>INDEX(CO2_Em!$E:$ZZ, MATCH(A865, CO2_Em!$C:$C, 0), MATCH(B865, CO2_Em!$E$1:$ZZ$1, 0))</f>
        <v>4.07E-2</v>
      </c>
      <c r="H865">
        <f>INDEX(Agri_VA!$E:$ZZ, MATCH(A865, Agri_VA!$C:$C, 0), MATCH(B865, Agri_VA!$E$1:$ZZ$1, 0))</f>
        <v>0.62491246146098678</v>
      </c>
      <c r="I865" s="6">
        <f>INDEX('Agri_land '!$E:$ZZ, MATCH(A865, 'Agri_land '!$C:$C, 0), MATCH(B865, 'Agri_land '!$E$1:$ZZ$1, 0))</f>
        <v>37.793894804886804</v>
      </c>
      <c r="J865">
        <f>INDEX(Cereal_Yield!$E:$ZZ, MATCH(A865, Cereal_Yield!$C:$C, 0), MATCH(B865, Cereal_Yield!$E$1:$ZZ$1, 0))</f>
        <v>5706</v>
      </c>
    </row>
    <row r="866" spans="1:10" x14ac:dyDescent="0.3">
      <c r="A866" t="s">
        <v>423</v>
      </c>
      <c r="B866" s="4">
        <v>2000</v>
      </c>
      <c r="C866" t="s">
        <v>49</v>
      </c>
      <c r="D866" s="8">
        <f>INDEX(GDP_pc!$E:$ZZ, MATCH(A866, GDP_pc!$C:$C, 0), MATCH(B866, GDP_pc!$E$1:$ZZ$1, 0))</f>
        <v>274748463178.50226</v>
      </c>
      <c r="E866">
        <f>INDEX(CH4_Em!$E:$ZZ, MATCH(A866, CH4_Em!$C:$C, 0), MATCH(B866, CH4_Em!$E$1:$ZZ$1, 0))</f>
        <v>29.064399999999999</v>
      </c>
      <c r="F866">
        <f>INDEX(N2O_Em!$E:$ZZ, MATCH(A866, N2O_Em!$C:$C, 0), MATCH(B866, N2O_Em!$E$1:$ZZ$1, 0))</f>
        <v>15.022399999999999</v>
      </c>
      <c r="G866">
        <f>INDEX(CO2_Em!$E:$ZZ, MATCH(A866, CO2_Em!$C:$C, 0), MATCH(B866, CO2_Em!$E$1:$ZZ$1, 0))</f>
        <v>1.6681999999999999</v>
      </c>
      <c r="H866">
        <f>INDEX(Agri_VA!$E:$ZZ, MATCH(A866, Agri_VA!$C:$C, 0), MATCH(B866, Agri_VA!$E$1:$ZZ$1, 0))</f>
        <v>10.018377945639982</v>
      </c>
      <c r="I866" s="6">
        <f>INDEX('Agri_land '!$E:$ZZ, MATCH(A866, 'Agri_land '!$C:$C, 0), MATCH(B866, 'Agri_land '!$E$1:$ZZ$1, 0))</f>
        <v>52.595402985850349</v>
      </c>
      <c r="J866">
        <f>INDEX(Cereal_Yield!$E:$ZZ, MATCH(A866, Cereal_Yield!$C:$C, 0), MATCH(B866, Cereal_Yield!$E$1:$ZZ$1, 0))</f>
        <v>2370.6</v>
      </c>
    </row>
    <row r="867" spans="1:10" x14ac:dyDescent="0.3">
      <c r="A867" t="s">
        <v>423</v>
      </c>
      <c r="B867" s="4">
        <v>2001</v>
      </c>
      <c r="C867" t="s">
        <v>49</v>
      </c>
      <c r="D867" s="8">
        <f>INDEX(GDP_pc!$E:$ZZ, MATCH(A867, GDP_pc!$C:$C, 0), MATCH(B867, GDP_pc!$E$1:$ZZ$1, 0))</f>
        <v>202195080239.03629</v>
      </c>
      <c r="E867">
        <f>INDEX(CH4_Em!$E:$ZZ, MATCH(A867, CH4_Em!$C:$C, 0), MATCH(B867, CH4_Em!$E$1:$ZZ$1, 0))</f>
        <v>27.754000000000001</v>
      </c>
      <c r="F867">
        <f>INDEX(N2O_Em!$E:$ZZ, MATCH(A867, N2O_Em!$C:$C, 0), MATCH(B867, N2O_Em!$E$1:$ZZ$1, 0))</f>
        <v>13.881</v>
      </c>
      <c r="G867">
        <f>INDEX(CO2_Em!$E:$ZZ, MATCH(A867, CO2_Em!$C:$C, 0), MATCH(B867, CO2_Em!$E$1:$ZZ$1, 0))</f>
        <v>1.6004</v>
      </c>
      <c r="H867">
        <f>INDEX(Agri_VA!$E:$ZZ, MATCH(A867, Agri_VA!$C:$C, 0), MATCH(B867, Agri_VA!$E$1:$ZZ$1, 0))</f>
        <v>8.772139692871086</v>
      </c>
      <c r="I867" s="6">
        <f>INDEX('Agri_land '!$E:$ZZ, MATCH(A867, 'Agri_land '!$C:$C, 0), MATCH(B867, 'Agri_land '!$E$1:$ZZ$1, 0))</f>
        <v>53.230773228694304</v>
      </c>
      <c r="J867">
        <f>INDEX(Cereal_Yield!$E:$ZZ, MATCH(A867, Cereal_Yield!$C:$C, 0), MATCH(B867, Cereal_Yield!$E$1:$ZZ$1, 0))</f>
        <v>2178.3000000000002</v>
      </c>
    </row>
    <row r="868" spans="1:10" x14ac:dyDescent="0.3">
      <c r="A868" t="s">
        <v>423</v>
      </c>
      <c r="B868" s="4">
        <v>2002</v>
      </c>
      <c r="C868" t="s">
        <v>49</v>
      </c>
      <c r="D868" s="8">
        <f>INDEX(GDP_pc!$E:$ZZ, MATCH(A868, GDP_pc!$C:$C, 0), MATCH(B868, GDP_pc!$E$1:$ZZ$1, 0))</f>
        <v>240778008473.84534</v>
      </c>
      <c r="E868">
        <f>INDEX(CH4_Em!$E:$ZZ, MATCH(A868, CH4_Em!$C:$C, 0), MATCH(B868, CH4_Em!$E$1:$ZZ$1, 0))</f>
        <v>27.1282</v>
      </c>
      <c r="F868">
        <f>INDEX(N2O_Em!$E:$ZZ, MATCH(A868, N2O_Em!$C:$C, 0), MATCH(B868, N2O_Em!$E$1:$ZZ$1, 0))</f>
        <v>14.1129</v>
      </c>
      <c r="G868">
        <f>INDEX(CO2_Em!$E:$ZZ, MATCH(A868, CO2_Em!$C:$C, 0), MATCH(B868, CO2_Em!$E$1:$ZZ$1, 0))</f>
        <v>1.7494000000000001</v>
      </c>
      <c r="H868">
        <f>INDEX(Agri_VA!$E:$ZZ, MATCH(A868, Agri_VA!$C:$C, 0), MATCH(B868, Agri_VA!$E$1:$ZZ$1, 0))</f>
        <v>10.171268880118371</v>
      </c>
      <c r="I868" s="6">
        <f>INDEX('Agri_land '!$E:$ZZ, MATCH(A868, 'Agri_land '!$C:$C, 0), MATCH(B868, 'Agri_land '!$E$1:$ZZ$1, 0))</f>
        <v>53.527019476891489</v>
      </c>
      <c r="J868">
        <f>INDEX(Cereal_Yield!$E:$ZZ, MATCH(A868, Cereal_Yield!$C:$C, 0), MATCH(B868, Cereal_Yield!$E$1:$ZZ$1, 0))</f>
        <v>2242</v>
      </c>
    </row>
    <row r="869" spans="1:10" x14ac:dyDescent="0.3">
      <c r="A869" t="s">
        <v>423</v>
      </c>
      <c r="B869" s="4">
        <v>2003</v>
      </c>
      <c r="C869" t="s">
        <v>49</v>
      </c>
      <c r="D869" s="8">
        <f>INDEX(GDP_pc!$E:$ZZ, MATCH(A869, GDP_pc!$C:$C, 0), MATCH(B869, GDP_pc!$E$1:$ZZ$1, 0))</f>
        <v>315392899922.37915</v>
      </c>
      <c r="E869">
        <f>INDEX(CH4_Em!$E:$ZZ, MATCH(A869, CH4_Em!$C:$C, 0), MATCH(B869, CH4_Em!$E$1:$ZZ$1, 0))</f>
        <v>26.710699999999999</v>
      </c>
      <c r="F869">
        <f>INDEX(N2O_Em!$E:$ZZ, MATCH(A869, N2O_Em!$C:$C, 0), MATCH(B869, N2O_Em!$E$1:$ZZ$1, 0))</f>
        <v>14.5732</v>
      </c>
      <c r="G869">
        <f>INDEX(CO2_Em!$E:$ZZ, MATCH(A869, CO2_Em!$C:$C, 0), MATCH(B869, CO2_Em!$E$1:$ZZ$1, 0))</f>
        <v>2.0099</v>
      </c>
      <c r="H869">
        <f>INDEX(Agri_VA!$E:$ZZ, MATCH(A869, Agri_VA!$C:$C, 0), MATCH(B869, Agri_VA!$E$1:$ZZ$1, 0))</f>
        <v>9.7742599007215762</v>
      </c>
      <c r="I869" s="6">
        <f>INDEX('Agri_land '!$E:$ZZ, MATCH(A869, 'Agri_land '!$C:$C, 0), MATCH(B869, 'Agri_land '!$E$1:$ZZ$1, 0))</f>
        <v>52.80979171809831</v>
      </c>
      <c r="J869">
        <f>INDEX(Cereal_Yield!$E:$ZZ, MATCH(A869, Cereal_Yield!$C:$C, 0), MATCH(B869, Cereal_Yield!$E$1:$ZZ$1, 0))</f>
        <v>2308.6</v>
      </c>
    </row>
    <row r="870" spans="1:10" x14ac:dyDescent="0.3">
      <c r="A870" t="s">
        <v>423</v>
      </c>
      <c r="B870" s="4">
        <v>2004</v>
      </c>
      <c r="C870" t="s">
        <v>49</v>
      </c>
      <c r="D870" s="8">
        <f>INDEX(GDP_pc!$E:$ZZ, MATCH(A870, GDP_pc!$C:$C, 0), MATCH(B870, GDP_pc!$E$1:$ZZ$1, 0))</f>
        <v>410156784495.94781</v>
      </c>
      <c r="E870">
        <f>INDEX(CH4_Em!$E:$ZZ, MATCH(A870, CH4_Em!$C:$C, 0), MATCH(B870, CH4_Em!$E$1:$ZZ$1, 0))</f>
        <v>26.434200000000001</v>
      </c>
      <c r="F870">
        <f>INDEX(N2O_Em!$E:$ZZ, MATCH(A870, N2O_Em!$C:$C, 0), MATCH(B870, N2O_Em!$E$1:$ZZ$1, 0))</f>
        <v>14.827500000000001</v>
      </c>
      <c r="G870">
        <f>INDEX(CO2_Em!$E:$ZZ, MATCH(A870, CO2_Em!$C:$C, 0), MATCH(B870, CO2_Em!$E$1:$ZZ$1, 0))</f>
        <v>2.0746000000000002</v>
      </c>
      <c r="H870">
        <f>INDEX(Agri_VA!$E:$ZZ, MATCH(A870, Agri_VA!$C:$C, 0), MATCH(B870, Agri_VA!$E$1:$ZZ$1, 0))</f>
        <v>9.3033421765331941</v>
      </c>
      <c r="I870" s="6">
        <f>INDEX('Agri_land '!$E:$ZZ, MATCH(A870, 'Agri_land '!$C:$C, 0), MATCH(B870, 'Agri_land '!$E$1:$ZZ$1, 0))</f>
        <v>53.545210035991317</v>
      </c>
      <c r="J870">
        <f>INDEX(Cereal_Yield!$E:$ZZ, MATCH(A870, Cereal_Yield!$C:$C, 0), MATCH(B870, Cereal_Yield!$E$1:$ZZ$1, 0))</f>
        <v>2477.9</v>
      </c>
    </row>
    <row r="871" spans="1:10" x14ac:dyDescent="0.3">
      <c r="A871" t="s">
        <v>423</v>
      </c>
      <c r="B871" s="4">
        <v>2005</v>
      </c>
      <c r="C871" t="s">
        <v>49</v>
      </c>
      <c r="D871" s="8">
        <f>INDEX(GDP_pc!$E:$ZZ, MATCH(A871, GDP_pc!$C:$C, 0), MATCH(B871, GDP_pc!$E$1:$ZZ$1, 0))</f>
        <v>508314210212.54364</v>
      </c>
      <c r="E871">
        <f>INDEX(CH4_Em!$E:$ZZ, MATCH(A871, CH4_Em!$C:$C, 0), MATCH(B871, CH4_Em!$E$1:$ZZ$1, 0))</f>
        <v>26.719000000000001</v>
      </c>
      <c r="F871">
        <f>INDEX(N2O_Em!$E:$ZZ, MATCH(A871, N2O_Em!$C:$C, 0), MATCH(B871, N2O_Em!$E$1:$ZZ$1, 0))</f>
        <v>15.073</v>
      </c>
      <c r="G871">
        <f>INDEX(CO2_Em!$E:$ZZ, MATCH(A871, CO2_Em!$C:$C, 0), MATCH(B871, CO2_Em!$E$1:$ZZ$1, 0))</f>
        <v>2.1246</v>
      </c>
      <c r="H871">
        <f>INDEX(Agri_VA!$E:$ZZ, MATCH(A871, Agri_VA!$C:$C, 0), MATCH(B871, Agri_VA!$E$1:$ZZ$1, 0))</f>
        <v>9.134974627806395</v>
      </c>
      <c r="I871" s="6">
        <f>INDEX('Agri_land '!$E:$ZZ, MATCH(A871, 'Agri_land '!$C:$C, 0), MATCH(B871, 'Agri_land '!$E$1:$ZZ$1, 0))</f>
        <v>53.562101269441165</v>
      </c>
      <c r="J871">
        <f>INDEX(Cereal_Yield!$E:$ZZ, MATCH(A871, Cereal_Yield!$C:$C, 0), MATCH(B871, Cereal_Yield!$E$1:$ZZ$1, 0))</f>
        <v>2634.5</v>
      </c>
    </row>
    <row r="872" spans="1:10" x14ac:dyDescent="0.3">
      <c r="A872" t="s">
        <v>423</v>
      </c>
      <c r="B872" s="4">
        <v>2006</v>
      </c>
      <c r="C872" t="s">
        <v>49</v>
      </c>
      <c r="D872" s="8">
        <f>INDEX(GDP_pc!$E:$ZZ, MATCH(A872, GDP_pc!$C:$C, 0), MATCH(B872, GDP_pc!$E$1:$ZZ$1, 0))</f>
        <v>559668118237.00183</v>
      </c>
      <c r="E872">
        <f>INDEX(CH4_Em!$E:$ZZ, MATCH(A872, CH4_Em!$C:$C, 0), MATCH(B872, CH4_Em!$E$1:$ZZ$1, 0))</f>
        <v>27.945599999999999</v>
      </c>
      <c r="F872">
        <f>INDEX(N2O_Em!$E:$ZZ, MATCH(A872, N2O_Em!$C:$C, 0), MATCH(B872, N2O_Em!$E$1:$ZZ$1, 0))</f>
        <v>15.3628</v>
      </c>
      <c r="G872">
        <f>INDEX(CO2_Em!$E:$ZZ, MATCH(A872, CO2_Em!$C:$C, 0), MATCH(B872, CO2_Em!$E$1:$ZZ$1, 0))</f>
        <v>2.2667000000000002</v>
      </c>
      <c r="H872">
        <f>INDEX(Agri_VA!$E:$ZZ, MATCH(A872, Agri_VA!$C:$C, 0), MATCH(B872, Agri_VA!$E$1:$ZZ$1, 0))</f>
        <v>8.0619767400942557</v>
      </c>
      <c r="I872" s="6">
        <f>INDEX('Agri_land '!$E:$ZZ, MATCH(A872, 'Agri_land '!$C:$C, 0), MATCH(B872, 'Agri_land '!$E$1:$ZZ$1, 0))</f>
        <v>52.613593544950163</v>
      </c>
      <c r="J872">
        <f>INDEX(Cereal_Yield!$E:$ZZ, MATCH(A872, Cereal_Yield!$C:$C, 0), MATCH(B872, Cereal_Yield!$E$1:$ZZ$1, 0))</f>
        <v>2661.9</v>
      </c>
    </row>
    <row r="873" spans="1:10" x14ac:dyDescent="0.3">
      <c r="A873" t="s">
        <v>423</v>
      </c>
      <c r="B873" s="4">
        <v>2007</v>
      </c>
      <c r="C873" t="s">
        <v>49</v>
      </c>
      <c r="D873" s="8">
        <f>INDEX(GDP_pc!$E:$ZZ, MATCH(A873, GDP_pc!$C:$C, 0), MATCH(B873, GDP_pc!$E$1:$ZZ$1, 0))</f>
        <v>685228481017.03003</v>
      </c>
      <c r="E873">
        <f>INDEX(CH4_Em!$E:$ZZ, MATCH(A873, CH4_Em!$C:$C, 0), MATCH(B873, CH4_Em!$E$1:$ZZ$1, 0))</f>
        <v>28.0688</v>
      </c>
      <c r="F873">
        <f>INDEX(N2O_Em!$E:$ZZ, MATCH(A873, N2O_Em!$C:$C, 0), MATCH(B873, N2O_Em!$E$1:$ZZ$1, 0))</f>
        <v>14.8226</v>
      </c>
      <c r="G873">
        <f>INDEX(CO2_Em!$E:$ZZ, MATCH(A873, CO2_Em!$C:$C, 0), MATCH(B873, CO2_Em!$E$1:$ZZ$1, 0))</f>
        <v>2.1177999999999999</v>
      </c>
      <c r="H873">
        <f>INDEX(Agri_VA!$E:$ZZ, MATCH(A873, Agri_VA!$C:$C, 0), MATCH(B873, Agri_VA!$E$1:$ZZ$1, 0))</f>
        <v>7.4182514100524681</v>
      </c>
      <c r="I873" s="6">
        <f>INDEX('Agri_land '!$E:$ZZ, MATCH(A873, 'Agri_land '!$C:$C, 0), MATCH(B873, 'Agri_land '!$E$1:$ZZ$1, 0))</f>
        <v>51.329859802762371</v>
      </c>
      <c r="J873">
        <f>INDEX(Cereal_Yield!$E:$ZZ, MATCH(A873, Cereal_Yield!$C:$C, 0), MATCH(B873, Cereal_Yield!$E$1:$ZZ$1, 0))</f>
        <v>2410.1999999999998</v>
      </c>
    </row>
    <row r="874" spans="1:10" x14ac:dyDescent="0.3">
      <c r="A874" t="s">
        <v>423</v>
      </c>
      <c r="B874" s="4">
        <v>2008</v>
      </c>
      <c r="C874" t="s">
        <v>49</v>
      </c>
      <c r="D874" s="8">
        <f>INDEX(GDP_pc!$E:$ZZ, MATCH(A874, GDP_pc!$C:$C, 0), MATCH(B874, GDP_pc!$E$1:$ZZ$1, 0))</f>
        <v>775415944332.8656</v>
      </c>
      <c r="E874">
        <f>INDEX(CH4_Em!$E:$ZZ, MATCH(A874, CH4_Em!$C:$C, 0), MATCH(B874, CH4_Em!$E$1:$ZZ$1, 0))</f>
        <v>28.367799999999999</v>
      </c>
      <c r="F874">
        <f>INDEX(N2O_Em!$E:$ZZ, MATCH(A874, N2O_Em!$C:$C, 0), MATCH(B874, N2O_Em!$E$1:$ZZ$1, 0))</f>
        <v>13.5786</v>
      </c>
      <c r="G874">
        <f>INDEX(CO2_Em!$E:$ZZ, MATCH(A874, CO2_Em!$C:$C, 0), MATCH(B874, CO2_Em!$E$1:$ZZ$1, 0))</f>
        <v>1.7809999999999999</v>
      </c>
      <c r="H874">
        <f>INDEX(Agri_VA!$E:$ZZ, MATCH(A874, Agri_VA!$C:$C, 0), MATCH(B874, Agri_VA!$E$1:$ZZ$1, 0))</f>
        <v>7.3802240332434685</v>
      </c>
      <c r="I874" s="6">
        <f>INDEX('Agri_land '!$E:$ZZ, MATCH(A874, 'Agri_land '!$C:$C, 0), MATCH(B874, 'Agri_land '!$E$1:$ZZ$1, 0))</f>
        <v>50.832218078817093</v>
      </c>
      <c r="J874">
        <f>INDEX(Cereal_Yield!$E:$ZZ, MATCH(A874, Cereal_Yield!$C:$C, 0), MATCH(B874, Cereal_Yield!$E$1:$ZZ$1, 0))</f>
        <v>2601.3000000000002</v>
      </c>
    </row>
    <row r="875" spans="1:10" x14ac:dyDescent="0.3">
      <c r="A875" t="s">
        <v>423</v>
      </c>
      <c r="B875" s="4">
        <v>2009</v>
      </c>
      <c r="C875" t="s">
        <v>49</v>
      </c>
      <c r="D875" s="8">
        <f>INDEX(GDP_pc!$E:$ZZ, MATCH(A875, GDP_pc!$C:$C, 0), MATCH(B875, GDP_pc!$E$1:$ZZ$1, 0))</f>
        <v>653894449921.28833</v>
      </c>
      <c r="E875">
        <f>INDEX(CH4_Em!$E:$ZZ, MATCH(A875, CH4_Em!$C:$C, 0), MATCH(B875, CH4_Em!$E$1:$ZZ$1, 0))</f>
        <v>28.587700000000002</v>
      </c>
      <c r="F875">
        <f>INDEX(N2O_Em!$E:$ZZ, MATCH(A875, N2O_Em!$C:$C, 0), MATCH(B875, N2O_Em!$E$1:$ZZ$1, 0))</f>
        <v>14.982100000000001</v>
      </c>
      <c r="G875">
        <f>INDEX(CO2_Em!$E:$ZZ, MATCH(A875, CO2_Em!$C:$C, 0), MATCH(B875, CO2_Em!$E$1:$ZZ$1, 0))</f>
        <v>2.4956</v>
      </c>
      <c r="H875">
        <f>INDEX(Agri_VA!$E:$ZZ, MATCH(A875, Agri_VA!$C:$C, 0), MATCH(B875, Agri_VA!$E$1:$ZZ$1, 0))</f>
        <v>8.0195266474749758</v>
      </c>
      <c r="I875" s="6">
        <f>INDEX('Agri_land '!$E:$ZZ, MATCH(A875, 'Agri_land '!$C:$C, 0), MATCH(B875, 'Agri_land '!$E$1:$ZZ$1, 0))</f>
        <v>50.5580603666697</v>
      </c>
      <c r="J875">
        <f>INDEX(Cereal_Yield!$E:$ZZ, MATCH(A875, Cereal_Yield!$C:$C, 0), MATCH(B875, Cereal_Yield!$E$1:$ZZ$1, 0))</f>
        <v>2807.8</v>
      </c>
    </row>
    <row r="876" spans="1:10" x14ac:dyDescent="0.3">
      <c r="A876" t="s">
        <v>423</v>
      </c>
      <c r="B876" s="4">
        <v>2010</v>
      </c>
      <c r="C876" t="s">
        <v>49</v>
      </c>
      <c r="D876" s="8">
        <f>INDEX(GDP_pc!$E:$ZZ, MATCH(A876, GDP_pc!$C:$C, 0), MATCH(B876, GDP_pc!$E$1:$ZZ$1, 0))</f>
        <v>782545664268.33301</v>
      </c>
      <c r="E876">
        <f>INDEX(CH4_Em!$E:$ZZ, MATCH(A876, CH4_Em!$C:$C, 0), MATCH(B876, CH4_Em!$E$1:$ZZ$1, 0))</f>
        <v>28.2224</v>
      </c>
      <c r="F876">
        <f>INDEX(N2O_Em!$E:$ZZ, MATCH(A876, N2O_Em!$C:$C, 0), MATCH(B876, N2O_Em!$E$1:$ZZ$1, 0))</f>
        <v>14.543799999999999</v>
      </c>
      <c r="G876">
        <f>INDEX(CO2_Em!$E:$ZZ, MATCH(A876, CO2_Em!$C:$C, 0), MATCH(B876, CO2_Em!$E$1:$ZZ$1, 0))</f>
        <v>2.3306</v>
      </c>
      <c r="H876">
        <f>INDEX(Agri_VA!$E:$ZZ, MATCH(A876, Agri_VA!$C:$C, 0), MATCH(B876, Agri_VA!$E$1:$ZZ$1, 0))</f>
        <v>8.9073796274716415</v>
      </c>
      <c r="I876" s="6">
        <f>INDEX('Agri_land '!$E:$ZZ, MATCH(A876, 'Agri_land '!$C:$C, 0), MATCH(B876, 'Agri_land '!$E$1:$ZZ$1, 0))</f>
        <v>50.689292257318449</v>
      </c>
      <c r="J876">
        <f>INDEX(Cereal_Yield!$E:$ZZ, MATCH(A876, Cereal_Yield!$C:$C, 0), MATCH(B876, Cereal_Yield!$E$1:$ZZ$1, 0))</f>
        <v>2725.6</v>
      </c>
    </row>
    <row r="877" spans="1:10" x14ac:dyDescent="0.3">
      <c r="A877" t="s">
        <v>423</v>
      </c>
      <c r="B877" s="4">
        <v>2011</v>
      </c>
      <c r="C877" t="s">
        <v>49</v>
      </c>
      <c r="D877" s="8">
        <f>INDEX(GDP_pc!$E:$ZZ, MATCH(A877, GDP_pc!$C:$C, 0), MATCH(B877, GDP_pc!$E$1:$ZZ$1, 0))</f>
        <v>844192507380.79529</v>
      </c>
      <c r="E877">
        <f>INDEX(CH4_Em!$E:$ZZ, MATCH(A877, CH4_Em!$C:$C, 0), MATCH(B877, CH4_Em!$E$1:$ZZ$1, 0))</f>
        <v>30.086300000000001</v>
      </c>
      <c r="F877">
        <f>INDEX(N2O_Em!$E:$ZZ, MATCH(A877, N2O_Em!$C:$C, 0), MATCH(B877, N2O_Em!$E$1:$ZZ$1, 0))</f>
        <v>14.5787</v>
      </c>
      <c r="G877">
        <f>INDEX(CO2_Em!$E:$ZZ, MATCH(A877, CO2_Em!$C:$C, 0), MATCH(B877, CO2_Em!$E$1:$ZZ$1, 0))</f>
        <v>2.1143999999999998</v>
      </c>
      <c r="H877">
        <f>INDEX(Agri_VA!$E:$ZZ, MATCH(A877, Agri_VA!$C:$C, 0), MATCH(B877, Agri_VA!$E$1:$ZZ$1, 0))</f>
        <v>8.1265846445356971</v>
      </c>
      <c r="I877" s="6">
        <f>INDEX('Agri_land '!$E:$ZZ, MATCH(A877, 'Agri_land '!$C:$C, 0), MATCH(B877, 'Agri_land '!$E$1:$ZZ$1, 0))</f>
        <v>49.695308135077894</v>
      </c>
      <c r="J877">
        <f>INDEX(Cereal_Yield!$E:$ZZ, MATCH(A877, Cereal_Yield!$C:$C, 0), MATCH(B877, Cereal_Yield!$E$1:$ZZ$1, 0))</f>
        <v>2970</v>
      </c>
    </row>
    <row r="878" spans="1:10" x14ac:dyDescent="0.3">
      <c r="A878" t="s">
        <v>423</v>
      </c>
      <c r="B878" s="4">
        <v>2012</v>
      </c>
      <c r="C878" t="s">
        <v>49</v>
      </c>
      <c r="D878" s="8">
        <f>INDEX(GDP_pc!$E:$ZZ, MATCH(A878, GDP_pc!$C:$C, 0), MATCH(B878, GDP_pc!$E$1:$ZZ$1, 0))</f>
        <v>885327622479.05212</v>
      </c>
      <c r="E878">
        <f>INDEX(CH4_Em!$E:$ZZ, MATCH(A878, CH4_Em!$C:$C, 0), MATCH(B878, CH4_Em!$E$1:$ZZ$1, 0))</f>
        <v>33.0152</v>
      </c>
      <c r="F878">
        <f>INDEX(N2O_Em!$E:$ZZ, MATCH(A878, N2O_Em!$C:$C, 0), MATCH(B878, N2O_Em!$E$1:$ZZ$1, 0))</f>
        <v>15.9991</v>
      </c>
      <c r="G878">
        <f>INDEX(CO2_Em!$E:$ZZ, MATCH(A878, CO2_Em!$C:$C, 0), MATCH(B878, CO2_Em!$E$1:$ZZ$1, 0))</f>
        <v>2.4542999999999999</v>
      </c>
      <c r="H878">
        <f>INDEX(Agri_VA!$E:$ZZ, MATCH(A878, Agri_VA!$C:$C, 0), MATCH(B878, Agri_VA!$E$1:$ZZ$1, 0))</f>
        <v>7.6583449745830032</v>
      </c>
      <c r="I878" s="6">
        <f>INDEX('Agri_land '!$E:$ZZ, MATCH(A878, 'Agri_land '!$C:$C, 0), MATCH(B878, 'Agri_land '!$E$1:$ZZ$1, 0))</f>
        <v>49.903200239075915</v>
      </c>
      <c r="J878">
        <f>INDEX(Cereal_Yield!$E:$ZZ, MATCH(A878, Cereal_Yield!$C:$C, 0), MATCH(B878, Cereal_Yield!$E$1:$ZZ$1, 0))</f>
        <v>2958.4</v>
      </c>
    </row>
    <row r="879" spans="1:10" x14ac:dyDescent="0.3">
      <c r="A879" t="s">
        <v>423</v>
      </c>
      <c r="B879" s="4">
        <v>2013</v>
      </c>
      <c r="C879" t="s">
        <v>49</v>
      </c>
      <c r="D879" s="8">
        <f>INDEX(GDP_pc!$E:$ZZ, MATCH(A879, GDP_pc!$C:$C, 0), MATCH(B879, GDP_pc!$E$1:$ZZ$1, 0))</f>
        <v>962167643588.9248</v>
      </c>
      <c r="E879">
        <f>INDEX(CH4_Em!$E:$ZZ, MATCH(A879, CH4_Em!$C:$C, 0), MATCH(B879, CH4_Em!$E$1:$ZZ$1, 0))</f>
        <v>36.4863</v>
      </c>
      <c r="F879">
        <f>INDEX(N2O_Em!$E:$ZZ, MATCH(A879, N2O_Em!$C:$C, 0), MATCH(B879, N2O_Em!$E$1:$ZZ$1, 0))</f>
        <v>17.6876</v>
      </c>
      <c r="G879">
        <f>INDEX(CO2_Em!$E:$ZZ, MATCH(A879, CO2_Em!$C:$C, 0), MATCH(B879, CO2_Em!$E$1:$ZZ$1, 0))</f>
        <v>2.7597</v>
      </c>
      <c r="H879">
        <f>INDEX(Agri_VA!$E:$ZZ, MATCH(A879, Agri_VA!$C:$C, 0), MATCH(B879, Agri_VA!$E$1:$ZZ$1, 0))</f>
        <v>6.6499726141721727</v>
      </c>
      <c r="I879" s="6">
        <f>INDEX('Agri_land '!$E:$ZZ, MATCH(A879, 'Agri_land '!$C:$C, 0), MATCH(B879, 'Agri_land '!$E$1:$ZZ$1, 0))</f>
        <v>49.923989449475719</v>
      </c>
      <c r="J879">
        <f>INDEX(Cereal_Yield!$E:$ZZ, MATCH(A879, Cereal_Yield!$C:$C, 0), MATCH(B879, Cereal_Yield!$E$1:$ZZ$1, 0))</f>
        <v>3256.9</v>
      </c>
    </row>
    <row r="880" spans="1:10" x14ac:dyDescent="0.3">
      <c r="A880" t="s">
        <v>423</v>
      </c>
      <c r="B880" s="4">
        <v>2014</v>
      </c>
      <c r="C880" t="s">
        <v>49</v>
      </c>
      <c r="D880" s="8">
        <f>INDEX(GDP_pc!$E:$ZZ, MATCH(A880, GDP_pc!$C:$C, 0), MATCH(B880, GDP_pc!$E$1:$ZZ$1, 0))</f>
        <v>942343431928.65393</v>
      </c>
      <c r="E880">
        <f>INDEX(CH4_Em!$E:$ZZ, MATCH(A880, CH4_Em!$C:$C, 0), MATCH(B880, CH4_Em!$E$1:$ZZ$1, 0))</f>
        <v>38.102400000000003</v>
      </c>
      <c r="F880">
        <f>INDEX(N2O_Em!$E:$ZZ, MATCH(A880, N2O_Em!$C:$C, 0), MATCH(B880, N2O_Em!$E$1:$ZZ$1, 0))</f>
        <v>17.409300000000002</v>
      </c>
      <c r="G880">
        <f>INDEX(CO2_Em!$E:$ZZ, MATCH(A880, CO2_Em!$C:$C, 0), MATCH(B880, CO2_Em!$E$1:$ZZ$1, 0))</f>
        <v>2.5177999999999998</v>
      </c>
      <c r="H880">
        <f>INDEX(Agri_VA!$E:$ZZ, MATCH(A880, Agri_VA!$C:$C, 0), MATCH(B880, Agri_VA!$E$1:$ZZ$1, 0))</f>
        <v>6.5382804286841321</v>
      </c>
      <c r="I880" s="6">
        <f>INDEX('Agri_land '!$E:$ZZ, MATCH(A880, 'Agri_land '!$C:$C, 0), MATCH(B880, 'Agri_land '!$E$1:$ZZ$1, 0))</f>
        <v>50.094201109624102</v>
      </c>
      <c r="J880">
        <f>INDEX(Cereal_Yield!$E:$ZZ, MATCH(A880, Cereal_Yield!$C:$C, 0), MATCH(B880, Cereal_Yield!$E$1:$ZZ$1, 0))</f>
        <v>2832.1</v>
      </c>
    </row>
    <row r="881" spans="1:10" x14ac:dyDescent="0.3">
      <c r="A881" t="s">
        <v>423</v>
      </c>
      <c r="B881" s="4">
        <v>2015</v>
      </c>
      <c r="C881" t="s">
        <v>49</v>
      </c>
      <c r="D881" s="8">
        <f>INDEX(GDP_pc!$E:$ZZ, MATCH(A881, GDP_pc!$C:$C, 0), MATCH(B881, GDP_pc!$E$1:$ZZ$1, 0))</f>
        <v>865460050683.65576</v>
      </c>
      <c r="E881">
        <f>INDEX(CH4_Em!$E:$ZZ, MATCH(A881, CH4_Em!$C:$C, 0), MATCH(B881, CH4_Em!$E$1:$ZZ$1, 0))</f>
        <v>38.586199999999998</v>
      </c>
      <c r="F881">
        <f>INDEX(N2O_Em!$E:$ZZ, MATCH(A881, N2O_Em!$C:$C, 0), MATCH(B881, N2O_Em!$E$1:$ZZ$1, 0))</f>
        <v>17.772600000000001</v>
      </c>
      <c r="G881">
        <f>INDEX(CO2_Em!$E:$ZZ, MATCH(A881, CO2_Em!$C:$C, 0), MATCH(B881, CO2_Em!$E$1:$ZZ$1, 0))</f>
        <v>2.5154000000000001</v>
      </c>
      <c r="H881">
        <f>INDEX(Agri_VA!$E:$ZZ, MATCH(A881, Agri_VA!$C:$C, 0), MATCH(B881, Agri_VA!$E$1:$ZZ$1, 0))</f>
        <v>6.8768983430890689</v>
      </c>
      <c r="I881" s="6">
        <f>INDEX('Agri_land '!$E:$ZZ, MATCH(A881, 'Agri_land '!$C:$C, 0), MATCH(B881, 'Agri_land '!$E$1:$ZZ$1, 0))</f>
        <v>50.090303132674144</v>
      </c>
      <c r="J881">
        <f>INDEX(Cereal_Yield!$E:$ZZ, MATCH(A881, Cereal_Yield!$C:$C, 0), MATCH(B881, Cereal_Yield!$E$1:$ZZ$1, 0))</f>
        <v>3307.8</v>
      </c>
    </row>
    <row r="882" spans="1:10" x14ac:dyDescent="0.3">
      <c r="A882" t="s">
        <v>423</v>
      </c>
      <c r="B882" s="4">
        <v>2016</v>
      </c>
      <c r="C882" t="s">
        <v>49</v>
      </c>
      <c r="D882" s="8">
        <f>INDEX(GDP_pc!$E:$ZZ, MATCH(A882, GDP_pc!$C:$C, 0), MATCH(B882, GDP_pc!$E$1:$ZZ$1, 0))</f>
        <v>870818016909.84021</v>
      </c>
      <c r="E882">
        <f>INDEX(CH4_Em!$E:$ZZ, MATCH(A882, CH4_Em!$C:$C, 0), MATCH(B882, CH4_Em!$E$1:$ZZ$1, 0))</f>
        <v>38.398400000000002</v>
      </c>
      <c r="F882">
        <f>INDEX(N2O_Em!$E:$ZZ, MATCH(A882, N2O_Em!$C:$C, 0), MATCH(B882, N2O_Em!$E$1:$ZZ$1, 0))</f>
        <v>19.863700000000001</v>
      </c>
      <c r="G882">
        <f>INDEX(CO2_Em!$E:$ZZ, MATCH(A882, CO2_Em!$C:$C, 0), MATCH(B882, CO2_Em!$E$1:$ZZ$1, 0))</f>
        <v>3.3062</v>
      </c>
      <c r="H882">
        <f>INDEX(Agri_VA!$E:$ZZ, MATCH(A882, Agri_VA!$C:$C, 0), MATCH(B882, Agri_VA!$E$1:$ZZ$1, 0))</f>
        <v>6.2655619639969906</v>
      </c>
      <c r="I882" s="6">
        <f>INDEX('Agri_land '!$E:$ZZ, MATCH(A882, 'Agri_land '!$C:$C, 0), MATCH(B882, 'Agri_land '!$E$1:$ZZ$1, 0))</f>
        <v>49.8005535127269</v>
      </c>
      <c r="J882">
        <f>INDEX(Cereal_Yield!$E:$ZZ, MATCH(A882, Cereal_Yield!$C:$C, 0), MATCH(B882, Cereal_Yield!$E$1:$ZZ$1, 0))</f>
        <v>3105.4</v>
      </c>
    </row>
    <row r="883" spans="1:10" x14ac:dyDescent="0.3">
      <c r="A883" t="s">
        <v>423</v>
      </c>
      <c r="B883" s="4">
        <v>2017</v>
      </c>
      <c r="C883" t="s">
        <v>49</v>
      </c>
      <c r="D883" s="8">
        <f>INDEX(GDP_pc!$E:$ZZ, MATCH(A883, GDP_pc!$C:$C, 0), MATCH(B883, GDP_pc!$E$1:$ZZ$1, 0))</f>
        <v>863874522365.27563</v>
      </c>
      <c r="E883">
        <f>INDEX(CH4_Em!$E:$ZZ, MATCH(A883, CH4_Em!$C:$C, 0), MATCH(B883, CH4_Em!$E$1:$ZZ$1, 0))</f>
        <v>38.925899999999999</v>
      </c>
      <c r="F883">
        <f>INDEX(N2O_Em!$E:$ZZ, MATCH(A883, N2O_Em!$C:$C, 0), MATCH(B883, N2O_Em!$E$1:$ZZ$1, 0))</f>
        <v>19.5701</v>
      </c>
      <c r="G883">
        <f>INDEX(CO2_Em!$E:$ZZ, MATCH(A883, CO2_Em!$C:$C, 0), MATCH(B883, CO2_Em!$E$1:$ZZ$1, 0))</f>
        <v>2.7021000000000002</v>
      </c>
      <c r="H883">
        <f>INDEX(Agri_VA!$E:$ZZ, MATCH(A883, Agri_VA!$C:$C, 0), MATCH(B883, Agri_VA!$E$1:$ZZ$1, 0))</f>
        <v>6.1964232353777762</v>
      </c>
      <c r="I883" s="6">
        <f>INDEX('Agri_land '!$E:$ZZ, MATCH(A883, 'Agri_land '!$C:$C, 0), MATCH(B883, 'Agri_land '!$E$1:$ZZ$1, 0))</f>
        <v>49.327598976131384</v>
      </c>
      <c r="J883">
        <f>INDEX(Cereal_Yield!$E:$ZZ, MATCH(A883, Cereal_Yield!$C:$C, 0), MATCH(B883, Cereal_Yield!$E$1:$ZZ$1, 0))</f>
        <v>3257.4</v>
      </c>
    </row>
    <row r="884" spans="1:10" x14ac:dyDescent="0.3">
      <c r="A884" t="s">
        <v>423</v>
      </c>
      <c r="B884" s="4">
        <v>2018</v>
      </c>
      <c r="C884" t="s">
        <v>49</v>
      </c>
      <c r="D884" s="8">
        <f>INDEX(GDP_pc!$E:$ZZ, MATCH(A884, GDP_pc!$C:$C, 0), MATCH(B884, GDP_pc!$E$1:$ZZ$1, 0))</f>
        <v>788356985773.66699</v>
      </c>
      <c r="E884">
        <f>INDEX(CH4_Em!$E:$ZZ, MATCH(A884, CH4_Em!$C:$C, 0), MATCH(B884, CH4_Em!$E$1:$ZZ$1, 0))</f>
        <v>45.049199999999999</v>
      </c>
      <c r="F884">
        <f>INDEX(N2O_Em!$E:$ZZ, MATCH(A884, N2O_Em!$C:$C, 0), MATCH(B884, N2O_Em!$E$1:$ZZ$1, 0))</f>
        <v>19.459299999999999</v>
      </c>
      <c r="G884">
        <f>INDEX(CO2_Em!$E:$ZZ, MATCH(A884, CO2_Em!$C:$C, 0), MATCH(B884, CO2_Em!$E$1:$ZZ$1, 0))</f>
        <v>2.2299000000000002</v>
      </c>
      <c r="H884">
        <f>INDEX(Agri_VA!$E:$ZZ, MATCH(A884, Agri_VA!$C:$C, 0), MATCH(B884, Agri_VA!$E$1:$ZZ$1, 0))</f>
        <v>6.0041863918549154</v>
      </c>
      <c r="I884" s="6">
        <f>INDEX('Agri_land '!$E:$ZZ, MATCH(A884, 'Agri_land '!$C:$C, 0), MATCH(B884, 'Agri_land '!$E$1:$ZZ$1, 0))</f>
        <v>49.117108220833387</v>
      </c>
      <c r="J884">
        <f>INDEX(Cereal_Yield!$E:$ZZ, MATCH(A884, Cereal_Yield!$C:$C, 0), MATCH(B884, Cereal_Yield!$E$1:$ZZ$1, 0))</f>
        <v>3163.9</v>
      </c>
    </row>
    <row r="885" spans="1:10" x14ac:dyDescent="0.3">
      <c r="A885" t="s">
        <v>423</v>
      </c>
      <c r="B885" s="4">
        <v>2019</v>
      </c>
      <c r="C885" t="s">
        <v>49</v>
      </c>
      <c r="D885" s="8">
        <f>INDEX(GDP_pc!$E:$ZZ, MATCH(A885, GDP_pc!$C:$C, 0), MATCH(B885, GDP_pc!$E$1:$ZZ$1, 0))</f>
        <v>775853144222.61267</v>
      </c>
      <c r="E885">
        <f>INDEX(CH4_Em!$E:$ZZ, MATCH(A885, CH4_Em!$C:$C, 0), MATCH(B885, CH4_Em!$E$1:$ZZ$1, 0))</f>
        <v>46.641399999999997</v>
      </c>
      <c r="F885">
        <f>INDEX(N2O_Em!$E:$ZZ, MATCH(A885, N2O_Em!$C:$C, 0), MATCH(B885, N2O_Em!$E$1:$ZZ$1, 0))</f>
        <v>20.5307</v>
      </c>
      <c r="G885">
        <f>INDEX(CO2_Em!$E:$ZZ, MATCH(A885, CO2_Em!$C:$C, 0), MATCH(B885, CO2_Em!$E$1:$ZZ$1, 0))</f>
        <v>2.3471000000000002</v>
      </c>
      <c r="H885">
        <f>INDEX(Agri_VA!$E:$ZZ, MATCH(A885, Agri_VA!$C:$C, 0), MATCH(B885, Agri_VA!$E$1:$ZZ$1, 0))</f>
        <v>6.6541535628226987</v>
      </c>
      <c r="I885" s="6">
        <f>INDEX('Agri_land '!$E:$ZZ, MATCH(A885, 'Agri_land '!$C:$C, 0), MATCH(B885, 'Agri_land '!$E$1:$ZZ$1, 0))</f>
        <v>49.005366214934448</v>
      </c>
      <c r="J885">
        <f>INDEX(Cereal_Yield!$E:$ZZ, MATCH(A885, Cereal_Yield!$C:$C, 0), MATCH(B885, Cereal_Yield!$E$1:$ZZ$1, 0))</f>
        <v>3200.8</v>
      </c>
    </row>
    <row r="886" spans="1:10" x14ac:dyDescent="0.3">
      <c r="A886" t="s">
        <v>423</v>
      </c>
      <c r="B886" s="4">
        <v>2020</v>
      </c>
      <c r="C886" t="s">
        <v>49</v>
      </c>
      <c r="D886" s="8">
        <f>INDEX(GDP_pc!$E:$ZZ, MATCH(A886, GDP_pc!$C:$C, 0), MATCH(B886, GDP_pc!$E$1:$ZZ$1, 0))</f>
        <v>733628247119.07715</v>
      </c>
      <c r="E886">
        <f>INDEX(CH4_Em!$E:$ZZ, MATCH(A886, CH4_Em!$C:$C, 0), MATCH(B886, CH4_Em!$E$1:$ZZ$1, 0))</f>
        <v>48.432600000000001</v>
      </c>
      <c r="F886">
        <f>INDEX(N2O_Em!$E:$ZZ, MATCH(A886, N2O_Em!$C:$C, 0), MATCH(B886, N2O_Em!$E$1:$ZZ$1, 0))</f>
        <v>23.033899999999999</v>
      </c>
      <c r="G886">
        <f>INDEX(CO2_Em!$E:$ZZ, MATCH(A886, CO2_Em!$C:$C, 0), MATCH(B886, CO2_Em!$E$1:$ZZ$1, 0))</f>
        <v>2.9857999999999998</v>
      </c>
      <c r="H886">
        <f>INDEX(Agri_VA!$E:$ZZ, MATCH(A886, Agri_VA!$C:$C, 0), MATCH(B886, Agri_VA!$E$1:$ZZ$1, 0))</f>
        <v>6.8912259090968471</v>
      </c>
      <c r="I886" s="6">
        <f>INDEX('Agri_land '!$E:$ZZ, MATCH(A886, 'Agri_land '!$C:$C, 0), MATCH(B886, 'Agri_land '!$E$1:$ZZ$1, 0))</f>
        <v>49.065135194833879</v>
      </c>
      <c r="J886">
        <f>INDEX(Cereal_Yield!$E:$ZZ, MATCH(A886, Cereal_Yield!$C:$C, 0), MATCH(B886, Cereal_Yield!$E$1:$ZZ$1, 0))</f>
        <v>3341.5</v>
      </c>
    </row>
    <row r="887" spans="1:10" x14ac:dyDescent="0.3">
      <c r="A887" t="s">
        <v>423</v>
      </c>
      <c r="B887" s="4">
        <v>2021</v>
      </c>
      <c r="C887" t="s">
        <v>49</v>
      </c>
      <c r="D887" s="8">
        <f>INDEX(GDP_pc!$E:$ZZ, MATCH(A887, GDP_pc!$C:$C, 0), MATCH(B887, GDP_pc!$E$1:$ZZ$1, 0))</f>
        <v>839938668172.13403</v>
      </c>
      <c r="E887">
        <f>INDEX(CH4_Em!$E:$ZZ, MATCH(A887, CH4_Em!$C:$C, 0), MATCH(B887, CH4_Em!$E$1:$ZZ$1, 0))</f>
        <v>49.172400000000003</v>
      </c>
      <c r="F887">
        <f>INDEX(N2O_Em!$E:$ZZ, MATCH(A887, N2O_Em!$C:$C, 0), MATCH(B887, N2O_Em!$E$1:$ZZ$1, 0))</f>
        <v>21.5853</v>
      </c>
      <c r="G887">
        <f>INDEX(CO2_Em!$E:$ZZ, MATCH(A887, CO2_Em!$C:$C, 0), MATCH(B887, CO2_Em!$E$1:$ZZ$1, 0))</f>
        <v>2.3106</v>
      </c>
      <c r="H887">
        <f>INDEX(Agri_VA!$E:$ZZ, MATCH(A887, Agri_VA!$C:$C, 0), MATCH(B887, Agri_VA!$E$1:$ZZ$1, 0))</f>
        <v>5.7048817163681633</v>
      </c>
      <c r="I887" s="6">
        <f>INDEX('Agri_land '!$E:$ZZ, MATCH(A887, 'Agri_land '!$C:$C, 0), MATCH(B887, 'Agri_land '!$E$1:$ZZ$1, 0))</f>
        <v>49.490014682379844</v>
      </c>
      <c r="J887">
        <f>INDEX(Cereal_Yield!$E:$ZZ, MATCH(A887, Cereal_Yield!$C:$C, 0), MATCH(B887, Cereal_Yield!$E$1:$ZZ$1, 0))</f>
        <v>2918.5</v>
      </c>
    </row>
    <row r="888" spans="1:10" x14ac:dyDescent="0.3">
      <c r="A888" t="s">
        <v>423</v>
      </c>
      <c r="B888" s="4">
        <v>2022</v>
      </c>
      <c r="C888" t="s">
        <v>49</v>
      </c>
      <c r="D888" s="8">
        <f>INDEX(GDP_pc!$E:$ZZ, MATCH(A888, GDP_pc!$C:$C, 0), MATCH(B888, GDP_pc!$E$1:$ZZ$1, 0))</f>
        <v>926097476913.8175</v>
      </c>
      <c r="E888">
        <f>INDEX(CH4_Em!$E:$ZZ, MATCH(A888, CH4_Em!$C:$C, 0), MATCH(B888, CH4_Em!$E$1:$ZZ$1, 0))</f>
        <v>47.616199999999999</v>
      </c>
      <c r="F888">
        <f>INDEX(N2O_Em!$E:$ZZ, MATCH(A888, N2O_Em!$C:$C, 0), MATCH(B888, N2O_Em!$E$1:$ZZ$1, 0))</f>
        <v>20.200099999999999</v>
      </c>
      <c r="G888">
        <f>INDEX(CO2_Em!$E:$ZZ, MATCH(A888, CO2_Em!$C:$C, 0), MATCH(B888, CO2_Em!$E$1:$ZZ$1, 0))</f>
        <v>2.1301000000000001</v>
      </c>
      <c r="H888">
        <f>INDEX(Agri_VA!$E:$ZZ, MATCH(A888, Agri_VA!$C:$C, 0), MATCH(B888, Agri_VA!$E$1:$ZZ$1, 0))</f>
        <v>6.6936096192260433</v>
      </c>
      <c r="I888" s="6">
        <f>INDEX('Agri_land '!$E:$ZZ, MATCH(A888, 'Agri_land '!$C:$C, 0), MATCH(B888, 'Agri_land '!$E$1:$ZZ$1, 0))</f>
        <v>50.02533685017476</v>
      </c>
      <c r="J888">
        <f>INDEX(Cereal_Yield!$E:$ZZ, MATCH(A888, Cereal_Yield!$C:$C, 0), MATCH(B888, Cereal_Yield!$E$1:$ZZ$1, 0))</f>
        <v>3464.7</v>
      </c>
    </row>
    <row r="889" spans="1:10" x14ac:dyDescent="0.3">
      <c r="A889" t="s">
        <v>423</v>
      </c>
      <c r="B889" s="4">
        <v>2023</v>
      </c>
      <c r="C889" t="s">
        <v>49</v>
      </c>
      <c r="D889" s="8">
        <f>INDEX(GDP_pc!$E:$ZZ, MATCH(A889, GDP_pc!$C:$C, 0), MATCH(B889, GDP_pc!$E$1:$ZZ$1, 0))</f>
        <v>1141242864657.4524</v>
      </c>
      <c r="E889">
        <f>INDEX(CH4_Em!$E:$ZZ, MATCH(A889, CH4_Em!$C:$C, 0), MATCH(B889, CH4_Em!$E$1:$ZZ$1, 0))</f>
        <v>46.074300000000001</v>
      </c>
      <c r="F889">
        <f>INDEX(N2O_Em!$E:$ZZ, MATCH(A889, N2O_Em!$C:$C, 0), MATCH(B889, N2O_Em!$E$1:$ZZ$1, 0))</f>
        <v>19.721</v>
      </c>
      <c r="G889">
        <f>INDEX(CO2_Em!$E:$ZZ, MATCH(A889, CO2_Em!$C:$C, 0), MATCH(B889, CO2_Em!$E$1:$ZZ$1, 0))</f>
        <v>2.1690999999999998</v>
      </c>
      <c r="H889">
        <f>INDEX(Agri_VA!$E:$ZZ, MATCH(A889, Agri_VA!$C:$C, 0), MATCH(B889, Agri_VA!$E$1:$ZZ$1, 0))</f>
        <v>6.38984597795627</v>
      </c>
      <c r="I889" s="6">
        <f>INDEX('Agri_land '!$E:$ZZ, MATCH(A889, 'Agri_land '!$C:$C, 0), MATCH(B889, 'Agri_land '!$E$1:$ZZ$1, 0))</f>
        <v>50.138378181723688</v>
      </c>
      <c r="J889">
        <f>INDEX(Cereal_Yield!$E:$ZZ, MATCH(A889, Cereal_Yield!$C:$C, 0), MATCH(B889, Cereal_Yield!$E$1:$ZZ$1, 0))</f>
        <v>3659.1</v>
      </c>
    </row>
    <row r="890" spans="1:10" x14ac:dyDescent="0.3">
      <c r="A890" t="s">
        <v>43</v>
      </c>
      <c r="B890" s="4">
        <v>2000</v>
      </c>
      <c r="C890" t="s">
        <v>48</v>
      </c>
      <c r="D890" s="8">
        <f>INDEX(GDP_pc!$E:$ZZ, MATCH(A890, GDP_pc!$C:$C, 0), MATCH(B890, GDP_pc!$E$1:$ZZ$1, 0))</f>
        <v>104337372362.15112</v>
      </c>
      <c r="E890">
        <f>INDEX(CH4_Em!$E:$ZZ, MATCH(A890, CH4_Em!$C:$C, 0), MATCH(B890, CH4_Em!$E$1:$ZZ$1, 0))</f>
        <v>0.69079999999999997</v>
      </c>
      <c r="F890">
        <f>INDEX(N2O_Em!$E:$ZZ, MATCH(A890, N2O_Em!$C:$C, 0), MATCH(B890, N2O_Em!$E$1:$ZZ$1, 0))</f>
        <v>0.2361</v>
      </c>
      <c r="G890" t="str">
        <f>INDEX(CO2_Em!$E:$ZZ, MATCH(A890, CO2_Em!$C:$C, 0), MATCH(B890, CO2_Em!$E$1:$ZZ$1, 0))</f>
        <v>..</v>
      </c>
      <c r="H890">
        <f>INDEX(Agri_VA!$E:$ZZ, MATCH(A890, Agri_VA!$C:$C, 0), MATCH(B890, Agri_VA!$E$1:$ZZ$1, 0))</f>
        <v>2.2626500930374576</v>
      </c>
      <c r="I890" s="6">
        <f>INDEX('Agri_land '!$E:$ZZ, MATCH(A890, 'Agri_land '!$C:$C, 0), MATCH(B890, 'Agri_land '!$E$1:$ZZ$1, 0))</f>
        <v>7.7020557589411442</v>
      </c>
      <c r="J890">
        <f>INDEX(Cereal_Yield!$E:$ZZ, MATCH(A890, Cereal_Yield!$C:$C, 0), MATCH(B890, Cereal_Yield!$E$1:$ZZ$1, 0))</f>
        <v>17504.7</v>
      </c>
    </row>
    <row r="891" spans="1:10" x14ac:dyDescent="0.3">
      <c r="A891" t="s">
        <v>43</v>
      </c>
      <c r="B891" s="4">
        <v>2001</v>
      </c>
      <c r="C891" t="s">
        <v>48</v>
      </c>
      <c r="D891" s="8">
        <f>INDEX(GDP_pc!$E:$ZZ, MATCH(A891, GDP_pc!$C:$C, 0), MATCH(B891, GDP_pc!$E$1:$ZZ$1, 0))</f>
        <v>103311640571.81757</v>
      </c>
      <c r="E891">
        <f>INDEX(CH4_Em!$E:$ZZ, MATCH(A891, CH4_Em!$C:$C, 0), MATCH(B891, CH4_Em!$E$1:$ZZ$1, 0))</f>
        <v>0.73129999999999995</v>
      </c>
      <c r="F891">
        <f>INDEX(N2O_Em!$E:$ZZ, MATCH(A891, N2O_Em!$C:$C, 0), MATCH(B891, N2O_Em!$E$1:$ZZ$1, 0))</f>
        <v>0.2487</v>
      </c>
      <c r="G891" t="str">
        <f>INDEX(CO2_Em!$E:$ZZ, MATCH(A891, CO2_Em!$C:$C, 0), MATCH(B891, CO2_Em!$E$1:$ZZ$1, 0))</f>
        <v>..</v>
      </c>
      <c r="H891">
        <f>INDEX(Agri_VA!$E:$ZZ, MATCH(A891, Agri_VA!$C:$C, 0), MATCH(B891, Agri_VA!$E$1:$ZZ$1, 0))</f>
        <v>2.2382001623564887</v>
      </c>
      <c r="I891" s="6">
        <f>INDEX('Agri_land '!$E:$ZZ, MATCH(A891, 'Agri_land '!$C:$C, 0), MATCH(B891, 'Agri_land '!$E$1:$ZZ$1, 0))</f>
        <v>7.9132638693325816</v>
      </c>
      <c r="J891">
        <f>INDEX(Cereal_Yield!$E:$ZZ, MATCH(A891, Cereal_Yield!$C:$C, 0), MATCH(B891, Cereal_Yield!$E$1:$ZZ$1, 0))</f>
        <v>17476.900000000001</v>
      </c>
    </row>
    <row r="892" spans="1:10" x14ac:dyDescent="0.3">
      <c r="A892" t="s">
        <v>43</v>
      </c>
      <c r="B892" s="4">
        <v>2002</v>
      </c>
      <c r="C892" t="s">
        <v>48</v>
      </c>
      <c r="D892" s="8">
        <f>INDEX(GDP_pc!$E:$ZZ, MATCH(A892, GDP_pc!$C:$C, 0), MATCH(B892, GDP_pc!$E$1:$ZZ$1, 0))</f>
        <v>109816201497.61743</v>
      </c>
      <c r="E892">
        <f>INDEX(CH4_Em!$E:$ZZ, MATCH(A892, CH4_Em!$C:$C, 0), MATCH(B892, CH4_Em!$E$1:$ZZ$1, 0))</f>
        <v>0.77170000000000005</v>
      </c>
      <c r="F892">
        <f>INDEX(N2O_Em!$E:$ZZ, MATCH(A892, N2O_Em!$C:$C, 0), MATCH(B892, N2O_Em!$E$1:$ZZ$1, 0))</f>
        <v>0.26250000000000001</v>
      </c>
      <c r="G892" t="str">
        <f>INDEX(CO2_Em!$E:$ZZ, MATCH(A892, CO2_Em!$C:$C, 0), MATCH(B892, CO2_Em!$E$1:$ZZ$1, 0))</f>
        <v>..</v>
      </c>
      <c r="H892">
        <f>INDEX(Agri_VA!$E:$ZZ, MATCH(A892, Agri_VA!$C:$C, 0), MATCH(B892, Agri_VA!$E$1:$ZZ$1, 0))</f>
        <v>2.2033225886436898</v>
      </c>
      <c r="I892" s="6">
        <f>INDEX('Agri_land '!$E:$ZZ, MATCH(A892, 'Agri_land '!$C:$C, 0), MATCH(B892, 'Agri_land '!$E$1:$ZZ$1, 0))</f>
        <v>7.9695860321036331</v>
      </c>
      <c r="J892">
        <f>INDEX(Cereal_Yield!$E:$ZZ, MATCH(A892, Cereal_Yield!$C:$C, 0), MATCH(B892, Cereal_Yield!$E$1:$ZZ$1, 0))</f>
        <v>18064.599999999999</v>
      </c>
    </row>
    <row r="893" spans="1:10" x14ac:dyDescent="0.3">
      <c r="A893" t="s">
        <v>43</v>
      </c>
      <c r="B893" s="4">
        <v>2003</v>
      </c>
      <c r="C893" t="s">
        <v>48</v>
      </c>
      <c r="D893" s="8">
        <f>INDEX(GDP_pc!$E:$ZZ, MATCH(A893, GDP_pc!$C:$C, 0), MATCH(B893, GDP_pc!$E$1:$ZZ$1, 0))</f>
        <v>124346358066.71205</v>
      </c>
      <c r="E893">
        <f>INDEX(CH4_Em!$E:$ZZ, MATCH(A893, CH4_Em!$C:$C, 0), MATCH(B893, CH4_Em!$E$1:$ZZ$1, 0))</f>
        <v>0.81210000000000004</v>
      </c>
      <c r="F893">
        <f>INDEX(N2O_Em!$E:$ZZ, MATCH(A893, N2O_Em!$C:$C, 0), MATCH(B893, N2O_Em!$E$1:$ZZ$1, 0))</f>
        <v>0.27900000000000003</v>
      </c>
      <c r="G893" t="str">
        <f>INDEX(CO2_Em!$E:$ZZ, MATCH(A893, CO2_Em!$C:$C, 0), MATCH(B893, CO2_Em!$E$1:$ZZ$1, 0))</f>
        <v>..</v>
      </c>
      <c r="H893">
        <f>INDEX(Agri_VA!$E:$ZZ, MATCH(A893, Agri_VA!$C:$C, 0), MATCH(B893, Agri_VA!$E$1:$ZZ$1, 0))</f>
        <v>1.9276839325365367</v>
      </c>
      <c r="I893" s="6">
        <f>INDEX('Agri_land '!$E:$ZZ, MATCH(A893, 'Agri_land '!$C:$C, 0), MATCH(B893, 'Agri_land '!$E$1:$ZZ$1, 0))</f>
        <v>7.8006195437904813</v>
      </c>
      <c r="J893">
        <f>INDEX(Cereal_Yield!$E:$ZZ, MATCH(A893, Cereal_Yield!$C:$C, 0), MATCH(B893, Cereal_Yield!$E$1:$ZZ$1, 0))</f>
        <v>20927.8</v>
      </c>
    </row>
    <row r="894" spans="1:10" x14ac:dyDescent="0.3">
      <c r="A894" t="s">
        <v>43</v>
      </c>
      <c r="B894" s="4">
        <v>2004</v>
      </c>
      <c r="C894" t="s">
        <v>48</v>
      </c>
      <c r="D894" s="8">
        <f>INDEX(GDP_pc!$E:$ZZ, MATCH(A894, GDP_pc!$C:$C, 0), MATCH(B894, GDP_pc!$E$1:$ZZ$1, 0))</f>
        <v>147824370319.94556</v>
      </c>
      <c r="E894">
        <f>INDEX(CH4_Em!$E:$ZZ, MATCH(A894, CH4_Em!$C:$C, 0), MATCH(B894, CH4_Em!$E$1:$ZZ$1, 0))</f>
        <v>0.81210000000000004</v>
      </c>
      <c r="F894">
        <f>INDEX(N2O_Em!$E:$ZZ, MATCH(A894, N2O_Em!$C:$C, 0), MATCH(B894, N2O_Em!$E$1:$ZZ$1, 0))</f>
        <v>0.27560000000000001</v>
      </c>
      <c r="G894" t="str">
        <f>INDEX(CO2_Em!$E:$ZZ, MATCH(A894, CO2_Em!$C:$C, 0), MATCH(B894, CO2_Em!$E$1:$ZZ$1, 0))</f>
        <v>..</v>
      </c>
      <c r="H894">
        <f>INDEX(Agri_VA!$E:$ZZ, MATCH(A894, Agri_VA!$C:$C, 0), MATCH(B894, Agri_VA!$E$1:$ZZ$1, 0))</f>
        <v>1.6653619090599296</v>
      </c>
      <c r="I894" s="6">
        <f>INDEX('Agri_land '!$E:$ZZ, MATCH(A894, 'Agri_land '!$C:$C, 0), MATCH(B894, 'Agri_land '!$E$1:$ZZ$1, 0))</f>
        <v>7.8006195437904813</v>
      </c>
      <c r="J894">
        <f>INDEX(Cereal_Yield!$E:$ZZ, MATCH(A894, Cereal_Yield!$C:$C, 0), MATCH(B894, Cereal_Yield!$E$1:$ZZ$1, 0))</f>
        <v>20373.599999999999</v>
      </c>
    </row>
    <row r="895" spans="1:10" x14ac:dyDescent="0.3">
      <c r="A895" t="s">
        <v>43</v>
      </c>
      <c r="B895" s="4">
        <v>2005</v>
      </c>
      <c r="C895" t="s">
        <v>48</v>
      </c>
      <c r="D895" s="8">
        <f>INDEX(GDP_pc!$E:$ZZ, MATCH(A895, GDP_pc!$C:$C, 0), MATCH(B895, GDP_pc!$E$1:$ZZ$1, 0))</f>
        <v>180617467964.60178</v>
      </c>
      <c r="E895">
        <f>INDEX(CH4_Em!$E:$ZZ, MATCH(A895, CH4_Em!$C:$C, 0), MATCH(B895, CH4_Em!$E$1:$ZZ$1, 0))</f>
        <v>0.93110000000000004</v>
      </c>
      <c r="F895">
        <f>INDEX(N2O_Em!$E:$ZZ, MATCH(A895, N2O_Em!$C:$C, 0), MATCH(B895, N2O_Em!$E$1:$ZZ$1, 0))</f>
        <v>0.29289999999999999</v>
      </c>
      <c r="G895" t="str">
        <f>INDEX(CO2_Em!$E:$ZZ, MATCH(A895, CO2_Em!$C:$C, 0), MATCH(B895, CO2_Em!$E$1:$ZZ$1, 0))</f>
        <v>..</v>
      </c>
      <c r="H895">
        <f>INDEX(Agri_VA!$E:$ZZ, MATCH(A895, Agri_VA!$C:$C, 0), MATCH(B895, Agri_VA!$E$1:$ZZ$1, 0))</f>
        <v>1.395409874085288</v>
      </c>
      <c r="I895" s="6">
        <f>INDEX('Agri_land '!$E:$ZZ, MATCH(A895, 'Agri_land '!$C:$C, 0), MATCH(B895, 'Agri_land '!$E$1:$ZZ$1, 0))</f>
        <v>7.8428611658687695</v>
      </c>
      <c r="J895">
        <f>INDEX(Cereal_Yield!$E:$ZZ, MATCH(A895, Cereal_Yield!$C:$C, 0), MATCH(B895, Cereal_Yield!$E$1:$ZZ$1, 0))</f>
        <v>20215.2</v>
      </c>
    </row>
    <row r="896" spans="1:10" x14ac:dyDescent="0.3">
      <c r="A896" t="s">
        <v>43</v>
      </c>
      <c r="B896" s="4">
        <v>2006</v>
      </c>
      <c r="C896" t="s">
        <v>48</v>
      </c>
      <c r="D896" s="8">
        <f>INDEX(GDP_pc!$E:$ZZ, MATCH(A896, GDP_pc!$C:$C, 0), MATCH(B896, GDP_pc!$E$1:$ZZ$1, 0))</f>
        <v>222116541865.21445</v>
      </c>
      <c r="E896">
        <f>INDEX(CH4_Em!$E:$ZZ, MATCH(A896, CH4_Em!$C:$C, 0), MATCH(B896, CH4_Em!$E$1:$ZZ$1, 0))</f>
        <v>0.97829999999999995</v>
      </c>
      <c r="F896">
        <f>INDEX(N2O_Em!$E:$ZZ, MATCH(A896, N2O_Em!$C:$C, 0), MATCH(B896, N2O_Em!$E$1:$ZZ$1, 0))</f>
        <v>0.30420000000000003</v>
      </c>
      <c r="G896" t="str">
        <f>INDEX(CO2_Em!$E:$ZZ, MATCH(A896, CO2_Em!$C:$C, 0), MATCH(B896, CO2_Em!$E$1:$ZZ$1, 0))</f>
        <v>..</v>
      </c>
      <c r="H896">
        <f>INDEX(Agri_VA!$E:$ZZ, MATCH(A896, Agri_VA!$C:$C, 0), MATCH(B896, Agri_VA!$E$1:$ZZ$1, 0))</f>
        <v>1.0942440019467392</v>
      </c>
      <c r="I896" s="6">
        <f>INDEX('Agri_land '!$E:$ZZ, MATCH(A896, 'Agri_land '!$C:$C, 0), MATCH(B896, 'Agri_land '!$E$1:$ZZ$1, 0))</f>
        <v>7.5837792171219371</v>
      </c>
      <c r="J896">
        <f>INDEX(Cereal_Yield!$E:$ZZ, MATCH(A896, Cereal_Yield!$C:$C, 0), MATCH(B896, Cereal_Yield!$E$1:$ZZ$1, 0))</f>
        <v>20900.8</v>
      </c>
    </row>
    <row r="897" spans="1:10" x14ac:dyDescent="0.3">
      <c r="A897" t="s">
        <v>43</v>
      </c>
      <c r="B897" s="4">
        <v>2007</v>
      </c>
      <c r="C897" t="s">
        <v>48</v>
      </c>
      <c r="D897" s="8">
        <f>INDEX(GDP_pc!$E:$ZZ, MATCH(A897, GDP_pc!$C:$C, 0), MATCH(B897, GDP_pc!$E$1:$ZZ$1, 0))</f>
        <v>257916133424.09802</v>
      </c>
      <c r="E897">
        <f>INDEX(CH4_Em!$E:$ZZ, MATCH(A897, CH4_Em!$C:$C, 0), MATCH(B897, CH4_Em!$E$1:$ZZ$1, 0))</f>
        <v>1.0276000000000001</v>
      </c>
      <c r="F897">
        <f>INDEX(N2O_Em!$E:$ZZ, MATCH(A897, N2O_Em!$C:$C, 0), MATCH(B897, N2O_Em!$E$1:$ZZ$1, 0))</f>
        <v>0.317</v>
      </c>
      <c r="G897" t="str">
        <f>INDEX(CO2_Em!$E:$ZZ, MATCH(A897, CO2_Em!$C:$C, 0), MATCH(B897, CO2_Em!$E$1:$ZZ$1, 0))</f>
        <v>..</v>
      </c>
      <c r="H897">
        <f>INDEX(Agri_VA!$E:$ZZ, MATCH(A897, Agri_VA!$C:$C, 0), MATCH(B897, Agri_VA!$E$1:$ZZ$1, 0))</f>
        <v>0.9766711676662827</v>
      </c>
      <c r="I897" s="6">
        <f>INDEX('Agri_land '!$E:$ZZ, MATCH(A897, 'Agri_land '!$C:$C, 0), MATCH(B897, 'Agri_land '!$E$1:$ZZ$1, 0))</f>
        <v>7.4992959729653617</v>
      </c>
      <c r="J897">
        <f>INDEX(Cereal_Yield!$E:$ZZ, MATCH(A897, Cereal_Yield!$C:$C, 0), MATCH(B897, Cereal_Yield!$E$1:$ZZ$1, 0))</f>
        <v>21428.6</v>
      </c>
    </row>
    <row r="898" spans="1:10" x14ac:dyDescent="0.3">
      <c r="A898" t="s">
        <v>43</v>
      </c>
      <c r="B898" s="4">
        <v>2008</v>
      </c>
      <c r="C898" t="s">
        <v>48</v>
      </c>
      <c r="D898" s="8">
        <f>INDEX(GDP_pc!$E:$ZZ, MATCH(A898, GDP_pc!$C:$C, 0), MATCH(B898, GDP_pc!$E$1:$ZZ$1, 0))</f>
        <v>315474615738.59772</v>
      </c>
      <c r="E898">
        <f>INDEX(CH4_Em!$E:$ZZ, MATCH(A898, CH4_Em!$C:$C, 0), MATCH(B898, CH4_Em!$E$1:$ZZ$1, 0))</f>
        <v>1.0829</v>
      </c>
      <c r="F898">
        <f>INDEX(N2O_Em!$E:$ZZ, MATCH(A898, N2O_Em!$C:$C, 0), MATCH(B898, N2O_Em!$E$1:$ZZ$1, 0))</f>
        <v>0.33760000000000001</v>
      </c>
      <c r="G898" t="str">
        <f>INDEX(CO2_Em!$E:$ZZ, MATCH(A898, CO2_Em!$C:$C, 0), MATCH(B898, CO2_Em!$E$1:$ZZ$1, 0))</f>
        <v>..</v>
      </c>
      <c r="H898">
        <f>INDEX(Agri_VA!$E:$ZZ, MATCH(A898, Agri_VA!$C:$C, 0), MATCH(B898, Agri_VA!$E$1:$ZZ$1, 0))</f>
        <v>0.82730546409322991</v>
      </c>
      <c r="I898" s="6">
        <f>INDEX('Agri_land '!$E:$ZZ, MATCH(A898, 'Agri_land '!$C:$C, 0), MATCH(B898, 'Agri_land '!$E$1:$ZZ$1, 0))</f>
        <v>7.5978597578146996</v>
      </c>
      <c r="J898">
        <f>INDEX(Cereal_Yield!$E:$ZZ, MATCH(A898, Cereal_Yield!$C:$C, 0), MATCH(B898, Cereal_Yield!$E$1:$ZZ$1, 0))</f>
        <v>22265.9</v>
      </c>
    </row>
    <row r="899" spans="1:10" x14ac:dyDescent="0.3">
      <c r="A899" t="s">
        <v>43</v>
      </c>
      <c r="B899" s="4">
        <v>2009</v>
      </c>
      <c r="C899" t="s">
        <v>48</v>
      </c>
      <c r="D899" s="8">
        <f>INDEX(GDP_pc!$E:$ZZ, MATCH(A899, GDP_pc!$C:$C, 0), MATCH(B899, GDP_pc!$E$1:$ZZ$1, 0))</f>
        <v>253547358747.44727</v>
      </c>
      <c r="E899">
        <f>INDEX(CH4_Em!$E:$ZZ, MATCH(A899, CH4_Em!$C:$C, 0), MATCH(B899, CH4_Em!$E$1:$ZZ$1, 0))</f>
        <v>1.2726999999999999</v>
      </c>
      <c r="F899">
        <f>INDEX(N2O_Em!$E:$ZZ, MATCH(A899, N2O_Em!$C:$C, 0), MATCH(B899, N2O_Em!$E$1:$ZZ$1, 0))</f>
        <v>0.39900000000000002</v>
      </c>
      <c r="G899" t="str">
        <f>INDEX(CO2_Em!$E:$ZZ, MATCH(A899, CO2_Em!$C:$C, 0), MATCH(B899, CO2_Em!$E$1:$ZZ$1, 0))</f>
        <v>..</v>
      </c>
      <c r="H899">
        <f>INDEX(Agri_VA!$E:$ZZ, MATCH(A899, Agri_VA!$C:$C, 0), MATCH(B899, Agri_VA!$E$1:$ZZ$1, 0))</f>
        <v>1.0368868886082512</v>
      </c>
      <c r="I899" s="6">
        <f>INDEX('Agri_land '!$E:$ZZ, MATCH(A899, 'Agri_land '!$C:$C, 0), MATCH(B899, 'Agri_land '!$E$1:$ZZ$1, 0))</f>
        <v>5.4618417347226131</v>
      </c>
      <c r="J899">
        <f>INDEX(Cereal_Yield!$E:$ZZ, MATCH(A899, Cereal_Yield!$C:$C, 0), MATCH(B899, Cereal_Yield!$E$1:$ZZ$1, 0))</f>
        <v>24716.6</v>
      </c>
    </row>
    <row r="900" spans="1:10" x14ac:dyDescent="0.3">
      <c r="A900" t="s">
        <v>43</v>
      </c>
      <c r="B900" s="4">
        <v>2010</v>
      </c>
      <c r="C900" t="s">
        <v>48</v>
      </c>
      <c r="D900" s="8">
        <f>INDEX(GDP_pc!$E:$ZZ, MATCH(A900, GDP_pc!$C:$C, 0), MATCH(B900, GDP_pc!$E$1:$ZZ$1, 0))</f>
        <v>307736419332.87952</v>
      </c>
      <c r="E900">
        <f>INDEX(CH4_Em!$E:$ZZ, MATCH(A900, CH4_Em!$C:$C, 0), MATCH(B900, CH4_Em!$E$1:$ZZ$1, 0))</f>
        <v>1.1177999999999999</v>
      </c>
      <c r="F900">
        <f>INDEX(N2O_Em!$E:$ZZ, MATCH(A900, N2O_Em!$C:$C, 0), MATCH(B900, N2O_Em!$E$1:$ZZ$1, 0))</f>
        <v>0.37180000000000002</v>
      </c>
      <c r="G900" t="str">
        <f>INDEX(CO2_Em!$E:$ZZ, MATCH(A900, CO2_Em!$C:$C, 0), MATCH(B900, CO2_Em!$E$1:$ZZ$1, 0))</f>
        <v>..</v>
      </c>
      <c r="H900">
        <f>INDEX(Agri_VA!$E:$ZZ, MATCH(A900, Agri_VA!$C:$C, 0), MATCH(B900, Agri_VA!$E$1:$ZZ$1, 0))</f>
        <v>0.73228439816592672</v>
      </c>
      <c r="I900" s="6">
        <f>INDEX('Agri_land '!$E:$ZZ, MATCH(A900, 'Agri_land '!$C:$C, 0), MATCH(B900, 'Agri_land '!$E$1:$ZZ$1, 0))</f>
        <v>5.5237961137707687</v>
      </c>
      <c r="J900">
        <f>INDEX(Cereal_Yield!$E:$ZZ, MATCH(A900, Cereal_Yield!$C:$C, 0), MATCH(B900, Cereal_Yield!$E$1:$ZZ$1, 0))</f>
        <v>18069.8</v>
      </c>
    </row>
    <row r="901" spans="1:10" x14ac:dyDescent="0.3">
      <c r="A901" t="s">
        <v>43</v>
      </c>
      <c r="B901" s="4">
        <v>2011</v>
      </c>
      <c r="C901" t="s">
        <v>48</v>
      </c>
      <c r="D901" s="8">
        <f>INDEX(GDP_pc!$E:$ZZ, MATCH(A901, GDP_pc!$C:$C, 0), MATCH(B901, GDP_pc!$E$1:$ZZ$1, 0))</f>
        <v>368881143635.12598</v>
      </c>
      <c r="E901">
        <f>INDEX(CH4_Em!$E:$ZZ, MATCH(A901, CH4_Em!$C:$C, 0), MATCH(B901, CH4_Em!$E$1:$ZZ$1, 0))</f>
        <v>1.1161000000000001</v>
      </c>
      <c r="F901">
        <f>INDEX(N2O_Em!$E:$ZZ, MATCH(A901, N2O_Em!$C:$C, 0), MATCH(B901, N2O_Em!$E$1:$ZZ$1, 0))</f>
        <v>0.36969999999999997</v>
      </c>
      <c r="G901" t="str">
        <f>INDEX(CO2_Em!$E:$ZZ, MATCH(A901, CO2_Em!$C:$C, 0), MATCH(B901, CO2_Em!$E$1:$ZZ$1, 0))</f>
        <v>..</v>
      </c>
      <c r="H901">
        <f>INDEX(Agri_VA!$E:$ZZ, MATCH(A901, Agri_VA!$C:$C, 0), MATCH(B901, Agri_VA!$E$1:$ZZ$1, 0))</f>
        <v>0.65017317282736753</v>
      </c>
      <c r="I901" s="6">
        <f>INDEX('Agri_land '!$E:$ZZ, MATCH(A901, 'Agri_land '!$C:$C, 0), MATCH(B901, 'Agri_land '!$E$1:$ZZ$1, 0))</f>
        <v>5.4702900591382715</v>
      </c>
      <c r="J901">
        <f>INDEX(Cereal_Yield!$E:$ZZ, MATCH(A901, Cereal_Yield!$C:$C, 0), MATCH(B901, Cereal_Yield!$E$1:$ZZ$1, 0))</f>
        <v>24064.3</v>
      </c>
    </row>
    <row r="902" spans="1:10" x14ac:dyDescent="0.3">
      <c r="A902" t="s">
        <v>43</v>
      </c>
      <c r="B902" s="4">
        <v>2012</v>
      </c>
      <c r="C902" t="s">
        <v>48</v>
      </c>
      <c r="D902" s="8">
        <f>INDEX(GDP_pc!$E:$ZZ, MATCH(A902, GDP_pc!$C:$C, 0), MATCH(B902, GDP_pc!$E$1:$ZZ$1, 0))</f>
        <v>392793464942.13751</v>
      </c>
      <c r="E902">
        <f>INDEX(CH4_Em!$E:$ZZ, MATCH(A902, CH4_Em!$C:$C, 0), MATCH(B902, CH4_Em!$E$1:$ZZ$1, 0))</f>
        <v>1.1208</v>
      </c>
      <c r="F902">
        <f>INDEX(N2O_Em!$E:$ZZ, MATCH(A902, N2O_Em!$C:$C, 0), MATCH(B902, N2O_Em!$E$1:$ZZ$1, 0))</f>
        <v>0.36580000000000001</v>
      </c>
      <c r="G902" t="str">
        <f>INDEX(CO2_Em!$E:$ZZ, MATCH(A902, CO2_Em!$C:$C, 0), MATCH(B902, CO2_Em!$E$1:$ZZ$1, 0))</f>
        <v>..</v>
      </c>
      <c r="H902">
        <f>INDEX(Agri_VA!$E:$ZZ, MATCH(A902, Agri_VA!$C:$C, 0), MATCH(B902, Agri_VA!$E$1:$ZZ$1, 0))</f>
        <v>0.62771484069006345</v>
      </c>
      <c r="I902" s="6">
        <f>INDEX('Agri_land '!$E:$ZZ, MATCH(A902, 'Agri_land '!$C:$C, 0), MATCH(B902, 'Agri_land '!$E$1:$ZZ$1, 0))</f>
        <v>5.3041396789636721</v>
      </c>
      <c r="J902">
        <f>INDEX(Cereal_Yield!$E:$ZZ, MATCH(A902, Cereal_Yield!$C:$C, 0), MATCH(B902, Cereal_Yield!$E$1:$ZZ$1, 0))</f>
        <v>12112.2</v>
      </c>
    </row>
    <row r="903" spans="1:10" x14ac:dyDescent="0.3">
      <c r="A903" t="s">
        <v>43</v>
      </c>
      <c r="B903" s="4">
        <v>2013</v>
      </c>
      <c r="C903" t="s">
        <v>48</v>
      </c>
      <c r="D903" s="8">
        <f>INDEX(GDP_pc!$E:$ZZ, MATCH(A903, GDP_pc!$C:$C, 0), MATCH(B903, GDP_pc!$E$1:$ZZ$1, 0))</f>
        <v>409632675289.3125</v>
      </c>
      <c r="E903">
        <f>INDEX(CH4_Em!$E:$ZZ, MATCH(A903, CH4_Em!$C:$C, 0), MATCH(B903, CH4_Em!$E$1:$ZZ$1, 0))</f>
        <v>1.2448999999999999</v>
      </c>
      <c r="F903">
        <f>INDEX(N2O_Em!$E:$ZZ, MATCH(A903, N2O_Em!$C:$C, 0), MATCH(B903, N2O_Em!$E$1:$ZZ$1, 0))</f>
        <v>0.41049999999999998</v>
      </c>
      <c r="G903" t="str">
        <f>INDEX(CO2_Em!$E:$ZZ, MATCH(A903, CO2_Em!$C:$C, 0), MATCH(B903, CO2_Em!$E$1:$ZZ$1, 0))</f>
        <v>..</v>
      </c>
      <c r="H903">
        <f>INDEX(Agri_VA!$E:$ZZ, MATCH(A903, Agri_VA!$C:$C, 0), MATCH(B903, Agri_VA!$E$1:$ZZ$1, 0))</f>
        <v>0.63129164517381298</v>
      </c>
      <c r="I903" s="6">
        <f>INDEX('Agri_land '!$E:$ZZ, MATCH(A903, 'Agri_land '!$C:$C, 0), MATCH(B903, 'Agri_land '!$E$1:$ZZ$1, 0))</f>
        <v>5.3421571388341311</v>
      </c>
      <c r="J903">
        <f>INDEX(Cereal_Yield!$E:$ZZ, MATCH(A903, Cereal_Yield!$C:$C, 0), MATCH(B903, Cereal_Yield!$E$1:$ZZ$1, 0))</f>
        <v>36761.9</v>
      </c>
    </row>
    <row r="904" spans="1:10" x14ac:dyDescent="0.3">
      <c r="A904" t="s">
        <v>43</v>
      </c>
      <c r="B904" s="4">
        <v>2014</v>
      </c>
      <c r="C904" t="s">
        <v>48</v>
      </c>
      <c r="D904" s="8">
        <f>INDEX(GDP_pc!$E:$ZZ, MATCH(A904, GDP_pc!$C:$C, 0), MATCH(B904, GDP_pc!$E$1:$ZZ$1, 0))</f>
        <v>424935874744.7243</v>
      </c>
      <c r="E904">
        <f>INDEX(CH4_Em!$E:$ZZ, MATCH(A904, CH4_Em!$C:$C, 0), MATCH(B904, CH4_Em!$E$1:$ZZ$1, 0))</f>
        <v>1.3399000000000001</v>
      </c>
      <c r="F904">
        <f>INDEX(N2O_Em!$E:$ZZ, MATCH(A904, N2O_Em!$C:$C, 0), MATCH(B904, N2O_Em!$E$1:$ZZ$1, 0))</f>
        <v>0.44429999999999997</v>
      </c>
      <c r="G904" t="str">
        <f>INDEX(CO2_Em!$E:$ZZ, MATCH(A904, CO2_Em!$C:$C, 0), MATCH(B904, CO2_Em!$E$1:$ZZ$1, 0))</f>
        <v>..</v>
      </c>
      <c r="H904">
        <f>INDEX(Agri_VA!$E:$ZZ, MATCH(A904, Agri_VA!$C:$C, 0), MATCH(B904, Agri_VA!$E$1:$ZZ$1, 0))</f>
        <v>0.62560194082060683</v>
      </c>
      <c r="I904" s="6">
        <f>INDEX('Agri_land '!$E:$ZZ, MATCH(A904, 'Agri_land '!$C:$C, 0), MATCH(B904, 'Agri_land '!$E$1:$ZZ$1, 0))</f>
        <v>5.3858068149816951</v>
      </c>
      <c r="J904">
        <f>INDEX(Cereal_Yield!$E:$ZZ, MATCH(A904, Cereal_Yield!$C:$C, 0), MATCH(B904, Cereal_Yield!$E$1:$ZZ$1, 0))</f>
        <v>14238.4</v>
      </c>
    </row>
    <row r="905" spans="1:10" x14ac:dyDescent="0.3">
      <c r="A905" t="s">
        <v>43</v>
      </c>
      <c r="B905" s="4">
        <v>2015</v>
      </c>
      <c r="C905" t="s">
        <v>48</v>
      </c>
      <c r="D905" s="8">
        <f>INDEX(GDP_pc!$E:$ZZ, MATCH(A905, GDP_pc!$C:$C, 0), MATCH(B905, GDP_pc!$E$1:$ZZ$1, 0))</f>
        <v>381973042886.31726</v>
      </c>
      <c r="E905">
        <f>INDEX(CH4_Em!$E:$ZZ, MATCH(A905, CH4_Em!$C:$C, 0), MATCH(B905, CH4_Em!$E$1:$ZZ$1, 0))</f>
        <v>1.3960999999999999</v>
      </c>
      <c r="F905">
        <f>INDEX(N2O_Em!$E:$ZZ, MATCH(A905, N2O_Em!$C:$C, 0), MATCH(B905, N2O_Em!$E$1:$ZZ$1, 0))</f>
        <v>0.46660000000000001</v>
      </c>
      <c r="G905" t="str">
        <f>INDEX(CO2_Em!$E:$ZZ, MATCH(A905, CO2_Em!$C:$C, 0), MATCH(B905, CO2_Em!$E$1:$ZZ$1, 0))</f>
        <v>..</v>
      </c>
      <c r="H905">
        <f>INDEX(Agri_VA!$E:$ZZ, MATCH(A905, Agri_VA!$C:$C, 0), MATCH(B905, Agri_VA!$E$1:$ZZ$1, 0))</f>
        <v>0.71628376470990796</v>
      </c>
      <c r="I905" s="6">
        <f>INDEX('Agri_land '!$E:$ZZ, MATCH(A905, 'Agri_land '!$C:$C, 0), MATCH(B905, 'Agri_land '!$E$1:$ZZ$1, 0))</f>
        <v>5.3900309771895243</v>
      </c>
      <c r="J905">
        <f>INDEX(Cereal_Yield!$E:$ZZ, MATCH(A905, Cereal_Yield!$C:$C, 0), MATCH(B905, Cereal_Yield!$E$1:$ZZ$1, 0))</f>
        <v>35291.300000000003</v>
      </c>
    </row>
    <row r="906" spans="1:10" x14ac:dyDescent="0.3">
      <c r="A906" t="s">
        <v>43</v>
      </c>
      <c r="B906" s="4">
        <v>2016</v>
      </c>
      <c r="C906" t="s">
        <v>48</v>
      </c>
      <c r="D906" s="8">
        <f>INDEX(GDP_pc!$E:$ZZ, MATCH(A906, GDP_pc!$C:$C, 0), MATCH(B906, GDP_pc!$E$1:$ZZ$1, 0))</f>
        <v>381717086453.36963</v>
      </c>
      <c r="E906">
        <f>INDEX(CH4_Em!$E:$ZZ, MATCH(A906, CH4_Em!$C:$C, 0), MATCH(B906, CH4_Em!$E$1:$ZZ$1, 0))</f>
        <v>1.4123000000000001</v>
      </c>
      <c r="F906">
        <f>INDEX(N2O_Em!$E:$ZZ, MATCH(A906, N2O_Em!$C:$C, 0), MATCH(B906, N2O_Em!$E$1:$ZZ$1, 0))</f>
        <v>0.46929999999999999</v>
      </c>
      <c r="G906" t="str">
        <f>INDEX(CO2_Em!$E:$ZZ, MATCH(A906, CO2_Em!$C:$C, 0), MATCH(B906, CO2_Em!$E$1:$ZZ$1, 0))</f>
        <v>..</v>
      </c>
      <c r="H906">
        <f>INDEX(Agri_VA!$E:$ZZ, MATCH(A906, Agri_VA!$C:$C, 0), MATCH(B906, Agri_VA!$E$1:$ZZ$1, 0))</f>
        <v>0.74080362034331626</v>
      </c>
      <c r="I906" s="6">
        <f>INDEX('Agri_land '!$E:$ZZ, MATCH(A906, 'Agri_land '!$C:$C, 0), MATCH(B906, 'Agri_land '!$E$1:$ZZ$1, 0))</f>
        <v>5.4041115178822867</v>
      </c>
      <c r="J906">
        <f>INDEX(Cereal_Yield!$E:$ZZ, MATCH(A906, Cereal_Yield!$C:$C, 0), MATCH(B906, Cereal_Yield!$E$1:$ZZ$1, 0))</f>
        <v>33396.5</v>
      </c>
    </row>
    <row r="907" spans="1:10" x14ac:dyDescent="0.3">
      <c r="A907" t="s">
        <v>43</v>
      </c>
      <c r="B907" s="4">
        <v>2017</v>
      </c>
      <c r="C907" t="s">
        <v>48</v>
      </c>
      <c r="D907" s="8">
        <f>INDEX(GDP_pc!$E:$ZZ, MATCH(A907, GDP_pc!$C:$C, 0), MATCH(B907, GDP_pc!$E$1:$ZZ$1, 0))</f>
        <v>403365010211.02795</v>
      </c>
      <c r="E907">
        <f>INDEX(CH4_Em!$E:$ZZ, MATCH(A907, CH4_Em!$C:$C, 0), MATCH(B907, CH4_Em!$E$1:$ZZ$1, 0))</f>
        <v>1.4440999999999999</v>
      </c>
      <c r="F907">
        <f>INDEX(N2O_Em!$E:$ZZ, MATCH(A907, N2O_Em!$C:$C, 0), MATCH(B907, N2O_Em!$E$1:$ZZ$1, 0))</f>
        <v>0.47789999999999999</v>
      </c>
      <c r="G907" t="str">
        <f>INDEX(CO2_Em!$E:$ZZ, MATCH(A907, CO2_Em!$C:$C, 0), MATCH(B907, CO2_Em!$E$1:$ZZ$1, 0))</f>
        <v>..</v>
      </c>
      <c r="H907">
        <f>INDEX(Agri_VA!$E:$ZZ, MATCH(A907, Agri_VA!$C:$C, 0), MATCH(B907, Agri_VA!$E$1:$ZZ$1, 0))</f>
        <v>0.75370032092174888</v>
      </c>
      <c r="I907" s="6">
        <f>INDEX('Agri_land '!$E:$ZZ, MATCH(A907, 'Agri_land '!$C:$C, 0), MATCH(B907, 'Agri_land '!$E$1:$ZZ$1, 0))</f>
        <v>5.4041115178822867</v>
      </c>
      <c r="J907">
        <f>INDEX(Cereal_Yield!$E:$ZZ, MATCH(A907, Cereal_Yield!$C:$C, 0), MATCH(B907, Cereal_Yield!$E$1:$ZZ$1, 0))</f>
        <v>30801.8</v>
      </c>
    </row>
    <row r="908" spans="1:10" x14ac:dyDescent="0.3">
      <c r="A908" t="s">
        <v>43</v>
      </c>
      <c r="B908" s="4">
        <v>2018</v>
      </c>
      <c r="C908" t="s">
        <v>48</v>
      </c>
      <c r="D908" s="8">
        <f>INDEX(GDP_pc!$E:$ZZ, MATCH(A908, GDP_pc!$C:$C, 0), MATCH(B908, GDP_pc!$E$1:$ZZ$1, 0))</f>
        <v>440560108917.63104</v>
      </c>
      <c r="E908">
        <f>INDEX(CH4_Em!$E:$ZZ, MATCH(A908, CH4_Em!$C:$C, 0), MATCH(B908, CH4_Em!$E$1:$ZZ$1, 0))</f>
        <v>1.4490000000000001</v>
      </c>
      <c r="F908">
        <f>INDEX(N2O_Em!$E:$ZZ, MATCH(A908, N2O_Em!$C:$C, 0), MATCH(B908, N2O_Em!$E$1:$ZZ$1, 0))</f>
        <v>0.48199999999999998</v>
      </c>
      <c r="G908" t="str">
        <f>INDEX(CO2_Em!$E:$ZZ, MATCH(A908, CO2_Em!$C:$C, 0), MATCH(B908, CO2_Em!$E$1:$ZZ$1, 0))</f>
        <v>..</v>
      </c>
      <c r="H908">
        <f>INDEX(Agri_VA!$E:$ZZ, MATCH(A908, Agri_VA!$C:$C, 0), MATCH(B908, Agri_VA!$E$1:$ZZ$1, 0))</f>
        <v>0.70564298062309438</v>
      </c>
      <c r="I908" s="6">
        <f>INDEX('Agri_land '!$E:$ZZ, MATCH(A908, 'Agri_land '!$C:$C, 0), MATCH(B908, 'Agri_land '!$E$1:$ZZ$1, 0))</f>
        <v>5.3752464094621235</v>
      </c>
      <c r="J908">
        <f>INDEX(Cereal_Yield!$E:$ZZ, MATCH(A908, Cereal_Yield!$C:$C, 0), MATCH(B908, Cereal_Yield!$E$1:$ZZ$1, 0))</f>
        <v>20853.3</v>
      </c>
    </row>
    <row r="909" spans="1:10" x14ac:dyDescent="0.3">
      <c r="A909" t="s">
        <v>43</v>
      </c>
      <c r="B909" s="4">
        <v>2019</v>
      </c>
      <c r="C909" t="s">
        <v>48</v>
      </c>
      <c r="D909" s="8">
        <f>INDEX(GDP_pc!$E:$ZZ, MATCH(A909, GDP_pc!$C:$C, 0), MATCH(B909, GDP_pc!$E$1:$ZZ$1, 0))</f>
        <v>433926208304.96936</v>
      </c>
      <c r="E909">
        <f>INDEX(CH4_Em!$E:$ZZ, MATCH(A909, CH4_Em!$C:$C, 0), MATCH(B909, CH4_Em!$E$1:$ZZ$1, 0))</f>
        <v>1.4744999999999999</v>
      </c>
      <c r="F909">
        <f>INDEX(N2O_Em!$E:$ZZ, MATCH(A909, N2O_Em!$C:$C, 0), MATCH(B909, N2O_Em!$E$1:$ZZ$1, 0))</f>
        <v>0.4778</v>
      </c>
      <c r="G909" t="str">
        <f>INDEX(CO2_Em!$E:$ZZ, MATCH(A909, CO2_Em!$C:$C, 0), MATCH(B909, CO2_Em!$E$1:$ZZ$1, 0))</f>
        <v>..</v>
      </c>
      <c r="H909">
        <f>INDEX(Agri_VA!$E:$ZZ, MATCH(A909, Agri_VA!$C:$C, 0), MATCH(B909, Agri_VA!$E$1:$ZZ$1, 0))</f>
        <v>0.73462876993763782</v>
      </c>
      <c r="I909" s="6">
        <f>INDEX('Agri_land '!$E:$ZZ, MATCH(A909, 'Agri_land '!$C:$C, 0), MATCH(B909, 'Agri_land '!$E$1:$ZZ$1, 0))</f>
        <v>5.4970430864545197</v>
      </c>
      <c r="J909">
        <f>INDEX(Cereal_Yield!$E:$ZZ, MATCH(A909, Cereal_Yield!$C:$C, 0), MATCH(B909, Cereal_Yield!$E$1:$ZZ$1, 0))</f>
        <v>23842.3</v>
      </c>
    </row>
    <row r="910" spans="1:10" x14ac:dyDescent="0.3">
      <c r="A910" t="s">
        <v>43</v>
      </c>
      <c r="B910" s="4">
        <v>2020</v>
      </c>
      <c r="C910" t="s">
        <v>48</v>
      </c>
      <c r="D910" s="8">
        <f>INDEX(GDP_pc!$E:$ZZ, MATCH(A910, GDP_pc!$C:$C, 0), MATCH(B910, GDP_pc!$E$1:$ZZ$1, 0))</f>
        <v>357161878829.1355</v>
      </c>
      <c r="E910">
        <f>INDEX(CH4_Em!$E:$ZZ, MATCH(A910, CH4_Em!$C:$C, 0), MATCH(B910, CH4_Em!$E$1:$ZZ$1, 0))</f>
        <v>1.4903999999999999</v>
      </c>
      <c r="F910">
        <f>INDEX(N2O_Em!$E:$ZZ, MATCH(A910, N2O_Em!$C:$C, 0), MATCH(B910, N2O_Em!$E$1:$ZZ$1, 0))</f>
        <v>0.4839</v>
      </c>
      <c r="G910" t="str">
        <f>INDEX(CO2_Em!$E:$ZZ, MATCH(A910, CO2_Em!$C:$C, 0), MATCH(B910, CO2_Em!$E$1:$ZZ$1, 0))</f>
        <v>..</v>
      </c>
      <c r="H910">
        <f>INDEX(Agri_VA!$E:$ZZ, MATCH(A910, Agri_VA!$C:$C, 0), MATCH(B910, Agri_VA!$E$1:$ZZ$1, 0))</f>
        <v>0.96296573013020736</v>
      </c>
      <c r="I910" s="6">
        <f>INDEX('Agri_land '!$E:$ZZ, MATCH(A910, 'Agri_land '!$C:$C, 0), MATCH(B910, 'Agri_land '!$E$1:$ZZ$1, 0))</f>
        <v>5.4885947620388622</v>
      </c>
      <c r="J910">
        <f>INDEX(Cereal_Yield!$E:$ZZ, MATCH(A910, Cereal_Yield!$C:$C, 0), MATCH(B910, Cereal_Yield!$E$1:$ZZ$1, 0))</f>
        <v>18982.7</v>
      </c>
    </row>
    <row r="911" spans="1:10" x14ac:dyDescent="0.3">
      <c r="A911" t="s">
        <v>43</v>
      </c>
      <c r="B911" s="4">
        <v>2021</v>
      </c>
      <c r="C911" t="s">
        <v>48</v>
      </c>
      <c r="D911" s="8">
        <f>INDEX(GDP_pc!$E:$ZZ, MATCH(A911, GDP_pc!$C:$C, 0), MATCH(B911, GDP_pc!$E$1:$ZZ$1, 0))</f>
        <v>422441388699.79578</v>
      </c>
      <c r="E911">
        <f>INDEX(CH4_Em!$E:$ZZ, MATCH(A911, CH4_Em!$C:$C, 0), MATCH(B911, CH4_Em!$E$1:$ZZ$1, 0))</f>
        <v>1.5133000000000001</v>
      </c>
      <c r="F911">
        <f>INDEX(N2O_Em!$E:$ZZ, MATCH(A911, N2O_Em!$C:$C, 0), MATCH(B911, N2O_Em!$E$1:$ZZ$1, 0))</f>
        <v>0.48799999999999999</v>
      </c>
      <c r="G911" t="str">
        <f>INDEX(CO2_Em!$E:$ZZ, MATCH(A911, CO2_Em!$C:$C, 0), MATCH(B911, CO2_Em!$E$1:$ZZ$1, 0))</f>
        <v>..</v>
      </c>
      <c r="H911">
        <f>INDEX(Agri_VA!$E:$ZZ, MATCH(A911, Agri_VA!$C:$C, 0), MATCH(B911, Agri_VA!$E$1:$ZZ$1, 0))</f>
        <v>0.89034791442140593</v>
      </c>
      <c r="I911" s="6">
        <f>INDEX('Agri_land '!$E:$ZZ, MATCH(A911, 'Agri_land '!$C:$C, 0), MATCH(B911, 'Agri_land '!$E$1:$ZZ$1, 0))</f>
        <v>5.5133976344691638</v>
      </c>
      <c r="J911">
        <f>INDEX(Cereal_Yield!$E:$ZZ, MATCH(A911, Cereal_Yield!$C:$C, 0), MATCH(B911, Cereal_Yield!$E$1:$ZZ$1, 0))</f>
        <v>19809.2</v>
      </c>
    </row>
    <row r="912" spans="1:10" x14ac:dyDescent="0.3">
      <c r="A912" t="s">
        <v>43</v>
      </c>
      <c r="B912" s="4">
        <v>2022</v>
      </c>
      <c r="C912" t="s">
        <v>48</v>
      </c>
      <c r="D912" s="8">
        <f>INDEX(GDP_pc!$E:$ZZ, MATCH(A912, GDP_pc!$C:$C, 0), MATCH(B912, GDP_pc!$E$1:$ZZ$1, 0))</f>
        <v>511403403675.97009</v>
      </c>
      <c r="E912">
        <f>INDEX(CH4_Em!$E:$ZZ, MATCH(A912, CH4_Em!$C:$C, 0), MATCH(B912, CH4_Em!$E$1:$ZZ$1, 0))</f>
        <v>1.6039000000000001</v>
      </c>
      <c r="F912">
        <f>INDEX(N2O_Em!$E:$ZZ, MATCH(A912, N2O_Em!$C:$C, 0), MATCH(B912, N2O_Em!$E$1:$ZZ$1, 0))</f>
        <v>0.52070000000000005</v>
      </c>
      <c r="G912" t="str">
        <f>INDEX(CO2_Em!$E:$ZZ, MATCH(A912, CO2_Em!$C:$C, 0), MATCH(B912, CO2_Em!$E$1:$ZZ$1, 0))</f>
        <v>..</v>
      </c>
      <c r="H912">
        <f>INDEX(Agri_VA!$E:$ZZ, MATCH(A912, Agri_VA!$C:$C, 0), MATCH(B912, Agri_VA!$E$1:$ZZ$1, 0))</f>
        <v>0.74089692454565159</v>
      </c>
      <c r="I912" s="6">
        <f>INDEX('Agri_land '!$E:$ZZ, MATCH(A912, 'Agri_land '!$C:$C, 0), MATCH(B912, 'Agri_land '!$E$1:$ZZ$1, 0))</f>
        <v>5.5133976344691638</v>
      </c>
      <c r="J912">
        <f>INDEX(Cereal_Yield!$E:$ZZ, MATCH(A912, Cereal_Yield!$C:$C, 0), MATCH(B912, Cereal_Yield!$E$1:$ZZ$1, 0))</f>
        <v>20369.8</v>
      </c>
    </row>
    <row r="913" spans="1:10" x14ac:dyDescent="0.3">
      <c r="A913" t="s">
        <v>43</v>
      </c>
      <c r="B913" s="4">
        <v>2023</v>
      </c>
      <c r="C913" t="s">
        <v>48</v>
      </c>
      <c r="D913" s="8">
        <f>INDEX(GDP_pc!$E:$ZZ, MATCH(A913, GDP_pc!$C:$C, 0), MATCH(B913, GDP_pc!$E$1:$ZZ$1, 0))</f>
        <v>522622191967.32471</v>
      </c>
      <c r="E913">
        <f>INDEX(CH4_Em!$E:$ZZ, MATCH(A913, CH4_Em!$C:$C, 0), MATCH(B913, CH4_Em!$E$1:$ZZ$1, 0))</f>
        <v>1.6011</v>
      </c>
      <c r="F913">
        <f>INDEX(N2O_Em!$E:$ZZ, MATCH(A913, N2O_Em!$C:$C, 0), MATCH(B913, N2O_Em!$E$1:$ZZ$1, 0))</f>
        <v>0.49709999999999999</v>
      </c>
      <c r="G913" t="str">
        <f>INDEX(CO2_Em!$E:$ZZ, MATCH(A913, CO2_Em!$C:$C, 0), MATCH(B913, CO2_Em!$E$1:$ZZ$1, 0))</f>
        <v>..</v>
      </c>
      <c r="H913">
        <f>INDEX(Agri_VA!$E:$ZZ, MATCH(A913, Agri_VA!$C:$C, 0), MATCH(B913, Agri_VA!$E$1:$ZZ$1, 0))</f>
        <v>0.7640687114774426</v>
      </c>
      <c r="I913" s="6">
        <f>INDEX('Agri_land '!$E:$ZZ, MATCH(A913, 'Agri_land '!$C:$C, 0), MATCH(B913, 'Agri_land '!$E$1:$ZZ$1, 0))</f>
        <v>5.5153998873556747</v>
      </c>
      <c r="J913">
        <f>INDEX(Cereal_Yield!$E:$ZZ, MATCH(A913, Cereal_Yield!$C:$C, 0), MATCH(B913, Cereal_Yield!$E$1:$ZZ$1, 0))</f>
        <v>23306.5</v>
      </c>
    </row>
    <row r="914" spans="1:10" x14ac:dyDescent="0.3">
      <c r="A914" t="s">
        <v>436</v>
      </c>
      <c r="B914" s="4">
        <v>2000</v>
      </c>
      <c r="C914" t="s">
        <v>49</v>
      </c>
      <c r="D914" s="8">
        <f>INDEX(GDP_pc!$E:$ZZ, MATCH(A914, GDP_pc!$C:$C, 0), MATCH(B914, GDP_pc!$E$1:$ZZ$1, 0))</f>
        <v>1671597821152.9731</v>
      </c>
      <c r="E914">
        <f>INDEX(CH4_Em!$E:$ZZ, MATCH(A914, CH4_Em!$C:$C, 0), MATCH(B914, CH4_Em!$E$1:$ZZ$1, 0))</f>
        <v>36.325600000000001</v>
      </c>
      <c r="F914">
        <f>INDEX(N2O_Em!$E:$ZZ, MATCH(A914, N2O_Em!$C:$C, 0), MATCH(B914, N2O_Em!$E$1:$ZZ$1, 0))</f>
        <v>22.853100000000001</v>
      </c>
      <c r="G914">
        <f>INDEX(CO2_Em!$E:$ZZ, MATCH(A914, CO2_Em!$C:$C, 0), MATCH(B914, CO2_Em!$E$1:$ZZ$1, 0))</f>
        <v>2.0848</v>
      </c>
      <c r="H914">
        <f>INDEX(Agri_VA!$E:$ZZ, MATCH(A914, Agri_VA!$C:$C, 0), MATCH(B914, Agri_VA!$E$1:$ZZ$1, 0))</f>
        <v>0.80515297906602246</v>
      </c>
      <c r="I914" s="6">
        <f>INDEX('Agri_land '!$E:$ZZ, MATCH(A914, 'Agri_land '!$C:$C, 0), MATCH(B914, 'Agri_land '!$E$1:$ZZ$1, 0))</f>
        <v>70.119456041003588</v>
      </c>
      <c r="J914">
        <f>INDEX(Cereal_Yield!$E:$ZZ, MATCH(A914, Cereal_Yield!$C:$C, 0), MATCH(B914, Cereal_Yield!$E$1:$ZZ$1, 0))</f>
        <v>7164.8</v>
      </c>
    </row>
    <row r="915" spans="1:10" x14ac:dyDescent="0.3">
      <c r="A915" t="s">
        <v>436</v>
      </c>
      <c r="B915" s="4">
        <v>2001</v>
      </c>
      <c r="C915" t="s">
        <v>49</v>
      </c>
      <c r="D915" s="8">
        <f>INDEX(GDP_pc!$E:$ZZ, MATCH(A915, GDP_pc!$C:$C, 0), MATCH(B915, GDP_pc!$E$1:$ZZ$1, 0))</f>
        <v>1656171009068.6628</v>
      </c>
      <c r="E915">
        <f>INDEX(CH4_Em!$E:$ZZ, MATCH(A915, CH4_Em!$C:$C, 0), MATCH(B915, CH4_Em!$E$1:$ZZ$1, 0))</f>
        <v>34.234499999999997</v>
      </c>
      <c r="F915">
        <f>INDEX(N2O_Em!$E:$ZZ, MATCH(A915, N2O_Em!$C:$C, 0), MATCH(B915, N2O_Em!$E$1:$ZZ$1, 0))</f>
        <v>22.043500000000002</v>
      </c>
      <c r="G915">
        <f>INDEX(CO2_Em!$E:$ZZ, MATCH(A915, CO2_Em!$C:$C, 0), MATCH(B915, CO2_Em!$E$1:$ZZ$1, 0))</f>
        <v>2.2492000000000001</v>
      </c>
      <c r="H915">
        <f>INDEX(Agri_VA!$E:$ZZ, MATCH(A915, Agri_VA!$C:$C, 0), MATCH(B915, Agri_VA!$E$1:$ZZ$1, 0))</f>
        <v>0.75842515962042234</v>
      </c>
      <c r="I915" s="6">
        <f>INDEX('Agri_land '!$E:$ZZ, MATCH(A915, 'Agri_land '!$C:$C, 0), MATCH(B915, 'Agri_land '!$E$1:$ZZ$1, 0))</f>
        <v>70.073988343735792</v>
      </c>
      <c r="J915">
        <f>INDEX(Cereal_Yield!$E:$ZZ, MATCH(A915, Cereal_Yield!$C:$C, 0), MATCH(B915, Cereal_Yield!$E$1:$ZZ$1, 0))</f>
        <v>6291.1</v>
      </c>
    </row>
    <row r="916" spans="1:10" x14ac:dyDescent="0.3">
      <c r="A916" t="s">
        <v>436</v>
      </c>
      <c r="B916" s="4">
        <v>2002</v>
      </c>
      <c r="C916" t="s">
        <v>49</v>
      </c>
      <c r="D916" s="8">
        <f>INDEX(GDP_pc!$E:$ZZ, MATCH(A916, GDP_pc!$C:$C, 0), MATCH(B916, GDP_pc!$E$1:$ZZ$1, 0))</f>
        <v>1790536570743.4053</v>
      </c>
      <c r="E916">
        <f>INDEX(CH4_Em!$E:$ZZ, MATCH(A916, CH4_Em!$C:$C, 0), MATCH(B916, CH4_Em!$E$1:$ZZ$1, 0))</f>
        <v>33.608600000000003</v>
      </c>
      <c r="F916">
        <f>INDEX(N2O_Em!$E:$ZZ, MATCH(A916, N2O_Em!$C:$C, 0), MATCH(B916, N2O_Em!$E$1:$ZZ$1, 0))</f>
        <v>21.700199999999999</v>
      </c>
      <c r="G916">
        <f>INDEX(CO2_Em!$E:$ZZ, MATCH(A916, CO2_Em!$C:$C, 0), MATCH(B916, CO2_Em!$E$1:$ZZ$1, 0))</f>
        <v>1.9464999999999999</v>
      </c>
      <c r="H916">
        <f>INDEX(Agri_VA!$E:$ZZ, MATCH(A916, Agri_VA!$C:$C, 0), MATCH(B916, Agri_VA!$E$1:$ZZ$1, 0))</f>
        <v>0.89976444905017894</v>
      </c>
      <c r="I916" s="6">
        <f>INDEX('Agri_land '!$E:$ZZ, MATCH(A916, 'Agri_land '!$C:$C, 0), MATCH(B916, 'Agri_land '!$E$1:$ZZ$1, 0))</f>
        <v>70.16905716529574</v>
      </c>
      <c r="J916">
        <f>INDEX(Cereal_Yield!$E:$ZZ, MATCH(A916, Cereal_Yield!$C:$C, 0), MATCH(B916, Cereal_Yield!$E$1:$ZZ$1, 0))</f>
        <v>7076.9</v>
      </c>
    </row>
    <row r="917" spans="1:10" x14ac:dyDescent="0.3">
      <c r="A917" t="s">
        <v>436</v>
      </c>
      <c r="B917" s="4">
        <v>2003</v>
      </c>
      <c r="C917" t="s">
        <v>49</v>
      </c>
      <c r="D917" s="8">
        <f>INDEX(GDP_pc!$E:$ZZ, MATCH(A917, GDP_pc!$C:$C, 0), MATCH(B917, GDP_pc!$E$1:$ZZ$1, 0))</f>
        <v>2061227755102.0408</v>
      </c>
      <c r="E917">
        <f>INDEX(CH4_Em!$E:$ZZ, MATCH(A917, CH4_Em!$C:$C, 0), MATCH(B917, CH4_Em!$E$1:$ZZ$1, 0))</f>
        <v>33.9953</v>
      </c>
      <c r="F917">
        <f>INDEX(N2O_Em!$E:$ZZ, MATCH(A917, N2O_Em!$C:$C, 0), MATCH(B917, N2O_Em!$E$1:$ZZ$1, 0))</f>
        <v>21.582699999999999</v>
      </c>
      <c r="G917">
        <f>INDEX(CO2_Em!$E:$ZZ, MATCH(A917, CO2_Em!$C:$C, 0), MATCH(B917, CO2_Em!$E$1:$ZZ$1, 0))</f>
        <v>2.0748000000000002</v>
      </c>
      <c r="H917">
        <f>INDEX(Agri_VA!$E:$ZZ, MATCH(A917, Agri_VA!$C:$C, 0), MATCH(B917, Agri_VA!$E$1:$ZZ$1, 0))</f>
        <v>0.83120660402914215</v>
      </c>
      <c r="I917" s="6">
        <f>INDEX('Agri_land '!$E:$ZZ, MATCH(A917, 'Agri_land '!$C:$C, 0), MATCH(B917, 'Agri_land '!$E$1:$ZZ$1, 0))</f>
        <v>70.086388624808819</v>
      </c>
      <c r="J917">
        <f>INDEX(Cereal_Yield!$E:$ZZ, MATCH(A917, Cereal_Yield!$C:$C, 0), MATCH(B917, Cereal_Yield!$E$1:$ZZ$1, 0))</f>
        <v>7032.8</v>
      </c>
    </row>
    <row r="918" spans="1:10" x14ac:dyDescent="0.3">
      <c r="A918" t="s">
        <v>436</v>
      </c>
      <c r="B918" s="4">
        <v>2004</v>
      </c>
      <c r="C918" t="s">
        <v>49</v>
      </c>
      <c r="D918" s="8">
        <f>INDEX(GDP_pc!$E:$ZZ, MATCH(A918, GDP_pc!$C:$C, 0), MATCH(B918, GDP_pc!$E$1:$ZZ$1, 0))</f>
        <v>2429774807762.7241</v>
      </c>
      <c r="E918">
        <f>INDEX(CH4_Em!$E:$ZZ, MATCH(A918, CH4_Em!$C:$C, 0), MATCH(B918, CH4_Em!$E$1:$ZZ$1, 0))</f>
        <v>34.047899999999998</v>
      </c>
      <c r="F918">
        <f>INDEX(N2O_Em!$E:$ZZ, MATCH(A918, N2O_Em!$C:$C, 0), MATCH(B918, N2O_Em!$E$1:$ZZ$1, 0))</f>
        <v>21.307099999999998</v>
      </c>
      <c r="G918">
        <f>INDEX(CO2_Em!$E:$ZZ, MATCH(A918, CO2_Em!$C:$C, 0), MATCH(B918, CO2_Em!$E$1:$ZZ$1, 0))</f>
        <v>1.9177</v>
      </c>
      <c r="H918">
        <f>INDEX(Agri_VA!$E:$ZZ, MATCH(A918, Agri_VA!$C:$C, 0), MATCH(B918, Agri_VA!$E$1:$ZZ$1, 0))</f>
        <v>0.74144233138403326</v>
      </c>
      <c r="I918" s="6">
        <f>INDEX('Agri_land '!$E:$ZZ, MATCH(A918, 'Agri_land '!$C:$C, 0), MATCH(B918, 'Agri_land '!$E$1:$ZZ$1, 0))</f>
        <v>70.479064192121683</v>
      </c>
      <c r="J918">
        <f>INDEX(Cereal_Yield!$E:$ZZ, MATCH(A918, Cereal_Yield!$C:$C, 0), MATCH(B918, Cereal_Yield!$E$1:$ZZ$1, 0))</f>
        <v>7031.8</v>
      </c>
    </row>
    <row r="919" spans="1:10" x14ac:dyDescent="0.3">
      <c r="A919" t="s">
        <v>436</v>
      </c>
      <c r="B919" s="4">
        <v>2005</v>
      </c>
      <c r="C919" t="s">
        <v>49</v>
      </c>
      <c r="D919" s="8">
        <f>INDEX(GDP_pc!$E:$ZZ, MATCH(A919, GDP_pc!$C:$C, 0), MATCH(B919, GDP_pc!$E$1:$ZZ$1, 0))</f>
        <v>2551361818181.8179</v>
      </c>
      <c r="E919">
        <f>INDEX(CH4_Em!$E:$ZZ, MATCH(A919, CH4_Em!$C:$C, 0), MATCH(B919, CH4_Em!$E$1:$ZZ$1, 0))</f>
        <v>33.697299999999998</v>
      </c>
      <c r="F919">
        <f>INDEX(N2O_Em!$E:$ZZ, MATCH(A919, N2O_Em!$C:$C, 0), MATCH(B919, N2O_Em!$E$1:$ZZ$1, 0))</f>
        <v>20.906400000000001</v>
      </c>
      <c r="G919">
        <f>INDEX(CO2_Em!$E:$ZZ, MATCH(A919, CO2_Em!$C:$C, 0), MATCH(B919, CO2_Em!$E$1:$ZZ$1, 0))</f>
        <v>1.7637</v>
      </c>
      <c r="H919">
        <f>INDEX(Agri_VA!$E:$ZZ, MATCH(A919, Agri_VA!$C:$C, 0), MATCH(B919, Agri_VA!$E$1:$ZZ$1, 0))</f>
        <v>0.54715877224925868</v>
      </c>
      <c r="I919" s="6">
        <f>INDEX('Agri_land '!$E:$ZZ, MATCH(A919, 'Agri_land '!$C:$C, 0), MATCH(B919, 'Agri_land '!$E$1:$ZZ$1, 0))</f>
        <v>70.086388624808819</v>
      </c>
      <c r="J919">
        <f>INDEX(Cereal_Yield!$E:$ZZ, MATCH(A919, Cereal_Yield!$C:$C, 0), MATCH(B919, Cereal_Yield!$E$1:$ZZ$1, 0))</f>
        <v>7196.5</v>
      </c>
    </row>
    <row r="920" spans="1:10" x14ac:dyDescent="0.3">
      <c r="A920" t="s">
        <v>436</v>
      </c>
      <c r="B920" s="4">
        <v>2006</v>
      </c>
      <c r="C920" t="s">
        <v>49</v>
      </c>
      <c r="D920" s="8">
        <f>INDEX(GDP_pc!$E:$ZZ, MATCH(A920, GDP_pc!$C:$C, 0), MATCH(B920, GDP_pc!$E$1:$ZZ$1, 0))</f>
        <v>2719558417663.2935</v>
      </c>
      <c r="E920">
        <f>INDEX(CH4_Em!$E:$ZZ, MATCH(A920, CH4_Em!$C:$C, 0), MATCH(B920, CH4_Em!$E$1:$ZZ$1, 0))</f>
        <v>33.509599999999999</v>
      </c>
      <c r="F920">
        <f>INDEX(N2O_Em!$E:$ZZ, MATCH(A920, N2O_Em!$C:$C, 0), MATCH(B920, N2O_Em!$E$1:$ZZ$1, 0))</f>
        <v>20.7867</v>
      </c>
      <c r="G920">
        <f>INDEX(CO2_Em!$E:$ZZ, MATCH(A920, CO2_Em!$C:$C, 0), MATCH(B920, CO2_Em!$E$1:$ZZ$1, 0))</f>
        <v>1.7317</v>
      </c>
      <c r="H920">
        <f>INDEX(Agri_VA!$E:$ZZ, MATCH(A920, Agri_VA!$C:$C, 0), MATCH(B920, Agri_VA!$E$1:$ZZ$1, 0))</f>
        <v>0.57507036155011915</v>
      </c>
      <c r="I920" s="6">
        <f>INDEX('Agri_land '!$E:$ZZ, MATCH(A920, 'Agri_land '!$C:$C, 0), MATCH(B920, 'Agri_land '!$E$1:$ZZ$1, 0))</f>
        <v>73.732071260281899</v>
      </c>
      <c r="J920">
        <f>INDEX(Cereal_Yield!$E:$ZZ, MATCH(A920, Cereal_Yield!$C:$C, 0), MATCH(B920, Cereal_Yield!$E$1:$ZZ$1, 0))</f>
        <v>7278.6</v>
      </c>
    </row>
    <row r="921" spans="1:10" x14ac:dyDescent="0.3">
      <c r="A921" t="s">
        <v>436</v>
      </c>
      <c r="B921" s="4">
        <v>2007</v>
      </c>
      <c r="C921" t="s">
        <v>49</v>
      </c>
      <c r="D921" s="8">
        <f>INDEX(GDP_pc!$E:$ZZ, MATCH(A921, GDP_pc!$C:$C, 0), MATCH(B921, GDP_pc!$E$1:$ZZ$1, 0))</f>
        <v>3104699879951.9805</v>
      </c>
      <c r="E921">
        <f>INDEX(CH4_Em!$E:$ZZ, MATCH(A921, CH4_Em!$C:$C, 0), MATCH(B921, CH4_Em!$E$1:$ZZ$1, 0))</f>
        <v>32.933799999999998</v>
      </c>
      <c r="F921">
        <f>INDEX(N2O_Em!$E:$ZZ, MATCH(A921, N2O_Em!$C:$C, 0), MATCH(B921, N2O_Em!$E$1:$ZZ$1, 0))</f>
        <v>20.412199999999999</v>
      </c>
      <c r="G921">
        <f>INDEX(CO2_Em!$E:$ZZ, MATCH(A921, CO2_Em!$C:$C, 0), MATCH(B921, CO2_Em!$E$1:$ZZ$1, 0))</f>
        <v>1.9825999999999999</v>
      </c>
      <c r="H921">
        <f>INDEX(Agri_VA!$E:$ZZ, MATCH(A921, Agri_VA!$C:$C, 0), MATCH(B921, Agri_VA!$E$1:$ZZ$1, 0))</f>
        <v>0.55331826626943237</v>
      </c>
      <c r="I921" s="6">
        <f>INDEX('Agri_land '!$E:$ZZ, MATCH(A921, 'Agri_land '!$C:$C, 0), MATCH(B921, 'Agri_land '!$E$1:$ZZ$1, 0))</f>
        <v>72.942586698631843</v>
      </c>
      <c r="J921">
        <f>INDEX(Cereal_Yield!$E:$ZZ, MATCH(A921, Cereal_Yield!$C:$C, 0), MATCH(B921, Cereal_Yield!$E$1:$ZZ$1, 0))</f>
        <v>6632.3</v>
      </c>
    </row>
    <row r="922" spans="1:10" x14ac:dyDescent="0.3">
      <c r="A922" t="s">
        <v>436</v>
      </c>
      <c r="B922" s="4">
        <v>2008</v>
      </c>
      <c r="C922" t="s">
        <v>49</v>
      </c>
      <c r="D922" s="8">
        <f>INDEX(GDP_pc!$E:$ZZ, MATCH(A922, GDP_pc!$C:$C, 0), MATCH(B922, GDP_pc!$E$1:$ZZ$1, 0))</f>
        <v>2945251838235.2939</v>
      </c>
      <c r="E922">
        <f>INDEX(CH4_Em!$E:$ZZ, MATCH(A922, CH4_Em!$C:$C, 0), MATCH(B922, CH4_Em!$E$1:$ZZ$1, 0))</f>
        <v>32.443100000000001</v>
      </c>
      <c r="F922">
        <f>INDEX(N2O_Em!$E:$ZZ, MATCH(A922, N2O_Em!$C:$C, 0), MATCH(B922, N2O_Em!$E$1:$ZZ$1, 0))</f>
        <v>20.240400000000001</v>
      </c>
      <c r="G922">
        <f>INDEX(CO2_Em!$E:$ZZ, MATCH(A922, CO2_Em!$C:$C, 0), MATCH(B922, CO2_Em!$E$1:$ZZ$1, 0))</f>
        <v>1.871</v>
      </c>
      <c r="H922">
        <f>INDEX(Agri_VA!$E:$ZZ, MATCH(A922, Agri_VA!$C:$C, 0), MATCH(B922, Agri_VA!$E$1:$ZZ$1, 0))</f>
        <v>0.66982187806021276</v>
      </c>
      <c r="I922" s="6">
        <f>INDEX('Agri_land '!$E:$ZZ, MATCH(A922, 'Agri_land '!$C:$C, 0), MATCH(B922, 'Agri_land '!$E$1:$ZZ$1, 0))</f>
        <v>73.095523498532629</v>
      </c>
      <c r="J922">
        <f>INDEX(Cereal_Yield!$E:$ZZ, MATCH(A922, Cereal_Yield!$C:$C, 0), MATCH(B922, Cereal_Yield!$E$1:$ZZ$1, 0))</f>
        <v>7420.2</v>
      </c>
    </row>
    <row r="923" spans="1:10" x14ac:dyDescent="0.3">
      <c r="A923" t="s">
        <v>436</v>
      </c>
      <c r="B923" s="4">
        <v>2009</v>
      </c>
      <c r="C923" t="s">
        <v>49</v>
      </c>
      <c r="D923" s="8">
        <f>INDEX(GDP_pc!$E:$ZZ, MATCH(A923, GDP_pc!$C:$C, 0), MATCH(B923, GDP_pc!$E$1:$ZZ$1, 0))</f>
        <v>2429358155475.9307</v>
      </c>
      <c r="E923">
        <f>INDEX(CH4_Em!$E:$ZZ, MATCH(A923, CH4_Em!$C:$C, 0), MATCH(B923, CH4_Em!$E$1:$ZZ$1, 0))</f>
        <v>31.904599999999999</v>
      </c>
      <c r="F923">
        <f>INDEX(N2O_Em!$E:$ZZ, MATCH(A923, N2O_Em!$C:$C, 0), MATCH(B923, N2O_Em!$E$1:$ZZ$1, 0))</f>
        <v>20.247800000000002</v>
      </c>
      <c r="G923">
        <f>INDEX(CO2_Em!$E:$ZZ, MATCH(A923, CO2_Em!$C:$C, 0), MATCH(B923, CO2_Em!$E$1:$ZZ$1, 0))</f>
        <v>1.9301999999999999</v>
      </c>
      <c r="H923">
        <f>INDEX(Agri_VA!$E:$ZZ, MATCH(A923, Agri_VA!$C:$C, 0), MATCH(B923, Agri_VA!$E$1:$ZZ$1, 0))</f>
        <v>0.68090072816234393</v>
      </c>
      <c r="I923" s="6">
        <f>INDEX('Agri_land '!$E:$ZZ, MATCH(A923, 'Agri_land '!$C:$C, 0), MATCH(B923, 'Agri_land '!$E$1:$ZZ$1, 0))</f>
        <v>71.611623196792465</v>
      </c>
      <c r="J923">
        <f>INDEX(Cereal_Yield!$E:$ZZ, MATCH(A923, Cereal_Yield!$C:$C, 0), MATCH(B923, Cereal_Yield!$E$1:$ZZ$1, 0))</f>
        <v>7029.6</v>
      </c>
    </row>
    <row r="924" spans="1:10" x14ac:dyDescent="0.3">
      <c r="A924" t="s">
        <v>436</v>
      </c>
      <c r="B924" s="4">
        <v>2010</v>
      </c>
      <c r="C924" t="s">
        <v>49</v>
      </c>
      <c r="D924" s="8">
        <f>INDEX(GDP_pc!$E:$ZZ, MATCH(A924, GDP_pc!$C:$C, 0), MATCH(B924, GDP_pc!$E$1:$ZZ$1, 0))</f>
        <v>2496740681057.1392</v>
      </c>
      <c r="E924">
        <f>INDEX(CH4_Em!$E:$ZZ, MATCH(A924, CH4_Em!$C:$C, 0), MATCH(B924, CH4_Em!$E$1:$ZZ$1, 0))</f>
        <v>32.184199999999997</v>
      </c>
      <c r="F924">
        <f>INDEX(N2O_Em!$E:$ZZ, MATCH(A924, N2O_Em!$C:$C, 0), MATCH(B924, N2O_Em!$E$1:$ZZ$1, 0))</f>
        <v>20.215499999999999</v>
      </c>
      <c r="G924">
        <f>INDEX(CO2_Em!$E:$ZZ, MATCH(A924, CO2_Em!$C:$C, 0), MATCH(B924, CO2_Em!$E$1:$ZZ$1, 0))</f>
        <v>1.8940999999999999</v>
      </c>
      <c r="H924">
        <f>INDEX(Agri_VA!$E:$ZZ, MATCH(A924, Agri_VA!$C:$C, 0), MATCH(B924, Agri_VA!$E$1:$ZZ$1, 0))</f>
        <v>0.5657123017825415</v>
      </c>
      <c r="I924" s="6">
        <f>INDEX('Agri_land '!$E:$ZZ, MATCH(A924, 'Agri_land '!$C:$C, 0), MATCH(B924, 'Agri_land '!$E$1:$ZZ$1, 0))</f>
        <v>71.194147067333517</v>
      </c>
      <c r="J924">
        <f>INDEX(Cereal_Yield!$E:$ZZ, MATCH(A924, Cereal_Yield!$C:$C, 0), MATCH(B924, Cereal_Yield!$E$1:$ZZ$1, 0))</f>
        <v>6953</v>
      </c>
    </row>
    <row r="925" spans="1:10" x14ac:dyDescent="0.3">
      <c r="A925" t="s">
        <v>436</v>
      </c>
      <c r="B925" s="4">
        <v>2011</v>
      </c>
      <c r="C925" t="s">
        <v>49</v>
      </c>
      <c r="D925" s="8">
        <f>INDEX(GDP_pc!$E:$ZZ, MATCH(A925, GDP_pc!$C:$C, 0), MATCH(B925, GDP_pc!$E$1:$ZZ$1, 0))</f>
        <v>2675590034128.6582</v>
      </c>
      <c r="E925">
        <f>INDEX(CH4_Em!$E:$ZZ, MATCH(A925, CH4_Em!$C:$C, 0), MATCH(B925, CH4_Em!$E$1:$ZZ$1, 0))</f>
        <v>31.8505</v>
      </c>
      <c r="F925">
        <f>INDEX(N2O_Em!$E:$ZZ, MATCH(A925, N2O_Em!$C:$C, 0), MATCH(B925, N2O_Em!$E$1:$ZZ$1, 0))</f>
        <v>20.0824</v>
      </c>
      <c r="G925">
        <f>INDEX(CO2_Em!$E:$ZZ, MATCH(A925, CO2_Em!$C:$C, 0), MATCH(B925, CO2_Em!$E$1:$ZZ$1, 0))</f>
        <v>1.8678999999999999</v>
      </c>
      <c r="H925">
        <f>INDEX(Agri_VA!$E:$ZZ, MATCH(A925, Agri_VA!$C:$C, 0), MATCH(B925, Agri_VA!$E$1:$ZZ$1, 0))</f>
        <v>0.704214809469773</v>
      </c>
      <c r="I925" s="6">
        <f>INDEX('Agri_land '!$E:$ZZ, MATCH(A925, 'Agri_land '!$C:$C, 0), MATCH(B925, 'Agri_land '!$E$1:$ZZ$1, 0))</f>
        <v>70.946141445872769</v>
      </c>
      <c r="J925">
        <f>INDEX(Cereal_Yield!$E:$ZZ, MATCH(A925, Cereal_Yield!$C:$C, 0), MATCH(B925, Cereal_Yield!$E$1:$ZZ$1, 0))</f>
        <v>6984.7</v>
      </c>
    </row>
    <row r="926" spans="1:10" x14ac:dyDescent="0.3">
      <c r="A926" t="s">
        <v>436</v>
      </c>
      <c r="B926" s="4">
        <v>2012</v>
      </c>
      <c r="C926" t="s">
        <v>49</v>
      </c>
      <c r="D926" s="8">
        <f>INDEX(GDP_pc!$E:$ZZ, MATCH(A926, GDP_pc!$C:$C, 0), MATCH(B926, GDP_pc!$E$1:$ZZ$1, 0))</f>
        <v>2719715961539.8311</v>
      </c>
      <c r="E926">
        <f>INDEX(CH4_Em!$E:$ZZ, MATCH(A926, CH4_Em!$C:$C, 0), MATCH(B926, CH4_Em!$E$1:$ZZ$1, 0))</f>
        <v>31.818999999999999</v>
      </c>
      <c r="F926">
        <f>INDEX(N2O_Em!$E:$ZZ, MATCH(A926, N2O_Em!$C:$C, 0), MATCH(B926, N2O_Em!$E$1:$ZZ$1, 0))</f>
        <v>19.972999999999999</v>
      </c>
      <c r="G926">
        <f>INDEX(CO2_Em!$E:$ZZ, MATCH(A926, CO2_Em!$C:$C, 0), MATCH(B926, CO2_Em!$E$1:$ZZ$1, 0))</f>
        <v>1.8349</v>
      </c>
      <c r="H926">
        <f>INDEX(Agri_VA!$E:$ZZ, MATCH(A926, Agri_VA!$C:$C, 0), MATCH(B926, Agri_VA!$E$1:$ZZ$1, 0))</f>
        <v>0.62478654917093956</v>
      </c>
      <c r="I926" s="6">
        <f>INDEX('Agri_land '!$E:$ZZ, MATCH(A926, 'Agri_land '!$C:$C, 0), MATCH(B926, 'Agri_land '!$E$1:$ZZ$1, 0))</f>
        <v>71.020543132311005</v>
      </c>
      <c r="J926">
        <f>INDEX(Cereal_Yield!$E:$ZZ, MATCH(A926, Cereal_Yield!$C:$C, 0), MATCH(B926, Cereal_Yield!$E$1:$ZZ$1, 0))</f>
        <v>6215.1</v>
      </c>
    </row>
    <row r="927" spans="1:10" x14ac:dyDescent="0.3">
      <c r="A927" t="s">
        <v>436</v>
      </c>
      <c r="B927" s="4">
        <v>2013</v>
      </c>
      <c r="C927" t="s">
        <v>49</v>
      </c>
      <c r="D927" s="8">
        <f>INDEX(GDP_pc!$E:$ZZ, MATCH(A927, GDP_pc!$C:$C, 0), MATCH(B927, GDP_pc!$E$1:$ZZ$1, 0))</f>
        <v>2796908333283.3892</v>
      </c>
      <c r="E927">
        <f>INDEX(CH4_Em!$E:$ZZ, MATCH(A927, CH4_Em!$C:$C, 0), MATCH(B927, CH4_Em!$E$1:$ZZ$1, 0))</f>
        <v>31.943000000000001</v>
      </c>
      <c r="F927">
        <f>INDEX(N2O_Em!$E:$ZZ, MATCH(A927, N2O_Em!$C:$C, 0), MATCH(B927, N2O_Em!$E$1:$ZZ$1, 0))</f>
        <v>20.345400000000001</v>
      </c>
      <c r="G927">
        <f>INDEX(CO2_Em!$E:$ZZ, MATCH(A927, CO2_Em!$C:$C, 0), MATCH(B927, CO2_Em!$E$1:$ZZ$1, 0))</f>
        <v>1.9422999999999999</v>
      </c>
      <c r="H927">
        <f>INDEX(Agri_VA!$E:$ZZ, MATCH(A927, Agri_VA!$C:$C, 0), MATCH(B927, Agri_VA!$E$1:$ZZ$1, 0))</f>
        <v>0.64089091998533321</v>
      </c>
      <c r="I927" s="6">
        <f>INDEX('Agri_land '!$E:$ZZ, MATCH(A927, 'Agri_land '!$C:$C, 0), MATCH(B927, 'Agri_land '!$E$1:$ZZ$1, 0))</f>
        <v>71.302442855371382</v>
      </c>
      <c r="J927">
        <f>INDEX(Cereal_Yield!$E:$ZZ, MATCH(A927, Cereal_Yield!$C:$C, 0), MATCH(B927, Cereal_Yield!$E$1:$ZZ$1, 0))</f>
        <v>6631.6</v>
      </c>
    </row>
    <row r="928" spans="1:10" x14ac:dyDescent="0.3">
      <c r="A928" t="s">
        <v>436</v>
      </c>
      <c r="B928" s="4">
        <v>2014</v>
      </c>
      <c r="C928" t="s">
        <v>49</v>
      </c>
      <c r="D928" s="8">
        <f>INDEX(GDP_pc!$E:$ZZ, MATCH(A928, GDP_pc!$C:$C, 0), MATCH(B928, GDP_pc!$E$1:$ZZ$1, 0))</f>
        <v>3085362169410.2915</v>
      </c>
      <c r="E928">
        <f>INDEX(CH4_Em!$E:$ZZ, MATCH(A928, CH4_Em!$C:$C, 0), MATCH(B928, CH4_Em!$E$1:$ZZ$1, 0))</f>
        <v>32.388800000000003</v>
      </c>
      <c r="F928">
        <f>INDEX(N2O_Em!$E:$ZZ, MATCH(A928, N2O_Em!$C:$C, 0), MATCH(B928, N2O_Em!$E$1:$ZZ$1, 0))</f>
        <v>20.6661</v>
      </c>
      <c r="G928">
        <f>INDEX(CO2_Em!$E:$ZZ, MATCH(A928, CO2_Em!$C:$C, 0), MATCH(B928, CO2_Em!$E$1:$ZZ$1, 0))</f>
        <v>1.8615999999999999</v>
      </c>
      <c r="H928">
        <f>INDEX(Agri_VA!$E:$ZZ, MATCH(A928, Agri_VA!$C:$C, 0), MATCH(B928, Agri_VA!$E$1:$ZZ$1, 0))</f>
        <v>0.73794735758634633</v>
      </c>
      <c r="I928" s="6">
        <f>INDEX('Agri_land '!$E:$ZZ, MATCH(A928, 'Agri_land '!$C:$C, 0), MATCH(B928, 'Agri_land '!$E$1:$ZZ$1, 0))</f>
        <v>71.227214483528286</v>
      </c>
      <c r="J928">
        <f>INDEX(Cereal_Yield!$E:$ZZ, MATCH(A928, Cereal_Yield!$C:$C, 0), MATCH(B928, Cereal_Yield!$E$1:$ZZ$1, 0))</f>
        <v>7696.5</v>
      </c>
    </row>
    <row r="929" spans="1:10" x14ac:dyDescent="0.3">
      <c r="A929" t="s">
        <v>436</v>
      </c>
      <c r="B929" s="4">
        <v>2015</v>
      </c>
      <c r="C929" t="s">
        <v>49</v>
      </c>
      <c r="D929" s="8">
        <f>INDEX(GDP_pc!$E:$ZZ, MATCH(A929, GDP_pc!$C:$C, 0), MATCH(B929, GDP_pc!$E$1:$ZZ$1, 0))</f>
        <v>2945579890258.4585</v>
      </c>
      <c r="E929">
        <f>INDEX(CH4_Em!$E:$ZZ, MATCH(A929, CH4_Em!$C:$C, 0), MATCH(B929, CH4_Em!$E$1:$ZZ$1, 0))</f>
        <v>32.579099999999997</v>
      </c>
      <c r="F929">
        <f>INDEX(N2O_Em!$E:$ZZ, MATCH(A929, N2O_Em!$C:$C, 0), MATCH(B929, N2O_Em!$E$1:$ZZ$1, 0))</f>
        <v>20.601500000000001</v>
      </c>
      <c r="G929">
        <f>INDEX(CO2_Em!$E:$ZZ, MATCH(A929, CO2_Em!$C:$C, 0), MATCH(B929, CO2_Em!$E$1:$ZZ$1, 0))</f>
        <v>1.7751999999999999</v>
      </c>
      <c r="H929">
        <f>INDEX(Agri_VA!$E:$ZZ, MATCH(A929, Agri_VA!$C:$C, 0), MATCH(B929, Agri_VA!$E$1:$ZZ$1, 0))</f>
        <v>0.63355283358644321</v>
      </c>
      <c r="I929" s="6">
        <f>INDEX('Agri_land '!$E:$ZZ, MATCH(A929, 'Agri_land '!$C:$C, 0), MATCH(B929, 'Agri_land '!$E$1:$ZZ$1, 0))</f>
        <v>70.838672343239779</v>
      </c>
      <c r="J929">
        <f>INDEX(Cereal_Yield!$E:$ZZ, MATCH(A929, Cereal_Yield!$C:$C, 0), MATCH(B929, Cereal_Yield!$E$1:$ZZ$1, 0))</f>
        <v>7980.9</v>
      </c>
    </row>
    <row r="930" spans="1:10" x14ac:dyDescent="0.3">
      <c r="A930" t="s">
        <v>436</v>
      </c>
      <c r="B930" s="4">
        <v>2016</v>
      </c>
      <c r="C930" t="s">
        <v>49</v>
      </c>
      <c r="D930" s="8">
        <f>INDEX(GDP_pc!$E:$ZZ, MATCH(A930, GDP_pc!$C:$C, 0), MATCH(B930, GDP_pc!$E$1:$ZZ$1, 0))</f>
        <v>2706807606538.7305</v>
      </c>
      <c r="E930">
        <f>INDEX(CH4_Em!$E:$ZZ, MATCH(A930, CH4_Em!$C:$C, 0), MATCH(B930, CH4_Em!$E$1:$ZZ$1, 0))</f>
        <v>32.979100000000003</v>
      </c>
      <c r="F930">
        <f>INDEX(N2O_Em!$E:$ZZ, MATCH(A930, N2O_Em!$C:$C, 0), MATCH(B930, N2O_Em!$E$1:$ZZ$1, 0))</f>
        <v>20.646599999999999</v>
      </c>
      <c r="G930">
        <f>INDEX(CO2_Em!$E:$ZZ, MATCH(A930, CO2_Em!$C:$C, 0), MATCH(B930, CO2_Em!$E$1:$ZZ$1, 0))</f>
        <v>1.7982</v>
      </c>
      <c r="H930">
        <f>INDEX(Agri_VA!$E:$ZZ, MATCH(A930, Agri_VA!$C:$C, 0), MATCH(B930, Agri_VA!$E$1:$ZZ$1, 0))</f>
        <v>0.59049609553287064</v>
      </c>
      <c r="I930" s="6">
        <f>INDEX('Agri_land '!$E:$ZZ, MATCH(A930, 'Agri_land '!$C:$C, 0), MATCH(B930, 'Agri_land '!$E$1:$ZZ$1, 0))</f>
        <v>71.714883644029271</v>
      </c>
      <c r="J930">
        <f>INDEX(Cereal_Yield!$E:$ZZ, MATCH(A930, Cereal_Yield!$C:$C, 0), MATCH(B930, Cereal_Yield!$E$1:$ZZ$1, 0))</f>
        <v>7022.6</v>
      </c>
    </row>
    <row r="931" spans="1:10" x14ac:dyDescent="0.3">
      <c r="A931" t="s">
        <v>436</v>
      </c>
      <c r="B931" s="4">
        <v>2017</v>
      </c>
      <c r="C931" t="s">
        <v>49</v>
      </c>
      <c r="D931" s="8">
        <f>INDEX(GDP_pc!$E:$ZZ, MATCH(A931, GDP_pc!$C:$C, 0), MATCH(B931, GDP_pc!$E$1:$ZZ$1, 0))</f>
        <v>2699118387873.0957</v>
      </c>
      <c r="E931">
        <f>INDEX(CH4_Em!$E:$ZZ, MATCH(A931, CH4_Em!$C:$C, 0), MATCH(B931, CH4_Em!$E$1:$ZZ$1, 0))</f>
        <v>33.243600000000001</v>
      </c>
      <c r="F931">
        <f>INDEX(N2O_Em!$E:$ZZ, MATCH(A931, N2O_Em!$C:$C, 0), MATCH(B931, N2O_Em!$E$1:$ZZ$1, 0))</f>
        <v>20.767800000000001</v>
      </c>
      <c r="G931">
        <f>INDEX(CO2_Em!$E:$ZZ, MATCH(A931, CO2_Em!$C:$C, 0), MATCH(B931, CO2_Em!$E$1:$ZZ$1, 0))</f>
        <v>1.77</v>
      </c>
      <c r="H931">
        <f>INDEX(Agri_VA!$E:$ZZ, MATCH(A931, Agri_VA!$C:$C, 0), MATCH(B931, Agri_VA!$E$1:$ZZ$1, 0))</f>
        <v>0.60613516356399089</v>
      </c>
      <c r="I931" s="6">
        <f>INDEX('Agri_land '!$E:$ZZ, MATCH(A931, 'Agri_land '!$C:$C, 0), MATCH(B931, 'Agri_land '!$E$1:$ZZ$1, 0))</f>
        <v>72.195066754846451</v>
      </c>
      <c r="J931">
        <f>INDEX(Cereal_Yield!$E:$ZZ, MATCH(A931, Cereal_Yield!$C:$C, 0), MATCH(B931, Cereal_Yield!$E$1:$ZZ$1, 0))</f>
        <v>7229</v>
      </c>
    </row>
    <row r="932" spans="1:10" x14ac:dyDescent="0.3">
      <c r="A932" t="s">
        <v>436</v>
      </c>
      <c r="B932" s="4">
        <v>2018</v>
      </c>
      <c r="C932" t="s">
        <v>49</v>
      </c>
      <c r="D932" s="8">
        <f>INDEX(GDP_pc!$E:$ZZ, MATCH(A932, GDP_pc!$C:$C, 0), MATCH(B932, GDP_pc!$E$1:$ZZ$1, 0))</f>
        <v>2897028009916.0503</v>
      </c>
      <c r="E932">
        <f>INDEX(CH4_Em!$E:$ZZ, MATCH(A932, CH4_Em!$C:$C, 0), MATCH(B932, CH4_Em!$E$1:$ZZ$1, 0))</f>
        <v>32.847700000000003</v>
      </c>
      <c r="F932">
        <f>INDEX(N2O_Em!$E:$ZZ, MATCH(A932, N2O_Em!$C:$C, 0), MATCH(B932, N2O_Em!$E$1:$ZZ$1, 0))</f>
        <v>20.563099999999999</v>
      </c>
      <c r="G932">
        <f>INDEX(CO2_Em!$E:$ZZ, MATCH(A932, CO2_Em!$C:$C, 0), MATCH(B932, CO2_Em!$E$1:$ZZ$1, 0))</f>
        <v>1.8082</v>
      </c>
      <c r="H932">
        <f>INDEX(Agri_VA!$E:$ZZ, MATCH(A932, Agri_VA!$C:$C, 0), MATCH(B932, Agri_VA!$E$1:$ZZ$1, 0))</f>
        <v>0.56309775603610124</v>
      </c>
      <c r="I932" s="6">
        <f>INDEX('Agri_land '!$E:$ZZ, MATCH(A932, 'Agri_land '!$C:$C, 0), MATCH(B932, 'Agri_land '!$E$1:$ZZ$1, 0))</f>
        <v>71.71852023312529</v>
      </c>
      <c r="J932">
        <f>INDEX(Cereal_Yield!$E:$ZZ, MATCH(A932, Cereal_Yield!$C:$C, 0), MATCH(B932, Cereal_Yield!$E$1:$ZZ$1, 0))</f>
        <v>6788.7</v>
      </c>
    </row>
    <row r="933" spans="1:10" x14ac:dyDescent="0.3">
      <c r="A933" t="s">
        <v>436</v>
      </c>
      <c r="B933" s="4">
        <v>2019</v>
      </c>
      <c r="C933" t="s">
        <v>49</v>
      </c>
      <c r="D933" s="8">
        <f>INDEX(GDP_pc!$E:$ZZ, MATCH(A933, GDP_pc!$C:$C, 0), MATCH(B933, GDP_pc!$E$1:$ZZ$1, 0))</f>
        <v>2875710080015.3003</v>
      </c>
      <c r="E933">
        <f>INDEX(CH4_Em!$E:$ZZ, MATCH(A933, CH4_Em!$C:$C, 0), MATCH(B933, CH4_Em!$E$1:$ZZ$1, 0))</f>
        <v>32.479900000000001</v>
      </c>
      <c r="F933">
        <f>INDEX(N2O_Em!$E:$ZZ, MATCH(A933, N2O_Em!$C:$C, 0), MATCH(B933, N2O_Em!$E$1:$ZZ$1, 0))</f>
        <v>20.326899999999998</v>
      </c>
      <c r="G933">
        <f>INDEX(CO2_Em!$E:$ZZ, MATCH(A933, CO2_Em!$C:$C, 0), MATCH(B933, CO2_Em!$E$1:$ZZ$1, 0))</f>
        <v>1.9166000000000001</v>
      </c>
      <c r="H933">
        <f>INDEX(Agri_VA!$E:$ZZ, MATCH(A933, Agri_VA!$C:$C, 0), MATCH(B933, Agri_VA!$E$1:$ZZ$1, 0))</f>
        <v>0.5769296494701861</v>
      </c>
      <c r="I933" s="6">
        <f>INDEX('Agri_land '!$E:$ZZ, MATCH(A933, 'Agri_land '!$C:$C, 0), MATCH(B933, 'Agri_land '!$E$1:$ZZ$1, 0))</f>
        <v>72.422998801306164</v>
      </c>
      <c r="J933">
        <f>INDEX(Cereal_Yield!$E:$ZZ, MATCH(A933, Cereal_Yield!$C:$C, 0), MATCH(B933, Cereal_Yield!$E$1:$ZZ$1, 0))</f>
        <v>7946</v>
      </c>
    </row>
    <row r="934" spans="1:10" x14ac:dyDescent="0.3">
      <c r="A934" t="s">
        <v>436</v>
      </c>
      <c r="B934" s="4">
        <v>2020</v>
      </c>
      <c r="C934" t="s">
        <v>49</v>
      </c>
      <c r="D934" s="8">
        <f>INDEX(GDP_pc!$E:$ZZ, MATCH(A934, GDP_pc!$C:$C, 0), MATCH(B934, GDP_pc!$E$1:$ZZ$1, 0))</f>
        <v>2724001478304.5908</v>
      </c>
      <c r="E934">
        <f>INDEX(CH4_Em!$E:$ZZ, MATCH(A934, CH4_Em!$C:$C, 0), MATCH(B934, CH4_Em!$E$1:$ZZ$1, 0))</f>
        <v>31.989699999999999</v>
      </c>
      <c r="F934">
        <f>INDEX(N2O_Em!$E:$ZZ, MATCH(A934, N2O_Em!$C:$C, 0), MATCH(B934, N2O_Em!$E$1:$ZZ$1, 0))</f>
        <v>20.087399999999999</v>
      </c>
      <c r="G934">
        <f>INDEX(CO2_Em!$E:$ZZ, MATCH(A934, CO2_Em!$C:$C, 0), MATCH(B934, CO2_Em!$E$1:$ZZ$1, 0))</f>
        <v>1.837</v>
      </c>
      <c r="H934">
        <f>INDEX(Agri_VA!$E:$ZZ, MATCH(A934, Agri_VA!$C:$C, 0), MATCH(B934, Agri_VA!$E$1:$ZZ$1, 0))</f>
        <v>0.68376068376068377</v>
      </c>
      <c r="I934" s="6">
        <f>INDEX('Agri_land '!$E:$ZZ, MATCH(A934, 'Agri_land '!$C:$C, 0), MATCH(B934, 'Agri_land '!$E$1:$ZZ$1, 0))</f>
        <v>71.340049187781602</v>
      </c>
      <c r="J934">
        <f>INDEX(Cereal_Yield!$E:$ZZ, MATCH(A934, Cereal_Yield!$C:$C, 0), MATCH(B934, Cereal_Yield!$E$1:$ZZ$1, 0))</f>
        <v>6241</v>
      </c>
    </row>
    <row r="935" spans="1:10" x14ac:dyDescent="0.3">
      <c r="A935" t="s">
        <v>436</v>
      </c>
      <c r="B935" s="4">
        <v>2021</v>
      </c>
      <c r="C935" t="s">
        <v>49</v>
      </c>
      <c r="D935" s="8">
        <f>INDEX(GDP_pc!$E:$ZZ, MATCH(A935, GDP_pc!$C:$C, 0), MATCH(B935, GDP_pc!$E$1:$ZZ$1, 0))</f>
        <v>3194559188925.9272</v>
      </c>
      <c r="E935">
        <f>INDEX(CH4_Em!$E:$ZZ, MATCH(A935, CH4_Em!$C:$C, 0), MATCH(B935, CH4_Em!$E$1:$ZZ$1, 0))</f>
        <v>32.1678</v>
      </c>
      <c r="F935">
        <f>INDEX(N2O_Em!$E:$ZZ, MATCH(A935, N2O_Em!$C:$C, 0), MATCH(B935, N2O_Em!$E$1:$ZZ$1, 0))</f>
        <v>19.583300000000001</v>
      </c>
      <c r="G935">
        <f>INDEX(CO2_Em!$E:$ZZ, MATCH(A935, CO2_Em!$C:$C, 0), MATCH(B935, CO2_Em!$E$1:$ZZ$1, 0))</f>
        <v>1.5625</v>
      </c>
      <c r="H935">
        <f>INDEX(Agri_VA!$E:$ZZ, MATCH(A935, Agri_VA!$C:$C, 0), MATCH(B935, Agri_VA!$E$1:$ZZ$1, 0))</f>
        <v>0.69821049386649403</v>
      </c>
      <c r="I935" s="6">
        <f>INDEX('Agri_land '!$E:$ZZ, MATCH(A935, 'Agri_land '!$C:$C, 0), MATCH(B935, 'Agri_land '!$E$1:$ZZ$1, 0))</f>
        <v>71.157529037324849</v>
      </c>
      <c r="J935">
        <f>INDEX(Cereal_Yield!$E:$ZZ, MATCH(A935, Cereal_Yield!$C:$C, 0), MATCH(B935, Cereal_Yield!$E$1:$ZZ$1, 0))</f>
        <v>6966.8</v>
      </c>
    </row>
    <row r="936" spans="1:10" x14ac:dyDescent="0.3">
      <c r="A936" t="s">
        <v>436</v>
      </c>
      <c r="B936" s="4">
        <v>2022</v>
      </c>
      <c r="C936" t="s">
        <v>49</v>
      </c>
      <c r="D936" s="8">
        <f>INDEX(GDP_pc!$E:$ZZ, MATCH(A936, GDP_pc!$C:$C, 0), MATCH(B936, GDP_pc!$E$1:$ZZ$1, 0))</f>
        <v>3181244350465.4146</v>
      </c>
      <c r="E936">
        <f>INDEX(CH4_Em!$E:$ZZ, MATCH(A936, CH4_Em!$C:$C, 0), MATCH(B936, CH4_Em!$E$1:$ZZ$1, 0))</f>
        <v>32.191000000000003</v>
      </c>
      <c r="F936">
        <f>INDEX(N2O_Em!$E:$ZZ, MATCH(A936, N2O_Em!$C:$C, 0), MATCH(B936, N2O_Em!$E$1:$ZZ$1, 0))</f>
        <v>19.7898</v>
      </c>
      <c r="G936">
        <f>INDEX(CO2_Em!$E:$ZZ, MATCH(A936, CO2_Em!$C:$C, 0), MATCH(B936, CO2_Em!$E$1:$ZZ$1, 0))</f>
        <v>1.508</v>
      </c>
      <c r="H936">
        <f>INDEX(Agri_VA!$E:$ZZ, MATCH(A936, Agri_VA!$C:$C, 0), MATCH(B936, Agri_VA!$E$1:$ZZ$1, 0))</f>
        <v>0.68110605827546378</v>
      </c>
      <c r="I936" s="6">
        <f>INDEX('Agri_land '!$E:$ZZ, MATCH(A936, 'Agri_land '!$C:$C, 0), MATCH(B936, 'Agri_land '!$E$1:$ZZ$1, 0))</f>
        <v>71.981641797214081</v>
      </c>
      <c r="J936">
        <f>INDEX(Cereal_Yield!$E:$ZZ, MATCH(A936, Cereal_Yield!$C:$C, 0), MATCH(B936, Cereal_Yield!$E$1:$ZZ$1, 0))</f>
        <v>7720.1</v>
      </c>
    </row>
    <row r="937" spans="1:10" x14ac:dyDescent="0.3">
      <c r="A937" t="s">
        <v>436</v>
      </c>
      <c r="B937" s="4">
        <v>2023</v>
      </c>
      <c r="C937" t="s">
        <v>49</v>
      </c>
      <c r="D937" s="8">
        <f>INDEX(GDP_pc!$E:$ZZ, MATCH(A937, GDP_pc!$C:$C, 0), MATCH(B937, GDP_pc!$E$1:$ZZ$1, 0))</f>
        <v>3420796653789.0806</v>
      </c>
      <c r="E937">
        <f>INDEX(CH4_Em!$E:$ZZ, MATCH(A937, CH4_Em!$C:$C, 0), MATCH(B937, CH4_Em!$E$1:$ZZ$1, 0))</f>
        <v>31.825700000000001</v>
      </c>
      <c r="F937">
        <f>INDEX(N2O_Em!$E:$ZZ, MATCH(A937, N2O_Em!$C:$C, 0), MATCH(B937, N2O_Em!$E$1:$ZZ$1, 0))</f>
        <v>19.418600000000001</v>
      </c>
      <c r="G937">
        <f>INDEX(CO2_Em!$E:$ZZ, MATCH(A937, CO2_Em!$C:$C, 0), MATCH(B937, CO2_Em!$E$1:$ZZ$1, 0))</f>
        <v>1.5338000000000001</v>
      </c>
      <c r="H937">
        <f>INDEX(Agri_VA!$E:$ZZ, MATCH(A937, Agri_VA!$C:$C, 0), MATCH(B937, Agri_VA!$E$1:$ZZ$1, 0))</f>
        <v>0.64818084968773659</v>
      </c>
      <c r="I937" s="6">
        <f>INDEX('Agri_land '!$E:$ZZ, MATCH(A937, 'Agri_land '!$C:$C, 0), MATCH(B937, 'Agri_land '!$E$1:$ZZ$1, 0))</f>
        <v>70.307322779316337</v>
      </c>
      <c r="J937">
        <f>INDEX(Cereal_Yield!$E:$ZZ, MATCH(A937, Cereal_Yield!$C:$C, 0), MATCH(B937, Cereal_Yield!$E$1:$ZZ$1, 0))</f>
        <v>7137.9</v>
      </c>
    </row>
    <row r="938" spans="1:10" x14ac:dyDescent="0.3">
      <c r="A938" t="s">
        <v>45</v>
      </c>
      <c r="B938" s="4">
        <v>2000</v>
      </c>
      <c r="C938" t="s">
        <v>49</v>
      </c>
      <c r="D938" s="8">
        <f>INDEX(GDP_pc!$E:$ZZ, MATCH(A938, GDP_pc!$C:$C, 0), MATCH(B938, GDP_pc!$E$1:$ZZ$1, 0))</f>
        <v>10250947997000</v>
      </c>
      <c r="E938">
        <f>INDEX(CH4_Em!$E:$ZZ, MATCH(A938, CH4_Em!$C:$C, 0), MATCH(B938, CH4_Em!$E$1:$ZZ$1, 0))</f>
        <v>249.98670000000001</v>
      </c>
      <c r="F938">
        <f>INDEX(N2O_Em!$E:$ZZ, MATCH(A938, N2O_Em!$C:$C, 0), MATCH(B938, N2O_Em!$E$1:$ZZ$1, 0))</f>
        <v>125.7071</v>
      </c>
      <c r="G938">
        <f>INDEX(CO2_Em!$E:$ZZ, MATCH(A938, CO2_Em!$C:$C, 0), MATCH(B938, CO2_Em!$E$1:$ZZ$1, 0))</f>
        <v>5.3926999999999996</v>
      </c>
      <c r="H938">
        <f>INDEX(Agri_VA!$E:$ZZ, MATCH(A938, Agri_VA!$C:$C, 0), MATCH(B938, Agri_VA!$E$1:$ZZ$1, 0))</f>
        <v>1.1505553636065333</v>
      </c>
      <c r="I938" s="6">
        <f>INDEX('Agri_land '!$E:$ZZ, MATCH(A938, 'Agri_land '!$C:$C, 0), MATCH(B938, 'Agri_land '!$E$1:$ZZ$1, 0))</f>
        <v>45.230584855576126</v>
      </c>
      <c r="J938">
        <f>INDEX(Cereal_Yield!$E:$ZZ, MATCH(A938, Cereal_Yield!$C:$C, 0), MATCH(B938, Cereal_Yield!$E$1:$ZZ$1, 0))</f>
        <v>5854.3</v>
      </c>
    </row>
    <row r="939" spans="1:10" x14ac:dyDescent="0.3">
      <c r="A939" t="s">
        <v>45</v>
      </c>
      <c r="B939" s="4">
        <v>2001</v>
      </c>
      <c r="C939" t="s">
        <v>49</v>
      </c>
      <c r="D939" s="8">
        <f>INDEX(GDP_pc!$E:$ZZ, MATCH(A939, GDP_pc!$C:$C, 0), MATCH(B939, GDP_pc!$E$1:$ZZ$1, 0))</f>
        <v>10581929774000</v>
      </c>
      <c r="E939">
        <f>INDEX(CH4_Em!$E:$ZZ, MATCH(A939, CH4_Em!$C:$C, 0), MATCH(B939, CH4_Em!$E$1:$ZZ$1, 0))</f>
        <v>250.79040000000001</v>
      </c>
      <c r="F939">
        <f>INDEX(N2O_Em!$E:$ZZ, MATCH(A939, N2O_Em!$C:$C, 0), MATCH(B939, N2O_Em!$E$1:$ZZ$1, 0))</f>
        <v>127.19370000000001</v>
      </c>
      <c r="G939">
        <f>INDEX(CO2_Em!$E:$ZZ, MATCH(A939, CO2_Em!$C:$C, 0), MATCH(B939, CO2_Em!$E$1:$ZZ$1, 0))</f>
        <v>5.6406000000000001</v>
      </c>
      <c r="H939">
        <f>INDEX(Agri_VA!$E:$ZZ, MATCH(A939, Agri_VA!$C:$C, 0), MATCH(B939, Agri_VA!$E$1:$ZZ$1, 0))</f>
        <v>1.1292569744094012</v>
      </c>
      <c r="I939" s="6">
        <f>INDEX('Agri_land '!$E:$ZZ, MATCH(A939, 'Agri_land '!$C:$C, 0), MATCH(B939, 'Agri_land '!$E$1:$ZZ$1, 0))</f>
        <v>45.29007020362544</v>
      </c>
      <c r="J939">
        <f>INDEX(Cereal_Yield!$E:$ZZ, MATCH(A939, Cereal_Yield!$C:$C, 0), MATCH(B939, Cereal_Yield!$E$1:$ZZ$1, 0))</f>
        <v>5891.1</v>
      </c>
    </row>
    <row r="940" spans="1:10" x14ac:dyDescent="0.3">
      <c r="A940" t="s">
        <v>45</v>
      </c>
      <c r="B940" s="4">
        <v>2002</v>
      </c>
      <c r="C940" t="s">
        <v>49</v>
      </c>
      <c r="D940" s="8">
        <f>INDEX(GDP_pc!$E:$ZZ, MATCH(A940, GDP_pc!$C:$C, 0), MATCH(B940, GDP_pc!$E$1:$ZZ$1, 0))</f>
        <v>10929112955000</v>
      </c>
      <c r="E940">
        <f>INDEX(CH4_Em!$E:$ZZ, MATCH(A940, CH4_Em!$C:$C, 0), MATCH(B940, CH4_Em!$E$1:$ZZ$1, 0))</f>
        <v>250.678</v>
      </c>
      <c r="F940">
        <f>INDEX(N2O_Em!$E:$ZZ, MATCH(A940, N2O_Em!$C:$C, 0), MATCH(B940, N2O_Em!$E$1:$ZZ$1, 0))</f>
        <v>126.5157</v>
      </c>
      <c r="G940">
        <f>INDEX(CO2_Em!$E:$ZZ, MATCH(A940, CO2_Em!$C:$C, 0), MATCH(B940, CO2_Em!$E$1:$ZZ$1, 0))</f>
        <v>5.7584999999999997</v>
      </c>
      <c r="H940">
        <f>INDEX(Agri_VA!$E:$ZZ, MATCH(A940, Agri_VA!$C:$C, 0), MATCH(B940, Agri_VA!$E$1:$ZZ$1, 0))</f>
        <v>0.97371185967397667</v>
      </c>
      <c r="I940" s="6">
        <f>INDEX('Agri_land '!$E:$ZZ, MATCH(A940, 'Agri_land '!$C:$C, 0), MATCH(B940, 'Agri_land '!$E$1:$ZZ$1, 0))</f>
        <v>45.0848730397122</v>
      </c>
      <c r="J940">
        <f>INDEX(Cereal_Yield!$E:$ZZ, MATCH(A940, Cereal_Yield!$C:$C, 0), MATCH(B940, Cereal_Yield!$E$1:$ZZ$1, 0))</f>
        <v>5546.8</v>
      </c>
    </row>
    <row r="941" spans="1:10" x14ac:dyDescent="0.3">
      <c r="A941" t="s">
        <v>45</v>
      </c>
      <c r="B941" s="4">
        <v>2003</v>
      </c>
      <c r="C941" t="s">
        <v>49</v>
      </c>
      <c r="D941" s="8">
        <f>INDEX(GDP_pc!$E:$ZZ, MATCH(A941, GDP_pc!$C:$C, 0), MATCH(B941, GDP_pc!$E$1:$ZZ$1, 0))</f>
        <v>11456442041000</v>
      </c>
      <c r="E941">
        <f>INDEX(CH4_Em!$E:$ZZ, MATCH(A941, CH4_Em!$C:$C, 0), MATCH(B941, CH4_Em!$E$1:$ZZ$1, 0))</f>
        <v>249.524</v>
      </c>
      <c r="F941">
        <f>INDEX(N2O_Em!$E:$ZZ, MATCH(A941, N2O_Em!$C:$C, 0), MATCH(B941, N2O_Em!$E$1:$ZZ$1, 0))</f>
        <v>132.60910000000001</v>
      </c>
      <c r="G941">
        <f>INDEX(CO2_Em!$E:$ZZ, MATCH(A941, CO2_Em!$C:$C, 0), MATCH(B941, CO2_Em!$E$1:$ZZ$1, 0))</f>
        <v>6.0073999999999996</v>
      </c>
      <c r="H941">
        <f>INDEX(Agri_VA!$E:$ZZ, MATCH(A941, Agri_VA!$C:$C, 0), MATCH(B941, Agri_VA!$E$1:$ZZ$1, 0))</f>
        <v>1.1210476039626482</v>
      </c>
      <c r="I941" s="6">
        <f>INDEX('Agri_land '!$E:$ZZ, MATCH(A941, 'Agri_land '!$C:$C, 0), MATCH(B941, 'Agri_land '!$E$1:$ZZ$1, 0))</f>
        <v>45.080367433900321</v>
      </c>
      <c r="J941">
        <f>INDEX(Cereal_Yield!$E:$ZZ, MATCH(A941, Cereal_Yield!$C:$C, 0), MATCH(B941, Cereal_Yield!$E$1:$ZZ$1, 0))</f>
        <v>6023.7</v>
      </c>
    </row>
    <row r="942" spans="1:10" x14ac:dyDescent="0.3">
      <c r="A942" t="s">
        <v>45</v>
      </c>
      <c r="B942" s="4">
        <v>2004</v>
      </c>
      <c r="C942" t="s">
        <v>49</v>
      </c>
      <c r="D942" s="8">
        <f>INDEX(GDP_pc!$E:$ZZ, MATCH(A942, GDP_pc!$C:$C, 0), MATCH(B942, GDP_pc!$E$1:$ZZ$1, 0))</f>
        <v>12217193198000</v>
      </c>
      <c r="E942">
        <f>INDEX(CH4_Em!$E:$ZZ, MATCH(A942, CH4_Em!$C:$C, 0), MATCH(B942, CH4_Em!$E$1:$ZZ$1, 0))</f>
        <v>250.87719999999999</v>
      </c>
      <c r="F942">
        <f>INDEX(N2O_Em!$E:$ZZ, MATCH(A942, N2O_Em!$C:$C, 0), MATCH(B942, N2O_Em!$E$1:$ZZ$1, 0))</f>
        <v>131.31989999999999</v>
      </c>
      <c r="G942">
        <f>INDEX(CO2_Em!$E:$ZZ, MATCH(A942, CO2_Em!$C:$C, 0), MATCH(B942, CO2_Em!$E$1:$ZZ$1, 0))</f>
        <v>5.6151</v>
      </c>
      <c r="H942">
        <f>INDEX(Agri_VA!$E:$ZZ, MATCH(A942, Agri_VA!$C:$C, 0), MATCH(B942, Agri_VA!$E$1:$ZZ$1, 0))</f>
        <v>1.2654836302769581</v>
      </c>
      <c r="I942" s="6">
        <f>INDEX('Agri_land '!$E:$ZZ, MATCH(A942, 'Agri_land '!$C:$C, 0), MATCH(B942, 'Agri_land '!$E$1:$ZZ$1, 0))</f>
        <v>45.075861828088435</v>
      </c>
      <c r="J942">
        <f>INDEX(Cereal_Yield!$E:$ZZ, MATCH(A942, Cereal_Yield!$C:$C, 0), MATCH(B942, Cereal_Yield!$E$1:$ZZ$1, 0))</f>
        <v>6851.1</v>
      </c>
    </row>
    <row r="943" spans="1:10" x14ac:dyDescent="0.3">
      <c r="A943" t="s">
        <v>45</v>
      </c>
      <c r="B943" s="4">
        <v>2005</v>
      </c>
      <c r="C943" t="s">
        <v>49</v>
      </c>
      <c r="D943" s="8">
        <f>INDEX(GDP_pc!$E:$ZZ, MATCH(A943, GDP_pc!$C:$C, 0), MATCH(B943, GDP_pc!$E$1:$ZZ$1, 0))</f>
        <v>13039199193000</v>
      </c>
      <c r="E943">
        <f>INDEX(CH4_Em!$E:$ZZ, MATCH(A943, CH4_Em!$C:$C, 0), MATCH(B943, CH4_Em!$E$1:$ZZ$1, 0))</f>
        <v>251.8954</v>
      </c>
      <c r="F943">
        <f>INDEX(N2O_Em!$E:$ZZ, MATCH(A943, N2O_Em!$C:$C, 0), MATCH(B943, N2O_Em!$E$1:$ZZ$1, 0))</f>
        <v>129.64760000000001</v>
      </c>
      <c r="G943">
        <f>INDEX(CO2_Em!$E:$ZZ, MATCH(A943, CO2_Em!$C:$C, 0), MATCH(B943, CO2_Em!$E$1:$ZZ$1, 0))</f>
        <v>5.4626000000000001</v>
      </c>
      <c r="H943">
        <f>INDEX(Agri_VA!$E:$ZZ, MATCH(A943, Agri_VA!$C:$C, 0), MATCH(B943, Agri_VA!$E$1:$ZZ$1, 0))</f>
        <v>1.1505065593333021</v>
      </c>
      <c r="I943" s="6">
        <f>INDEX('Agri_land '!$E:$ZZ, MATCH(A943, 'Agri_land '!$C:$C, 0), MATCH(B943, 'Agri_land '!$E$1:$ZZ$1, 0))</f>
        <v>45.071356222276556</v>
      </c>
      <c r="J943">
        <f>INDEX(Cereal_Yield!$E:$ZZ, MATCH(A943, Cereal_Yield!$C:$C, 0), MATCH(B943, Cereal_Yield!$E$1:$ZZ$1, 0))</f>
        <v>6450.7</v>
      </c>
    </row>
    <row r="944" spans="1:10" x14ac:dyDescent="0.3">
      <c r="A944" t="s">
        <v>45</v>
      </c>
      <c r="B944" s="4">
        <v>2006</v>
      </c>
      <c r="C944" t="s">
        <v>49</v>
      </c>
      <c r="D944" s="8">
        <f>INDEX(GDP_pc!$E:$ZZ, MATCH(A944, GDP_pc!$C:$C, 0), MATCH(B944, GDP_pc!$E$1:$ZZ$1, 0))</f>
        <v>13815586948000</v>
      </c>
      <c r="E944">
        <f>INDEX(CH4_Em!$E:$ZZ, MATCH(A944, CH4_Em!$C:$C, 0), MATCH(B944, CH4_Em!$E$1:$ZZ$1, 0))</f>
        <v>252.48910000000001</v>
      </c>
      <c r="F944">
        <f>INDEX(N2O_Em!$E:$ZZ, MATCH(A944, N2O_Em!$C:$C, 0), MATCH(B944, N2O_Em!$E$1:$ZZ$1, 0))</f>
        <v>134.667</v>
      </c>
      <c r="G944">
        <f>INDEX(CO2_Em!$E:$ZZ, MATCH(A944, CO2_Em!$C:$C, 0), MATCH(B944, CO2_Em!$E$1:$ZZ$1, 0))</f>
        <v>5.8554000000000004</v>
      </c>
      <c r="H944">
        <f>INDEX(Agri_VA!$E:$ZZ, MATCH(A944, Agri_VA!$C:$C, 0), MATCH(B944, Agri_VA!$E$1:$ZZ$1, 0))</f>
        <v>1.0094871866460204</v>
      </c>
      <c r="I944" s="6">
        <f>INDEX('Agri_land '!$E:$ZZ, MATCH(A944, 'Agri_land '!$C:$C, 0), MATCH(B944, 'Agri_land '!$E$1:$ZZ$1, 0))</f>
        <v>45.06685061646467</v>
      </c>
      <c r="J944">
        <f>INDEX(Cereal_Yield!$E:$ZZ, MATCH(A944, Cereal_Yield!$C:$C, 0), MATCH(B944, Cereal_Yield!$E$1:$ZZ$1, 0))</f>
        <v>6400.4</v>
      </c>
    </row>
    <row r="945" spans="1:10" x14ac:dyDescent="0.3">
      <c r="A945" t="s">
        <v>45</v>
      </c>
      <c r="B945" s="4">
        <v>2007</v>
      </c>
      <c r="C945" t="s">
        <v>49</v>
      </c>
      <c r="D945" s="8">
        <f>INDEX(GDP_pc!$E:$ZZ, MATCH(A945, GDP_pc!$C:$C, 0), MATCH(B945, GDP_pc!$E$1:$ZZ$1, 0))</f>
        <v>14474226905000</v>
      </c>
      <c r="E945">
        <f>INDEX(CH4_Em!$E:$ZZ, MATCH(A945, CH4_Em!$C:$C, 0), MATCH(B945, CH4_Em!$E$1:$ZZ$1, 0))</f>
        <v>253.49170000000001</v>
      </c>
      <c r="F945">
        <f>INDEX(N2O_Em!$E:$ZZ, MATCH(A945, N2O_Em!$C:$C, 0), MATCH(B945, N2O_Em!$E$1:$ZZ$1, 0))</f>
        <v>133.83930000000001</v>
      </c>
      <c r="G945">
        <f>INDEX(CO2_Em!$E:$ZZ, MATCH(A945, CO2_Em!$C:$C, 0), MATCH(B945, CO2_Em!$E$1:$ZZ$1, 0))</f>
        <v>5.4972000000000003</v>
      </c>
      <c r="H945">
        <f>INDEX(Agri_VA!$E:$ZZ, MATCH(A945, Agri_VA!$C:$C, 0), MATCH(B945, Agri_VA!$E$1:$ZZ$1, 0))</f>
        <v>1.0751239774073447</v>
      </c>
      <c r="I945" s="6">
        <f>INDEX('Agri_land '!$E:$ZZ, MATCH(A945, 'Agri_land '!$C:$C, 0), MATCH(B945, 'Agri_land '!$E$1:$ZZ$1, 0))</f>
        <v>45.062345010652791</v>
      </c>
      <c r="J945">
        <f>INDEX(Cereal_Yield!$E:$ZZ, MATCH(A945, Cereal_Yield!$C:$C, 0), MATCH(B945, Cereal_Yield!$E$1:$ZZ$1, 0))</f>
        <v>6704.4</v>
      </c>
    </row>
    <row r="946" spans="1:10" x14ac:dyDescent="0.3">
      <c r="A946" t="s">
        <v>45</v>
      </c>
      <c r="B946" s="4">
        <v>2008</v>
      </c>
      <c r="C946" t="s">
        <v>49</v>
      </c>
      <c r="D946" s="8">
        <f>INDEX(GDP_pc!$E:$ZZ, MATCH(A946, GDP_pc!$C:$C, 0), MATCH(B946, GDP_pc!$E$1:$ZZ$1, 0))</f>
        <v>14769857911000</v>
      </c>
      <c r="E946">
        <f>INDEX(CH4_Em!$E:$ZZ, MATCH(A946, CH4_Em!$C:$C, 0), MATCH(B946, CH4_Em!$E$1:$ZZ$1, 0))</f>
        <v>257.08769999999998</v>
      </c>
      <c r="F946">
        <f>INDEX(N2O_Em!$E:$ZZ, MATCH(A946, N2O_Em!$C:$C, 0), MATCH(B946, N2O_Em!$E$1:$ZZ$1, 0))</f>
        <v>129.3931</v>
      </c>
      <c r="G946">
        <f>INDEX(CO2_Em!$E:$ZZ, MATCH(A946, CO2_Em!$C:$C, 0), MATCH(B946, CO2_Em!$E$1:$ZZ$1, 0))</f>
        <v>5.0571000000000002</v>
      </c>
      <c r="H946">
        <f>INDEX(Agri_VA!$E:$ZZ, MATCH(A946, Agri_VA!$C:$C, 0), MATCH(B946, Agri_VA!$E$1:$ZZ$1, 0))</f>
        <v>1.0530005971429823</v>
      </c>
      <c r="I946" s="6">
        <f>INDEX('Agri_land '!$E:$ZZ, MATCH(A946, 'Agri_land '!$C:$C, 0), MATCH(B946, 'Agri_land '!$E$1:$ZZ$1, 0))</f>
        <v>45.354955123958455</v>
      </c>
      <c r="J946">
        <f>INDEX(Cereal_Yield!$E:$ZZ, MATCH(A946, Cereal_Yield!$C:$C, 0), MATCH(B946, Cereal_Yield!$E$1:$ZZ$1, 0))</f>
        <v>6598.3</v>
      </c>
    </row>
    <row r="947" spans="1:10" x14ac:dyDescent="0.3">
      <c r="A947" t="s">
        <v>45</v>
      </c>
      <c r="B947" s="4">
        <v>2009</v>
      </c>
      <c r="C947" t="s">
        <v>49</v>
      </c>
      <c r="D947" s="8">
        <f>INDEX(GDP_pc!$E:$ZZ, MATCH(A947, GDP_pc!$C:$C, 0), MATCH(B947, GDP_pc!$E$1:$ZZ$1, 0))</f>
        <v>14478064934000</v>
      </c>
      <c r="E947">
        <f>INDEX(CH4_Em!$E:$ZZ, MATCH(A947, CH4_Em!$C:$C, 0), MATCH(B947, CH4_Em!$E$1:$ZZ$1, 0))</f>
        <v>253.994</v>
      </c>
      <c r="F947">
        <f>INDEX(N2O_Em!$E:$ZZ, MATCH(A947, N2O_Em!$C:$C, 0), MATCH(B947, N2O_Em!$E$1:$ZZ$1, 0))</f>
        <v>132.85679999999999</v>
      </c>
      <c r="G947">
        <f>INDEX(CO2_Em!$E:$ZZ, MATCH(A947, CO2_Em!$C:$C, 0), MATCH(B947, CO2_Em!$E$1:$ZZ$1, 0))</f>
        <v>5.3274999999999997</v>
      </c>
      <c r="H947">
        <f>INDEX(Agri_VA!$E:$ZZ, MATCH(A947, Agri_VA!$C:$C, 0), MATCH(B947, Agri_VA!$E$1:$ZZ$1, 0))</f>
        <v>0.96028589202900161</v>
      </c>
      <c r="I947" s="6">
        <f>INDEX('Agri_land '!$E:$ZZ, MATCH(A947, 'Agri_land '!$C:$C, 0), MATCH(B947, 'Agri_land '!$E$1:$ZZ$1, 0))</f>
        <v>45.576134822715034</v>
      </c>
      <c r="J947">
        <f>INDEX(Cereal_Yield!$E:$ZZ, MATCH(A947, Cereal_Yield!$C:$C, 0), MATCH(B947, Cereal_Yield!$E$1:$ZZ$1, 0))</f>
        <v>7226.2</v>
      </c>
    </row>
    <row r="948" spans="1:10" x14ac:dyDescent="0.3">
      <c r="A948" t="s">
        <v>45</v>
      </c>
      <c r="B948" s="4">
        <v>2010</v>
      </c>
      <c r="C948" t="s">
        <v>49</v>
      </c>
      <c r="D948" s="8">
        <f>INDEX(GDP_pc!$E:$ZZ, MATCH(A948, GDP_pc!$C:$C, 0), MATCH(B948, GDP_pc!$E$1:$ZZ$1, 0))</f>
        <v>15048964444000</v>
      </c>
      <c r="E948">
        <f>INDEX(CH4_Em!$E:$ZZ, MATCH(A948, CH4_Em!$C:$C, 0), MATCH(B948, CH4_Em!$E$1:$ZZ$1, 0))</f>
        <v>256.57799999999997</v>
      </c>
      <c r="F948">
        <f>INDEX(N2O_Em!$E:$ZZ, MATCH(A948, N2O_Em!$C:$C, 0), MATCH(B948, N2O_Em!$E$1:$ZZ$1, 0))</f>
        <v>135.2525</v>
      </c>
      <c r="G948">
        <f>INDEX(CO2_Em!$E:$ZZ, MATCH(A948, CO2_Em!$C:$C, 0), MATCH(B948, CO2_Em!$E$1:$ZZ$1, 0))</f>
        <v>5.9474</v>
      </c>
      <c r="H948">
        <f>INDEX(Agri_VA!$E:$ZZ, MATCH(A948, Agri_VA!$C:$C, 0), MATCH(B948, Agri_VA!$E$1:$ZZ$1, 0))</f>
        <v>1.029437338206791</v>
      </c>
      <c r="I948" s="6">
        <f>INDEX('Agri_land '!$E:$ZZ, MATCH(A948, 'Agri_land '!$C:$C, 0), MATCH(B948, 'Agri_land '!$E$1:$ZZ$1, 0))</f>
        <v>45.797314510539586</v>
      </c>
      <c r="J948">
        <f>INDEX(Cereal_Yield!$E:$ZZ, MATCH(A948, Cereal_Yield!$C:$C, 0), MATCH(B948, Cereal_Yield!$E$1:$ZZ$1, 0))</f>
        <v>6978.1</v>
      </c>
    </row>
    <row r="949" spans="1:10" x14ac:dyDescent="0.3">
      <c r="A949" t="s">
        <v>45</v>
      </c>
      <c r="B949" s="4">
        <v>2011</v>
      </c>
      <c r="C949" t="s">
        <v>49</v>
      </c>
      <c r="D949" s="8">
        <f>INDEX(GDP_pc!$E:$ZZ, MATCH(A949, GDP_pc!$C:$C, 0), MATCH(B949, GDP_pc!$E$1:$ZZ$1, 0))</f>
        <v>15599728123000</v>
      </c>
      <c r="E949">
        <f>INDEX(CH4_Em!$E:$ZZ, MATCH(A949, CH4_Em!$C:$C, 0), MATCH(B949, CH4_Em!$E$1:$ZZ$1, 0))</f>
        <v>252.1146</v>
      </c>
      <c r="F949">
        <f>INDEX(N2O_Em!$E:$ZZ, MATCH(A949, N2O_Em!$C:$C, 0), MATCH(B949, N2O_Em!$E$1:$ZZ$1, 0))</f>
        <v>136.28970000000001</v>
      </c>
      <c r="G949">
        <f>INDEX(CO2_Em!$E:$ZZ, MATCH(A949, CO2_Em!$C:$C, 0), MATCH(B949, CO2_Em!$E$1:$ZZ$1, 0))</f>
        <v>6.1615000000000002</v>
      </c>
      <c r="H949">
        <f>INDEX(Agri_VA!$E:$ZZ, MATCH(A949, Agri_VA!$C:$C, 0), MATCH(B949, Agri_VA!$E$1:$ZZ$1, 0))</f>
        <v>1.2005591028466156</v>
      </c>
      <c r="I949" s="6">
        <f>INDEX('Agri_land '!$E:$ZZ, MATCH(A949, 'Agri_land '!$C:$C, 0), MATCH(B949, 'Agri_land '!$E$1:$ZZ$1, 0))</f>
        <v>46.018494209296172</v>
      </c>
      <c r="J949">
        <f>INDEX(Cereal_Yield!$E:$ZZ, MATCH(A949, Cereal_Yield!$C:$C, 0), MATCH(B949, Cereal_Yield!$E$1:$ZZ$1, 0))</f>
        <v>6803.5</v>
      </c>
    </row>
    <row r="950" spans="1:10" x14ac:dyDescent="0.3">
      <c r="A950" t="s">
        <v>45</v>
      </c>
      <c r="B950" s="4">
        <v>2012</v>
      </c>
      <c r="C950" t="s">
        <v>49</v>
      </c>
      <c r="D950" s="8">
        <f>INDEX(GDP_pc!$E:$ZZ, MATCH(A950, GDP_pc!$C:$C, 0), MATCH(B950, GDP_pc!$E$1:$ZZ$1, 0))</f>
        <v>16253972230000</v>
      </c>
      <c r="E950">
        <f>INDEX(CH4_Em!$E:$ZZ, MATCH(A950, CH4_Em!$C:$C, 0), MATCH(B950, CH4_Em!$E$1:$ZZ$1, 0))</f>
        <v>251.96700000000001</v>
      </c>
      <c r="F950">
        <f>INDEX(N2O_Em!$E:$ZZ, MATCH(A950, N2O_Em!$C:$C, 0), MATCH(B950, N2O_Em!$E$1:$ZZ$1, 0))</f>
        <v>134.94980000000001</v>
      </c>
      <c r="G950">
        <f>INDEX(CO2_Em!$E:$ZZ, MATCH(A950, CO2_Em!$C:$C, 0), MATCH(B950, CO2_Em!$E$1:$ZZ$1, 0))</f>
        <v>6.4695</v>
      </c>
      <c r="H950">
        <f>INDEX(Agri_VA!$E:$ZZ, MATCH(A950, Agri_VA!$C:$C, 0), MATCH(B950, Agri_VA!$E$1:$ZZ$1, 0))</f>
        <v>1.1493296429730642</v>
      </c>
      <c r="I950" s="6">
        <f>INDEX('Agri_land '!$E:$ZZ, MATCH(A950, 'Agri_land '!$C:$C, 0), MATCH(B950, 'Agri_land '!$E$1:$ZZ$1, 0))</f>
        <v>46.239673908052758</v>
      </c>
      <c r="J950">
        <f>INDEX(Cereal_Yield!$E:$ZZ, MATCH(A950, Cereal_Yield!$C:$C, 0), MATCH(B950, Cereal_Yield!$E$1:$ZZ$1, 0))</f>
        <v>5911.9</v>
      </c>
    </row>
    <row r="951" spans="1:10" x14ac:dyDescent="0.3">
      <c r="A951" t="s">
        <v>45</v>
      </c>
      <c r="B951" s="4">
        <v>2013</v>
      </c>
      <c r="C951" t="s">
        <v>49</v>
      </c>
      <c r="D951" s="8">
        <f>INDEX(GDP_pc!$E:$ZZ, MATCH(A951, GDP_pc!$C:$C, 0), MATCH(B951, GDP_pc!$E$1:$ZZ$1, 0))</f>
        <v>16843190993000</v>
      </c>
      <c r="E951">
        <f>INDEX(CH4_Em!$E:$ZZ, MATCH(A951, CH4_Em!$C:$C, 0), MATCH(B951, CH4_Em!$E$1:$ZZ$1, 0))</f>
        <v>250.7294</v>
      </c>
      <c r="F951">
        <f>INDEX(N2O_Em!$E:$ZZ, MATCH(A951, N2O_Em!$C:$C, 0), MATCH(B951, N2O_Em!$E$1:$ZZ$1, 0))</f>
        <v>136.16470000000001</v>
      </c>
      <c r="G951">
        <f>INDEX(CO2_Em!$E:$ZZ, MATCH(A951, CO2_Em!$C:$C, 0), MATCH(B951, CO2_Em!$E$1:$ZZ$1, 0))</f>
        <v>6.2362000000000002</v>
      </c>
      <c r="H951">
        <f>INDEX(Agri_VA!$E:$ZZ, MATCH(A951, Agri_VA!$C:$C, 0), MATCH(B951, Agri_VA!$E$1:$ZZ$1, 0))</f>
        <v>1.3210841644702356</v>
      </c>
      <c r="I951" s="6">
        <f>INDEX('Agri_land '!$E:$ZZ, MATCH(A951, 'Agri_land '!$C:$C, 0), MATCH(B951, 'Agri_land '!$E$1:$ZZ$1, 0))</f>
        <v>46.333018796556843</v>
      </c>
      <c r="J951">
        <f>INDEX(Cereal_Yield!$E:$ZZ, MATCH(A951, Cereal_Yield!$C:$C, 0), MATCH(B951, Cereal_Yield!$E$1:$ZZ$1, 0))</f>
        <v>7300.9</v>
      </c>
    </row>
    <row r="952" spans="1:10" x14ac:dyDescent="0.3">
      <c r="A952" t="s">
        <v>45</v>
      </c>
      <c r="B952" s="4">
        <v>2014</v>
      </c>
      <c r="C952" t="s">
        <v>49</v>
      </c>
      <c r="D952" s="8">
        <f>INDEX(GDP_pc!$E:$ZZ, MATCH(A952, GDP_pc!$C:$C, 0), MATCH(B952, GDP_pc!$E$1:$ZZ$1, 0))</f>
        <v>17550680173999.998</v>
      </c>
      <c r="E952">
        <f>INDEX(CH4_Em!$E:$ZZ, MATCH(A952, CH4_Em!$C:$C, 0), MATCH(B952, CH4_Em!$E$1:$ZZ$1, 0))</f>
        <v>253.96709999999999</v>
      </c>
      <c r="F952">
        <f>INDEX(N2O_Em!$E:$ZZ, MATCH(A952, N2O_Em!$C:$C, 0), MATCH(B952, N2O_Em!$E$1:$ZZ$1, 0))</f>
        <v>135.68989999999999</v>
      </c>
      <c r="G952">
        <f>INDEX(CO2_Em!$E:$ZZ, MATCH(A952, CO2_Em!$C:$C, 0), MATCH(B952, CO2_Em!$E$1:$ZZ$1, 0))</f>
        <v>6.2972000000000001</v>
      </c>
      <c r="H952">
        <f>INDEX(Agri_VA!$E:$ZZ, MATCH(A952, Agri_VA!$C:$C, 0), MATCH(B952, Agri_VA!$E$1:$ZZ$1, 0))</f>
        <v>1.17206510494526</v>
      </c>
      <c r="I952" s="6">
        <f>INDEX('Agri_land '!$E:$ZZ, MATCH(A952, 'Agri_land '!$C:$C, 0), MATCH(B952, 'Agri_land '!$E$1:$ZZ$1, 0))</f>
        <v>46.42636368506092</v>
      </c>
      <c r="J952">
        <f>INDEX(Cereal_Yield!$E:$ZZ, MATCH(A952, Cereal_Yield!$C:$C, 0), MATCH(B952, Cereal_Yield!$E$1:$ZZ$1, 0))</f>
        <v>7638.1</v>
      </c>
    </row>
    <row r="953" spans="1:10" x14ac:dyDescent="0.3">
      <c r="A953" t="s">
        <v>45</v>
      </c>
      <c r="B953" s="4">
        <v>2015</v>
      </c>
      <c r="C953" t="s">
        <v>49</v>
      </c>
      <c r="D953" s="8">
        <f>INDEX(GDP_pc!$E:$ZZ, MATCH(A953, GDP_pc!$C:$C, 0), MATCH(B953, GDP_pc!$E$1:$ZZ$1, 0))</f>
        <v>18206020741000</v>
      </c>
      <c r="E953">
        <f>INDEX(CH4_Em!$E:$ZZ, MATCH(A953, CH4_Em!$C:$C, 0), MATCH(B953, CH4_Em!$E$1:$ZZ$1, 0))</f>
        <v>256.27069999999998</v>
      </c>
      <c r="F953">
        <f>INDEX(N2O_Em!$E:$ZZ, MATCH(A953, N2O_Em!$C:$C, 0), MATCH(B953, N2O_Em!$E$1:$ZZ$1, 0))</f>
        <v>135.22139999999999</v>
      </c>
      <c r="G953">
        <f>INDEX(CO2_Em!$E:$ZZ, MATCH(A953, CO2_Em!$C:$C, 0), MATCH(B953, CO2_Em!$E$1:$ZZ$1, 0))</f>
        <v>6.6909999999999998</v>
      </c>
      <c r="H953">
        <f>INDEX(Agri_VA!$E:$ZZ, MATCH(A953, Agri_VA!$C:$C, 0), MATCH(B953, Agri_VA!$E$1:$ZZ$1, 0))</f>
        <v>1.0339337831033399</v>
      </c>
      <c r="I953" s="6">
        <f>INDEX('Agri_land '!$E:$ZZ, MATCH(A953, 'Agri_land '!$C:$C, 0), MATCH(B953, 'Agri_land '!$E$1:$ZZ$1, 0))</f>
        <v>46.519708562632964</v>
      </c>
      <c r="J953">
        <f>INDEX(Cereal_Yield!$E:$ZZ, MATCH(A953, Cereal_Yield!$C:$C, 0), MATCH(B953, Cereal_Yield!$E$1:$ZZ$1, 0))</f>
        <v>7430.1</v>
      </c>
    </row>
    <row r="954" spans="1:10" x14ac:dyDescent="0.3">
      <c r="A954" t="s">
        <v>45</v>
      </c>
      <c r="B954" s="4">
        <v>2016</v>
      </c>
      <c r="C954" t="s">
        <v>49</v>
      </c>
      <c r="D954" s="8">
        <f>INDEX(GDP_pc!$E:$ZZ, MATCH(A954, GDP_pc!$C:$C, 0), MATCH(B954, GDP_pc!$E$1:$ZZ$1, 0))</f>
        <v>18695110842000</v>
      </c>
      <c r="E954">
        <f>INDEX(CH4_Em!$E:$ZZ, MATCH(A954, CH4_Em!$C:$C, 0), MATCH(B954, CH4_Em!$E$1:$ZZ$1, 0))</f>
        <v>265.36989999999997</v>
      </c>
      <c r="F954">
        <f>INDEX(N2O_Em!$E:$ZZ, MATCH(A954, N2O_Em!$C:$C, 0), MATCH(B954, N2O_Em!$E$1:$ZZ$1, 0))</f>
        <v>139.75370000000001</v>
      </c>
      <c r="G954">
        <f>INDEX(CO2_Em!$E:$ZZ, MATCH(A954, CO2_Em!$C:$C, 0), MATCH(B954, CO2_Em!$E$1:$ZZ$1, 0))</f>
        <v>6.7302999999999997</v>
      </c>
      <c r="H954">
        <f>INDEX(Agri_VA!$E:$ZZ, MATCH(A954, Agri_VA!$C:$C, 0), MATCH(B954, Agri_VA!$E$1:$ZZ$1, 0))</f>
        <v>0.94264455284260362</v>
      </c>
      <c r="I954" s="6">
        <f>INDEX('Agri_land '!$E:$ZZ, MATCH(A954, 'Agri_land '!$C:$C, 0), MATCH(B954, 'Agri_land '!$E$1:$ZZ$1, 0))</f>
        <v>46.613053451137034</v>
      </c>
      <c r="J954">
        <f>INDEX(Cereal_Yield!$E:$ZZ, MATCH(A954, Cereal_Yield!$C:$C, 0), MATCH(B954, Cereal_Yield!$E$1:$ZZ$1, 0))</f>
        <v>8614.2000000000007</v>
      </c>
    </row>
    <row r="955" spans="1:10" x14ac:dyDescent="0.3">
      <c r="A955" t="s">
        <v>45</v>
      </c>
      <c r="B955" s="4">
        <v>2017</v>
      </c>
      <c r="C955" t="s">
        <v>49</v>
      </c>
      <c r="D955" s="8">
        <f>INDEX(GDP_pc!$E:$ZZ, MATCH(A955, GDP_pc!$C:$C, 0), MATCH(B955, GDP_pc!$E$1:$ZZ$1, 0))</f>
        <v>19477336549000</v>
      </c>
      <c r="E955">
        <f>INDEX(CH4_Em!$E:$ZZ, MATCH(A955, CH4_Em!$C:$C, 0), MATCH(B955, CH4_Em!$E$1:$ZZ$1, 0))</f>
        <v>265.31810000000002</v>
      </c>
      <c r="F955">
        <f>INDEX(N2O_Em!$E:$ZZ, MATCH(A955, N2O_Em!$C:$C, 0), MATCH(B955, N2O_Em!$E$1:$ZZ$1, 0))</f>
        <v>138.71879999999999</v>
      </c>
      <c r="G955">
        <f>INDEX(CO2_Em!$E:$ZZ, MATCH(A955, CO2_Em!$C:$C, 0), MATCH(B955, CO2_Em!$E$1:$ZZ$1, 0))</f>
        <v>6.7666000000000004</v>
      </c>
      <c r="H955">
        <f>INDEX(Agri_VA!$E:$ZZ, MATCH(A955, Agri_VA!$C:$C, 0), MATCH(B955, Agri_VA!$E$1:$ZZ$1, 0))</f>
        <v>0.94686867753213766</v>
      </c>
      <c r="I955" s="6">
        <f>INDEX('Agri_land '!$E:$ZZ, MATCH(A955, 'Agri_land '!$C:$C, 0), MATCH(B955, 'Agri_land '!$E$1:$ZZ$1, 0))</f>
        <v>46.706398339641126</v>
      </c>
      <c r="J955">
        <f>INDEX(Cereal_Yield!$E:$ZZ, MATCH(A955, Cereal_Yield!$C:$C, 0), MATCH(B955, Cereal_Yield!$E$1:$ZZ$1, 0))</f>
        <v>8281.2999999999993</v>
      </c>
    </row>
    <row r="956" spans="1:10" x14ac:dyDescent="0.3">
      <c r="A956" t="s">
        <v>45</v>
      </c>
      <c r="B956" s="4">
        <v>2018</v>
      </c>
      <c r="C956" t="s">
        <v>49</v>
      </c>
      <c r="D956" s="8">
        <f>INDEX(GDP_pc!$E:$ZZ, MATCH(A956, GDP_pc!$C:$C, 0), MATCH(B956, GDP_pc!$E$1:$ZZ$1, 0))</f>
        <v>20533057312000</v>
      </c>
      <c r="E956">
        <f>INDEX(CH4_Em!$E:$ZZ, MATCH(A956, CH4_Em!$C:$C, 0), MATCH(B956, CH4_Em!$E$1:$ZZ$1, 0))</f>
        <v>271.03899999999999</v>
      </c>
      <c r="F956">
        <f>INDEX(N2O_Em!$E:$ZZ, MATCH(A956, N2O_Em!$C:$C, 0), MATCH(B956, N2O_Em!$E$1:$ZZ$1, 0))</f>
        <v>138.14349999999999</v>
      </c>
      <c r="G956">
        <f>INDEX(CO2_Em!$E:$ZZ, MATCH(A956, CO2_Em!$C:$C, 0), MATCH(B956, CO2_Em!$E$1:$ZZ$1, 0))</f>
        <v>6.5072999999999999</v>
      </c>
      <c r="H956">
        <f>INDEX(Agri_VA!$E:$ZZ, MATCH(A956, Agri_VA!$C:$C, 0), MATCH(B956, Agri_VA!$E$1:$ZZ$1, 0))</f>
        <v>0.90390064265554804</v>
      </c>
      <c r="I956" s="6">
        <f>INDEX('Agri_land '!$E:$ZZ, MATCH(A956, 'Agri_land '!$C:$C, 0), MATCH(B956, 'Agri_land '!$E$1:$ZZ$1, 0))</f>
        <v>46.581714549020383</v>
      </c>
      <c r="J956">
        <f>INDEX(Cereal_Yield!$E:$ZZ, MATCH(A956, Cereal_Yield!$C:$C, 0), MATCH(B956, Cereal_Yield!$E$1:$ZZ$1, 0))</f>
        <v>8196</v>
      </c>
    </row>
    <row r="957" spans="1:10" x14ac:dyDescent="0.3">
      <c r="A957" t="s">
        <v>45</v>
      </c>
      <c r="B957" s="4">
        <v>2019</v>
      </c>
      <c r="C957" t="s">
        <v>49</v>
      </c>
      <c r="D957" s="8">
        <f>INDEX(GDP_pc!$E:$ZZ, MATCH(A957, GDP_pc!$C:$C, 0), MATCH(B957, GDP_pc!$E$1:$ZZ$1, 0))</f>
        <v>21380976119000</v>
      </c>
      <c r="E957">
        <f>INDEX(CH4_Em!$E:$ZZ, MATCH(A957, CH4_Em!$C:$C, 0), MATCH(B957, CH4_Em!$E$1:$ZZ$1, 0))</f>
        <v>270.45049999999998</v>
      </c>
      <c r="F957">
        <f>INDEX(N2O_Em!$E:$ZZ, MATCH(A957, N2O_Em!$C:$C, 0), MATCH(B957, N2O_Em!$E$1:$ZZ$1, 0))</f>
        <v>138.41210000000001</v>
      </c>
      <c r="G957">
        <f>INDEX(CO2_Em!$E:$ZZ, MATCH(A957, CO2_Em!$C:$C, 0), MATCH(B957, CO2_Em!$E$1:$ZZ$1, 0))</f>
        <v>6.7386999999999997</v>
      </c>
      <c r="H957">
        <f>INDEX(Agri_VA!$E:$ZZ, MATCH(A957, Agri_VA!$C:$C, 0), MATCH(B957, Agri_VA!$E$1:$ZZ$1, 0))</f>
        <v>0.83881289143120807</v>
      </c>
      <c r="I957" s="6">
        <f>INDEX('Agri_land '!$E:$ZZ, MATCH(A957, 'Agri_land '!$C:$C, 0), MATCH(B957, 'Agri_land '!$E$1:$ZZ$1, 0))</f>
        <v>46.45703075839964</v>
      </c>
      <c r="J957">
        <f>INDEX(Cereal_Yield!$E:$ZZ, MATCH(A957, Cereal_Yield!$C:$C, 0), MATCH(B957, Cereal_Yield!$E$1:$ZZ$1, 0))</f>
        <v>8005.5</v>
      </c>
    </row>
    <row r="958" spans="1:10" x14ac:dyDescent="0.3">
      <c r="A958" t="s">
        <v>45</v>
      </c>
      <c r="B958" s="4">
        <v>2020</v>
      </c>
      <c r="C958" t="s">
        <v>49</v>
      </c>
      <c r="D958" s="8">
        <f>INDEX(GDP_pc!$E:$ZZ, MATCH(A958, GDP_pc!$C:$C, 0), MATCH(B958, GDP_pc!$E$1:$ZZ$1, 0))</f>
        <v>21060473613000</v>
      </c>
      <c r="E958">
        <f>INDEX(CH4_Em!$E:$ZZ, MATCH(A958, CH4_Em!$C:$C, 0), MATCH(B958, CH4_Em!$E$1:$ZZ$1, 0))</f>
        <v>271.44439999999997</v>
      </c>
      <c r="F958">
        <f>INDEX(N2O_Em!$E:$ZZ, MATCH(A958, N2O_Em!$C:$C, 0), MATCH(B958, N2O_Em!$E$1:$ZZ$1, 0))</f>
        <v>138.86369999999999</v>
      </c>
      <c r="G958">
        <f>INDEX(CO2_Em!$E:$ZZ, MATCH(A958, CO2_Em!$C:$C, 0), MATCH(B958, CO2_Em!$E$1:$ZZ$1, 0))</f>
        <v>6.8018999999999998</v>
      </c>
      <c r="H958">
        <f>INDEX(Agri_VA!$E:$ZZ, MATCH(A958, Agri_VA!$C:$C, 0), MATCH(B958, Agri_VA!$E$1:$ZZ$1, 0))</f>
        <v>0.94884743179113418</v>
      </c>
      <c r="I958" s="6">
        <f>INDEX('Agri_land '!$E:$ZZ, MATCH(A958, 'Agri_land '!$C:$C, 0), MATCH(B958, 'Agri_land '!$E$1:$ZZ$1, 0))</f>
        <v>46.332346967778889</v>
      </c>
      <c r="J958">
        <f>INDEX(Cereal_Yield!$E:$ZZ, MATCH(A958, Cereal_Yield!$C:$C, 0), MATCH(B958, Cereal_Yield!$E$1:$ZZ$1, 0))</f>
        <v>8144.7</v>
      </c>
    </row>
    <row r="959" spans="1:10" x14ac:dyDescent="0.3">
      <c r="A959" t="s">
        <v>45</v>
      </c>
      <c r="B959" s="4">
        <v>2021</v>
      </c>
      <c r="C959" t="s">
        <v>49</v>
      </c>
      <c r="D959" s="8">
        <f>INDEX(GDP_pc!$E:$ZZ, MATCH(A959, GDP_pc!$C:$C, 0), MATCH(B959, GDP_pc!$E$1:$ZZ$1, 0))</f>
        <v>23315080560000</v>
      </c>
      <c r="E959">
        <f>INDEX(CH4_Em!$E:$ZZ, MATCH(A959, CH4_Em!$C:$C, 0), MATCH(B959, CH4_Em!$E$1:$ZZ$1, 0))</f>
        <v>267.41480000000001</v>
      </c>
      <c r="F959">
        <f>INDEX(N2O_Em!$E:$ZZ, MATCH(A959, N2O_Em!$C:$C, 0), MATCH(B959, N2O_Em!$E$1:$ZZ$1, 0))</f>
        <v>135.85419999999999</v>
      </c>
      <c r="G959">
        <f>INDEX(CO2_Em!$E:$ZZ, MATCH(A959, CO2_Em!$C:$C, 0), MATCH(B959, CO2_Em!$E$1:$ZZ$1, 0))</f>
        <v>6.42</v>
      </c>
      <c r="H959">
        <f>INDEX(Agri_VA!$E:$ZZ, MATCH(A959, Agri_VA!$C:$C, 0), MATCH(B959, Agri_VA!$E$1:$ZZ$1, 0))</f>
        <v>0.95956665654343343</v>
      </c>
      <c r="I959" s="6">
        <f>INDEX('Agri_land '!$E:$ZZ, MATCH(A959, 'Agri_land '!$C:$C, 0), MATCH(B959, 'Agri_land '!$E$1:$ZZ$1, 0))</f>
        <v>46.207663188090194</v>
      </c>
      <c r="J959">
        <f>INDEX(Cereal_Yield!$E:$ZZ, MATCH(A959, Cereal_Yield!$C:$C, 0), MATCH(B959, Cereal_Yield!$E$1:$ZZ$1, 0))</f>
        <v>8246.2000000000007</v>
      </c>
    </row>
    <row r="960" spans="1:10" x14ac:dyDescent="0.3">
      <c r="A960" t="s">
        <v>45</v>
      </c>
      <c r="B960" s="4">
        <v>2022</v>
      </c>
      <c r="C960" t="s">
        <v>49</v>
      </c>
      <c r="D960" s="8">
        <f>INDEX(GDP_pc!$E:$ZZ, MATCH(A960, GDP_pc!$C:$C, 0), MATCH(B960, GDP_pc!$E$1:$ZZ$1, 0))</f>
        <v>25604848907611</v>
      </c>
      <c r="E960">
        <f>INDEX(CH4_Em!$E:$ZZ, MATCH(A960, CH4_Em!$C:$C, 0), MATCH(B960, CH4_Em!$E$1:$ZZ$1, 0))</f>
        <v>262.10480000000001</v>
      </c>
      <c r="F960">
        <f>INDEX(N2O_Em!$E:$ZZ, MATCH(A960, N2O_Em!$C:$C, 0), MATCH(B960, N2O_Em!$E$1:$ZZ$1, 0))</f>
        <v>137.64099999999999</v>
      </c>
      <c r="G960">
        <f>INDEX(CO2_Em!$E:$ZZ, MATCH(A960, CO2_Em!$C:$C, 0), MATCH(B960, CO2_Em!$E$1:$ZZ$1, 0))</f>
        <v>6.8973000000000004</v>
      </c>
      <c r="H960" t="str">
        <f>INDEX(Agri_VA!$E:$ZZ, MATCH(A960, Agri_VA!$C:$C, 0), MATCH(B960, Agri_VA!$E$1:$ZZ$1, 0))</f>
        <v>..</v>
      </c>
      <c r="I960" s="6">
        <f>INDEX('Agri_land '!$E:$ZZ, MATCH(A960, 'Agri_land '!$C:$C, 0), MATCH(B960, 'Agri_land '!$E$1:$ZZ$1, 0))</f>
        <v>46.082979397469451</v>
      </c>
      <c r="J960">
        <f>INDEX(Cereal_Yield!$E:$ZZ, MATCH(A960, Cereal_Yield!$C:$C, 0), MATCH(B960, Cereal_Yield!$E$1:$ZZ$1, 0))</f>
        <v>8065.5</v>
      </c>
    </row>
    <row r="961" spans="1:10" x14ac:dyDescent="0.3">
      <c r="A961" t="s">
        <v>45</v>
      </c>
      <c r="B961" s="4">
        <v>2023</v>
      </c>
      <c r="C961" t="s">
        <v>49</v>
      </c>
      <c r="D961" s="8">
        <f>INDEX(GDP_pc!$E:$ZZ, MATCH(A961, GDP_pc!$C:$C, 0), MATCH(B961, GDP_pc!$E$1:$ZZ$1, 0))</f>
        <v>27292170793214.398</v>
      </c>
      <c r="E961">
        <f>INDEX(CH4_Em!$E:$ZZ, MATCH(A961, CH4_Em!$C:$C, 0), MATCH(B961, CH4_Em!$E$1:$ZZ$1, 0))</f>
        <v>258.96300000000002</v>
      </c>
      <c r="F961">
        <f>INDEX(N2O_Em!$E:$ZZ, MATCH(A961, N2O_Em!$C:$C, 0), MATCH(B961, N2O_Em!$E$1:$ZZ$1, 0))</f>
        <v>137.6557</v>
      </c>
      <c r="G961">
        <f>INDEX(CO2_Em!$E:$ZZ, MATCH(A961, CO2_Em!$C:$C, 0), MATCH(B961, CO2_Em!$E$1:$ZZ$1, 0))</f>
        <v>6.8040000000000003</v>
      </c>
      <c r="H961" t="str">
        <f>INDEX(Agri_VA!$E:$ZZ, MATCH(A961, Agri_VA!$C:$C, 0), MATCH(B961, Agri_VA!$E$1:$ZZ$1, 0))</f>
        <v>..</v>
      </c>
      <c r="I961" s="6">
        <f>INDEX('Agri_land '!$E:$ZZ, MATCH(A961, 'Agri_land '!$C:$C, 0), MATCH(B961, 'Agri_land '!$E$1:$ZZ$1, 0))</f>
        <v>46.082979397469451</v>
      </c>
      <c r="J961">
        <f>INDEX(Cereal_Yield!$E:$ZZ, MATCH(A961, Cereal_Yield!$C:$C, 0), MATCH(B961, Cereal_Yield!$E$1:$ZZ$1, 0))</f>
        <v>8329.7000000000007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9DC6-612A-4E5E-9F0C-B91BE057AF05}">
  <dimension ref="A1:AB267"/>
  <sheetViews>
    <sheetView zoomScale="88" workbookViewId="0">
      <selection activeCell="C1" sqref="C1"/>
    </sheetView>
  </sheetViews>
  <sheetFormatPr defaultRowHeight="14.4" x14ac:dyDescent="0.3"/>
  <cols>
    <col min="1" max="1" width="19.33203125" bestFit="1" customWidth="1"/>
    <col min="2" max="2" width="20.5546875" bestFit="1" customWidth="1"/>
    <col min="3" max="3" width="73.109375" bestFit="1" customWidth="1"/>
    <col min="5" max="21" width="14.21875" bestFit="1" customWidth="1"/>
    <col min="22" max="22" width="14.21875" customWidth="1"/>
    <col min="23" max="28" width="14.21875" bestFit="1" customWidth="1"/>
  </cols>
  <sheetData>
    <row r="1" spans="1:28" x14ac:dyDescent="0.3">
      <c r="A1" t="s">
        <v>59</v>
      </c>
      <c r="B1" s="5" t="s">
        <v>60</v>
      </c>
      <c r="C1" t="s">
        <v>61</v>
      </c>
      <c r="D1" s="5" t="s">
        <v>62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</row>
    <row r="2" spans="1:28" x14ac:dyDescent="0.3">
      <c r="A2" t="s">
        <v>63</v>
      </c>
      <c r="B2" s="5" t="s">
        <v>64</v>
      </c>
      <c r="C2" t="s">
        <v>65</v>
      </c>
      <c r="D2" s="5" t="s">
        <v>66</v>
      </c>
      <c r="E2">
        <v>3521418059.9234452</v>
      </c>
      <c r="F2">
        <v>2813571753.8725324</v>
      </c>
      <c r="G2">
        <v>3825701438.9996333</v>
      </c>
      <c r="H2">
        <v>4520946818.5458136</v>
      </c>
      <c r="I2">
        <v>5224896718.6778202</v>
      </c>
      <c r="J2">
        <v>6203256538.7096691</v>
      </c>
      <c r="K2">
        <v>6971758282.2935057</v>
      </c>
      <c r="L2">
        <v>9747886187.3939285</v>
      </c>
      <c r="M2">
        <v>10109297047.543194</v>
      </c>
      <c r="N2">
        <v>12416152732.056717</v>
      </c>
      <c r="O2">
        <v>15856668555.833595</v>
      </c>
      <c r="P2">
        <v>17805098206.314083</v>
      </c>
      <c r="Q2">
        <v>19907329777.587166</v>
      </c>
      <c r="R2">
        <v>20146416757.598675</v>
      </c>
      <c r="S2">
        <v>20497128555.697231</v>
      </c>
      <c r="T2">
        <v>19134221644.732494</v>
      </c>
      <c r="U2">
        <v>18116572395.077213</v>
      </c>
      <c r="V2">
        <v>18753456497.815865</v>
      </c>
      <c r="W2">
        <v>18053222687.412624</v>
      </c>
      <c r="X2">
        <v>18799444490.112782</v>
      </c>
      <c r="Y2">
        <v>19955929052.149597</v>
      </c>
      <c r="Z2">
        <v>14259995441.075907</v>
      </c>
      <c r="AA2">
        <v>14497243872.133739</v>
      </c>
      <c r="AB2">
        <v>17152234636.871508</v>
      </c>
    </row>
    <row r="3" spans="1:28" x14ac:dyDescent="0.3">
      <c r="A3" t="s">
        <v>63</v>
      </c>
      <c r="B3" s="5" t="s">
        <v>64</v>
      </c>
      <c r="C3" t="s">
        <v>67</v>
      </c>
      <c r="D3" s="5" t="s">
        <v>68</v>
      </c>
      <c r="E3">
        <v>3584570164.8519526</v>
      </c>
      <c r="F3">
        <v>4059064033.1337881</v>
      </c>
      <c r="G3">
        <v>4515003116.6803646</v>
      </c>
      <c r="H3">
        <v>5801712040.4846296</v>
      </c>
      <c r="I3">
        <v>7406645793.440382</v>
      </c>
      <c r="J3">
        <v>8256658249.8128023</v>
      </c>
      <c r="K3">
        <v>9150528132.1763268</v>
      </c>
      <c r="L3">
        <v>11116937869.85684</v>
      </c>
      <c r="M3">
        <v>13258506375.451752</v>
      </c>
      <c r="N3">
        <v>12335540656.100584</v>
      </c>
      <c r="O3">
        <v>12086545641.299042</v>
      </c>
      <c r="P3">
        <v>12973755874.536465</v>
      </c>
      <c r="Q3">
        <v>12246499747.971437</v>
      </c>
      <c r="R3">
        <v>12796985886.147848</v>
      </c>
      <c r="S3">
        <v>13296322588.168373</v>
      </c>
      <c r="T3">
        <v>11470171826.957481</v>
      </c>
      <c r="U3">
        <v>11988668784.662786</v>
      </c>
      <c r="V3">
        <v>13258268435.604792</v>
      </c>
      <c r="W3">
        <v>15379508329.756819</v>
      </c>
      <c r="X3">
        <v>15585111614.037556</v>
      </c>
      <c r="Y3">
        <v>15241458744.592728</v>
      </c>
      <c r="Z3">
        <v>18031989573.029366</v>
      </c>
      <c r="AA3">
        <v>19017247013.882061</v>
      </c>
      <c r="AB3">
        <v>23491242727.408218</v>
      </c>
    </row>
    <row r="4" spans="1:28" x14ac:dyDescent="0.3">
      <c r="A4" t="s">
        <v>63</v>
      </c>
      <c r="B4" s="5" t="s">
        <v>64</v>
      </c>
      <c r="C4" t="s">
        <v>69</v>
      </c>
      <c r="D4" s="5" t="s">
        <v>70</v>
      </c>
      <c r="E4">
        <v>54790398570.328224</v>
      </c>
      <c r="F4">
        <v>59413400923.636353</v>
      </c>
      <c r="G4">
        <v>61516103406.168777</v>
      </c>
      <c r="H4">
        <v>73482264190.924545</v>
      </c>
      <c r="I4">
        <v>91913680985.170822</v>
      </c>
      <c r="J4">
        <v>107046618669.707</v>
      </c>
      <c r="K4">
        <v>123084258693.00974</v>
      </c>
      <c r="L4">
        <v>142482739809.84927</v>
      </c>
      <c r="M4">
        <v>180383848331.13458</v>
      </c>
      <c r="N4">
        <v>150317292079.35913</v>
      </c>
      <c r="O4">
        <v>177785053939.53052</v>
      </c>
      <c r="P4">
        <v>218331946925.30356</v>
      </c>
      <c r="Q4">
        <v>227143746075.93402</v>
      </c>
      <c r="R4">
        <v>229701430292.15659</v>
      </c>
      <c r="S4">
        <v>238942664192.59</v>
      </c>
      <c r="T4">
        <v>187493855609.34464</v>
      </c>
      <c r="U4">
        <v>180763839522.15082</v>
      </c>
      <c r="V4">
        <v>189880896903.0733</v>
      </c>
      <c r="W4">
        <v>194554483655.52774</v>
      </c>
      <c r="X4">
        <v>193459662090.67682</v>
      </c>
      <c r="Y4">
        <v>164873415325.20148</v>
      </c>
      <c r="Z4">
        <v>186231205262.08237</v>
      </c>
      <c r="AA4">
        <v>225581644702.56781</v>
      </c>
      <c r="AB4">
        <v>247923887214.65549</v>
      </c>
    </row>
    <row r="5" spans="1:28" x14ac:dyDescent="0.3">
      <c r="A5" t="s">
        <v>63</v>
      </c>
      <c r="B5" s="5" t="s">
        <v>64</v>
      </c>
      <c r="C5" t="s">
        <v>71</v>
      </c>
      <c r="D5" s="5" t="s">
        <v>72</v>
      </c>
      <c r="E5" t="s">
        <v>73</v>
      </c>
      <c r="F5" t="s">
        <v>73</v>
      </c>
      <c r="G5">
        <v>512000000</v>
      </c>
      <c r="H5">
        <v>524000000</v>
      </c>
      <c r="I5">
        <v>509000000</v>
      </c>
      <c r="J5">
        <v>500000000</v>
      </c>
      <c r="K5">
        <v>493000000</v>
      </c>
      <c r="L5">
        <v>518000000</v>
      </c>
      <c r="M5">
        <v>560000000</v>
      </c>
      <c r="N5">
        <v>675000000</v>
      </c>
      <c r="O5">
        <v>573000000</v>
      </c>
      <c r="P5">
        <v>570000000</v>
      </c>
      <c r="Q5">
        <v>640000000</v>
      </c>
      <c r="R5">
        <v>638000000</v>
      </c>
      <c r="S5">
        <v>643000000</v>
      </c>
      <c r="T5">
        <v>673000000</v>
      </c>
      <c r="U5">
        <v>671000000</v>
      </c>
      <c r="V5">
        <v>612000000</v>
      </c>
      <c r="W5">
        <v>639000000</v>
      </c>
      <c r="X5">
        <v>647000000</v>
      </c>
      <c r="Y5">
        <v>721000000</v>
      </c>
      <c r="Z5">
        <v>750000000</v>
      </c>
      <c r="AA5">
        <v>871000000</v>
      </c>
      <c r="AB5" t="s">
        <v>73</v>
      </c>
    </row>
    <row r="6" spans="1:28" x14ac:dyDescent="0.3">
      <c r="A6" t="s">
        <v>63</v>
      </c>
      <c r="B6" s="5" t="s">
        <v>64</v>
      </c>
      <c r="C6" t="s">
        <v>74</v>
      </c>
      <c r="D6" s="5" t="s">
        <v>75</v>
      </c>
      <c r="E6">
        <v>1432606296.2672195</v>
      </c>
      <c r="F6">
        <v>1548265926.7572029</v>
      </c>
      <c r="G6">
        <v>1764279817.958147</v>
      </c>
      <c r="H6">
        <v>2366941614.0300074</v>
      </c>
      <c r="I6">
        <v>2900244053.5275807</v>
      </c>
      <c r="J6">
        <v>3161084846.97686</v>
      </c>
      <c r="K6">
        <v>3459336818.0374246</v>
      </c>
      <c r="L6">
        <v>3957627536.7562413</v>
      </c>
      <c r="M6">
        <v>4102317468.3015575</v>
      </c>
      <c r="N6">
        <v>3688974807.450367</v>
      </c>
      <c r="O6">
        <v>3449925693.5818081</v>
      </c>
      <c r="P6">
        <v>3629133062.5516763</v>
      </c>
      <c r="Q6">
        <v>3188653258.6100125</v>
      </c>
      <c r="R6">
        <v>3193513470.4394078</v>
      </c>
      <c r="S6">
        <v>3271686452.4768577</v>
      </c>
      <c r="T6">
        <v>2789882569.1004953</v>
      </c>
      <c r="U6">
        <v>2896611878.6258011</v>
      </c>
      <c r="V6">
        <v>3000160414.6379485</v>
      </c>
      <c r="W6">
        <v>3218418631.6757855</v>
      </c>
      <c r="X6">
        <v>3155150255.9119468</v>
      </c>
      <c r="Y6">
        <v>2891002460.2915344</v>
      </c>
      <c r="Z6">
        <v>3324648075.5629253</v>
      </c>
      <c r="AA6">
        <v>3380611694.7339158</v>
      </c>
      <c r="AB6">
        <v>3785065524.8475413</v>
      </c>
    </row>
    <row r="7" spans="1:28" x14ac:dyDescent="0.3">
      <c r="A7" t="s">
        <v>63</v>
      </c>
      <c r="B7" s="5" t="s">
        <v>64</v>
      </c>
      <c r="C7" t="s">
        <v>76</v>
      </c>
      <c r="D7" s="5" t="s">
        <v>77</v>
      </c>
      <c r="E7">
        <v>9129594970.1530113</v>
      </c>
      <c r="F7">
        <v>8936079117.7313557</v>
      </c>
      <c r="G7">
        <v>17311512432.450966</v>
      </c>
      <c r="H7">
        <v>20342128111.975285</v>
      </c>
      <c r="I7">
        <v>26997977896.592377</v>
      </c>
      <c r="J7">
        <v>41396636383.372498</v>
      </c>
      <c r="K7">
        <v>58653659979.710968</v>
      </c>
      <c r="L7">
        <v>73037821926.68129</v>
      </c>
      <c r="M7">
        <v>98790432989.406677</v>
      </c>
      <c r="N7">
        <v>81705175408.389313</v>
      </c>
      <c r="O7">
        <v>95546919754.76326</v>
      </c>
      <c r="P7">
        <v>125551634704.47305</v>
      </c>
      <c r="Q7">
        <v>143572907527.97626</v>
      </c>
      <c r="R7">
        <v>148845200696.79153</v>
      </c>
      <c r="S7">
        <v>153449860496.40161</v>
      </c>
      <c r="T7">
        <v>102543067840.73213</v>
      </c>
      <c r="U7">
        <v>59878249719.327919</v>
      </c>
      <c r="V7">
        <v>84376935689.336578</v>
      </c>
      <c r="W7">
        <v>89512794227.495026</v>
      </c>
      <c r="X7">
        <v>80734428592.536835</v>
      </c>
      <c r="Y7">
        <v>58852456453.876854</v>
      </c>
      <c r="Z7">
        <v>79559543805.296295</v>
      </c>
      <c r="AA7">
        <v>131212208930.3441</v>
      </c>
      <c r="AB7">
        <v>107167747140.12743</v>
      </c>
    </row>
    <row r="8" spans="1:28" x14ac:dyDescent="0.3">
      <c r="A8" t="s">
        <v>63</v>
      </c>
      <c r="B8" s="5" t="s">
        <v>64</v>
      </c>
      <c r="C8" t="s">
        <v>78</v>
      </c>
      <c r="D8" s="5" t="s">
        <v>79</v>
      </c>
      <c r="E8">
        <v>901003703.70370364</v>
      </c>
      <c r="F8">
        <v>877774074.07407403</v>
      </c>
      <c r="G8">
        <v>898092592.59259248</v>
      </c>
      <c r="H8">
        <v>948099999.99999988</v>
      </c>
      <c r="I8">
        <v>1026329629.6296296</v>
      </c>
      <c r="J8">
        <v>1143896296.2962961</v>
      </c>
      <c r="K8">
        <v>1303674074.074074</v>
      </c>
      <c r="L8">
        <v>1487381481.4814813</v>
      </c>
      <c r="M8">
        <v>1557640740.7407405</v>
      </c>
      <c r="N8">
        <v>1386518518.5185184</v>
      </c>
      <c r="O8">
        <v>1298348148.1481481</v>
      </c>
      <c r="P8">
        <v>1287359259.2592592</v>
      </c>
      <c r="Q8">
        <v>1364729629.6296296</v>
      </c>
      <c r="R8">
        <v>1325496296.2962961</v>
      </c>
      <c r="S8">
        <v>1378707407.4074073</v>
      </c>
      <c r="T8">
        <v>1437485185.1851852</v>
      </c>
      <c r="U8">
        <v>1489603703.7037036</v>
      </c>
      <c r="V8">
        <v>1534855555.5555553</v>
      </c>
      <c r="W8">
        <v>1661529629.6296296</v>
      </c>
      <c r="X8">
        <v>1726448148.1481481</v>
      </c>
      <c r="Y8">
        <v>1411637037.0370369</v>
      </c>
      <c r="Z8">
        <v>1602125925.9259257</v>
      </c>
      <c r="AA8">
        <v>1866566666.6666665</v>
      </c>
      <c r="AB8">
        <v>2005785185.185185</v>
      </c>
    </row>
    <row r="9" spans="1:28" x14ac:dyDescent="0.3">
      <c r="A9" t="s">
        <v>63</v>
      </c>
      <c r="B9" s="5" t="s">
        <v>64</v>
      </c>
      <c r="C9" t="s">
        <v>80</v>
      </c>
      <c r="D9" s="5" t="s">
        <v>81</v>
      </c>
      <c r="E9">
        <v>284203750000</v>
      </c>
      <c r="F9">
        <v>268696750000</v>
      </c>
      <c r="G9">
        <v>97724004251.860199</v>
      </c>
      <c r="H9">
        <v>127586973492.17664</v>
      </c>
      <c r="I9">
        <v>164657930452.78662</v>
      </c>
      <c r="J9">
        <v>198737095012.28165</v>
      </c>
      <c r="K9">
        <v>232557260817.30771</v>
      </c>
      <c r="L9">
        <v>287530508430.56799</v>
      </c>
      <c r="M9">
        <v>361558037110.41925</v>
      </c>
      <c r="N9">
        <v>332976484577.6189</v>
      </c>
      <c r="O9">
        <v>423627422092.48969</v>
      </c>
      <c r="P9">
        <v>530158122010.44244</v>
      </c>
      <c r="Q9">
        <v>545982375701.12799</v>
      </c>
      <c r="R9">
        <v>552025140252.24634</v>
      </c>
      <c r="S9">
        <v>526319673731.63831</v>
      </c>
      <c r="T9">
        <v>594749285413.2124</v>
      </c>
      <c r="U9">
        <v>557532320662.95459</v>
      </c>
      <c r="V9">
        <v>643628393281.36401</v>
      </c>
      <c r="W9">
        <v>524819892360.17578</v>
      </c>
      <c r="X9">
        <v>447754683615.22455</v>
      </c>
      <c r="Y9">
        <v>385740508436.96521</v>
      </c>
      <c r="Z9">
        <v>486564085480.03552</v>
      </c>
      <c r="AA9">
        <v>633993756301.07983</v>
      </c>
      <c r="AB9">
        <v>649461687959.17444</v>
      </c>
    </row>
    <row r="10" spans="1:28" x14ac:dyDescent="0.3">
      <c r="A10" t="s">
        <v>63</v>
      </c>
      <c r="B10" s="5" t="s">
        <v>64</v>
      </c>
      <c r="C10" t="s">
        <v>82</v>
      </c>
      <c r="D10" s="5" t="s">
        <v>83</v>
      </c>
      <c r="E10">
        <v>1911563668.8500648</v>
      </c>
      <c r="F10">
        <v>2118467913.3787341</v>
      </c>
      <c r="G10">
        <v>2376335048.399756</v>
      </c>
      <c r="H10">
        <v>2807061008.6908445</v>
      </c>
      <c r="I10">
        <v>3576615240.4161587</v>
      </c>
      <c r="J10">
        <v>4900469511.1019125</v>
      </c>
      <c r="K10">
        <v>6384452066.5146027</v>
      </c>
      <c r="L10">
        <v>9206301269.7916355</v>
      </c>
      <c r="M10">
        <v>11662040713.875309</v>
      </c>
      <c r="N10">
        <v>8647937081.256197</v>
      </c>
      <c r="O10">
        <v>9260285755.6242371</v>
      </c>
      <c r="P10">
        <v>10142111824.583546</v>
      </c>
      <c r="Q10">
        <v>10619320682.947443</v>
      </c>
      <c r="R10">
        <v>11121464437.041531</v>
      </c>
      <c r="S10">
        <v>11609513246.795767</v>
      </c>
      <c r="T10">
        <v>10553337518.414</v>
      </c>
      <c r="U10">
        <v>10546136235.521862</v>
      </c>
      <c r="V10">
        <v>11527458709.015797</v>
      </c>
      <c r="W10">
        <v>12457940694.739531</v>
      </c>
      <c r="X10">
        <v>13619290539.211607</v>
      </c>
      <c r="Y10">
        <v>12641698583.215239</v>
      </c>
      <c r="Z10">
        <v>13878908628.937809</v>
      </c>
      <c r="AA10">
        <v>19513506553.125072</v>
      </c>
      <c r="AB10">
        <v>24185982215.654301</v>
      </c>
    </row>
    <row r="11" spans="1:28" x14ac:dyDescent="0.3">
      <c r="A11" t="s">
        <v>63</v>
      </c>
      <c r="B11" s="5" t="s">
        <v>64</v>
      </c>
      <c r="C11" t="s">
        <v>84</v>
      </c>
      <c r="D11" s="5" t="s">
        <v>85</v>
      </c>
      <c r="E11">
        <v>1873452513.9664805</v>
      </c>
      <c r="F11">
        <v>1896456983.2402234</v>
      </c>
      <c r="G11">
        <v>1961843575.4189944</v>
      </c>
      <c r="H11">
        <v>2044111731.8435755</v>
      </c>
      <c r="I11">
        <v>2254830726.2569833</v>
      </c>
      <c r="J11">
        <v>2360017318.4357538</v>
      </c>
      <c r="K11">
        <v>2469782681.5642457</v>
      </c>
      <c r="L11">
        <v>2677641340.7821231</v>
      </c>
      <c r="M11">
        <v>2843024581.0055866</v>
      </c>
      <c r="N11">
        <v>2553793296.0893855</v>
      </c>
      <c r="O11">
        <v>2453597206.7039104</v>
      </c>
      <c r="P11">
        <v>2637859217.8770947</v>
      </c>
      <c r="Q11">
        <v>2615208379.888268</v>
      </c>
      <c r="R11">
        <v>2727849162.0111732</v>
      </c>
      <c r="S11">
        <v>2790849720.6703911</v>
      </c>
      <c r="T11">
        <v>2962906703.9106145</v>
      </c>
      <c r="U11">
        <v>2983637430.1675978</v>
      </c>
      <c r="V11">
        <v>3092427932.9608936</v>
      </c>
      <c r="W11">
        <v>3276187709.4972067</v>
      </c>
      <c r="X11">
        <v>3346623191.459877</v>
      </c>
      <c r="Y11">
        <v>2471419181.7195697</v>
      </c>
      <c r="Z11">
        <v>2880902798.9228768</v>
      </c>
      <c r="AA11">
        <v>3324034443.2658105</v>
      </c>
      <c r="AB11">
        <v>3834729616.1202679</v>
      </c>
    </row>
    <row r="12" spans="1:28" x14ac:dyDescent="0.3">
      <c r="A12" t="s">
        <v>63</v>
      </c>
      <c r="B12" s="5" t="s">
        <v>64</v>
      </c>
      <c r="C12" t="s">
        <v>5</v>
      </c>
      <c r="D12" s="5" t="s">
        <v>86</v>
      </c>
      <c r="E12">
        <v>416901962163.47925</v>
      </c>
      <c r="F12">
        <v>380360222861.1969</v>
      </c>
      <c r="G12">
        <v>396436967262.56342</v>
      </c>
      <c r="H12">
        <v>468517181129.87769</v>
      </c>
      <c r="I12">
        <v>615643050220.51501</v>
      </c>
      <c r="J12">
        <v>696811489612.8158</v>
      </c>
      <c r="K12">
        <v>749708370332.98938</v>
      </c>
      <c r="L12">
        <v>856603595823.19226</v>
      </c>
      <c r="M12">
        <v>1058448244063.7662</v>
      </c>
      <c r="N12">
        <v>931761689770.84314</v>
      </c>
      <c r="O12">
        <v>1152566632022.1255</v>
      </c>
      <c r="P12">
        <v>1402939868653.3967</v>
      </c>
      <c r="Q12">
        <v>1552728401401.5811</v>
      </c>
      <c r="R12">
        <v>1583737461925.3928</v>
      </c>
      <c r="S12">
        <v>1474677007565.6382</v>
      </c>
      <c r="T12">
        <v>1356805839935.9031</v>
      </c>
      <c r="U12">
        <v>1211588128417.6074</v>
      </c>
      <c r="V12">
        <v>1330890554614.0916</v>
      </c>
      <c r="W12">
        <v>1433144978761.6658</v>
      </c>
      <c r="X12">
        <v>1398349602956.3535</v>
      </c>
      <c r="Y12">
        <v>1333336461648.0901</v>
      </c>
      <c r="Z12">
        <v>1560617493202.6936</v>
      </c>
      <c r="AA12">
        <v>1695627535475.8005</v>
      </c>
      <c r="AB12">
        <v>1734451264655.6016</v>
      </c>
    </row>
    <row r="13" spans="1:28" x14ac:dyDescent="0.3">
      <c r="A13" t="s">
        <v>63</v>
      </c>
      <c r="B13" s="5" t="s">
        <v>64</v>
      </c>
      <c r="C13" t="s">
        <v>6</v>
      </c>
      <c r="D13" s="5" t="s">
        <v>87</v>
      </c>
      <c r="E13">
        <v>196181599831.28668</v>
      </c>
      <c r="F13">
        <v>196477206829.33017</v>
      </c>
      <c r="G13">
        <v>212837224022.81332</v>
      </c>
      <c r="H13">
        <v>260779834340.09671</v>
      </c>
      <c r="I13">
        <v>299210411454.82281</v>
      </c>
      <c r="J13">
        <v>313952317330.77649</v>
      </c>
      <c r="K13">
        <v>333905979332.48071</v>
      </c>
      <c r="L13">
        <v>386760177589.49652</v>
      </c>
      <c r="M13">
        <v>429234399096.17255</v>
      </c>
      <c r="N13">
        <v>399290118782.42865</v>
      </c>
      <c r="O13">
        <v>389827789217.63409</v>
      </c>
      <c r="P13">
        <v>428954737064.05725</v>
      </c>
      <c r="Q13">
        <v>406750487603.5899</v>
      </c>
      <c r="R13">
        <v>426580502769.4165</v>
      </c>
      <c r="S13">
        <v>438556021078.03412</v>
      </c>
      <c r="T13">
        <v>379546097300.63263</v>
      </c>
      <c r="U13">
        <v>393687359770.27332</v>
      </c>
      <c r="V13">
        <v>414926138132.69128</v>
      </c>
      <c r="W13">
        <v>452582294972.77539</v>
      </c>
      <c r="X13">
        <v>442983642371.84241</v>
      </c>
      <c r="Y13">
        <v>434397601557.69617</v>
      </c>
      <c r="Z13">
        <v>480466363176.80621</v>
      </c>
      <c r="AA13">
        <v>473221298968.21582</v>
      </c>
      <c r="AB13">
        <v>516670509628.87579</v>
      </c>
    </row>
    <row r="14" spans="1:28" x14ac:dyDescent="0.3">
      <c r="A14" t="s">
        <v>63</v>
      </c>
      <c r="B14" s="5" t="s">
        <v>64</v>
      </c>
      <c r="C14" t="s">
        <v>88</v>
      </c>
      <c r="D14" s="5" t="s">
        <v>89</v>
      </c>
      <c r="E14">
        <v>5272615722.9689178</v>
      </c>
      <c r="F14">
        <v>5707616203.720108</v>
      </c>
      <c r="G14">
        <v>6236087738.2828407</v>
      </c>
      <c r="H14">
        <v>7276413079.1145105</v>
      </c>
      <c r="I14">
        <v>8680405740.9412479</v>
      </c>
      <c r="J14">
        <v>13245421880.834042</v>
      </c>
      <c r="K14">
        <v>20981929497.618767</v>
      </c>
      <c r="L14">
        <v>33049419431.224392</v>
      </c>
      <c r="M14">
        <v>48851293785.448257</v>
      </c>
      <c r="N14">
        <v>44292427184.949173</v>
      </c>
      <c r="O14">
        <v>52909294791.926239</v>
      </c>
      <c r="P14">
        <v>65952796427.947311</v>
      </c>
      <c r="Q14">
        <v>69679944504.197189</v>
      </c>
      <c r="R14">
        <v>74160560123.690155</v>
      </c>
      <c r="S14">
        <v>75239785452.102188</v>
      </c>
      <c r="T14">
        <v>53076235354.746017</v>
      </c>
      <c r="U14">
        <v>37866996882.915695</v>
      </c>
      <c r="V14">
        <v>40866627351.981667</v>
      </c>
      <c r="W14">
        <v>47112470051.770073</v>
      </c>
      <c r="X14">
        <v>48174235294.117645</v>
      </c>
      <c r="Y14">
        <v>42693000000</v>
      </c>
      <c r="Z14">
        <v>54825411764.705887</v>
      </c>
      <c r="AA14">
        <v>78807470588.235306</v>
      </c>
      <c r="AB14">
        <v>72428470588.235291</v>
      </c>
    </row>
    <row r="15" spans="1:28" x14ac:dyDescent="0.3">
      <c r="A15" t="s">
        <v>63</v>
      </c>
      <c r="B15" s="5" t="s">
        <v>64</v>
      </c>
      <c r="C15" t="s">
        <v>90</v>
      </c>
      <c r="D15" s="5" t="s">
        <v>91</v>
      </c>
      <c r="E15">
        <v>8076470000</v>
      </c>
      <c r="F15">
        <v>8317830000</v>
      </c>
      <c r="G15">
        <v>8881160000</v>
      </c>
      <c r="H15">
        <v>8870090000</v>
      </c>
      <c r="I15">
        <v>9055290000</v>
      </c>
      <c r="J15">
        <v>9836200000</v>
      </c>
      <c r="K15">
        <v>10167250000</v>
      </c>
      <c r="L15">
        <v>10618340000</v>
      </c>
      <c r="M15">
        <v>10526000000</v>
      </c>
      <c r="N15">
        <v>9981960000</v>
      </c>
      <c r="O15">
        <v>10095760000</v>
      </c>
      <c r="P15">
        <v>10070450000</v>
      </c>
      <c r="Q15">
        <v>10720400000</v>
      </c>
      <c r="R15">
        <v>10475300000</v>
      </c>
      <c r="S15">
        <v>11139100000</v>
      </c>
      <c r="T15">
        <v>11837600000</v>
      </c>
      <c r="U15">
        <v>11880900000</v>
      </c>
      <c r="V15">
        <v>12446900000</v>
      </c>
      <c r="W15">
        <v>12819200000</v>
      </c>
      <c r="X15">
        <v>13277000000</v>
      </c>
      <c r="Y15">
        <v>10363200000</v>
      </c>
      <c r="Z15">
        <v>12037000000</v>
      </c>
      <c r="AA15">
        <v>13896800000</v>
      </c>
      <c r="AB15">
        <v>15271300000</v>
      </c>
    </row>
    <row r="16" spans="1:28" x14ac:dyDescent="0.3">
      <c r="A16" t="s">
        <v>63</v>
      </c>
      <c r="B16" s="5" t="s">
        <v>64</v>
      </c>
      <c r="C16" t="s">
        <v>92</v>
      </c>
      <c r="D16" s="5" t="s">
        <v>93</v>
      </c>
      <c r="E16">
        <v>9062898936.1702118</v>
      </c>
      <c r="F16">
        <v>8976196808.5106392</v>
      </c>
      <c r="G16">
        <v>9593510638.2978725</v>
      </c>
      <c r="H16">
        <v>11074813829.787233</v>
      </c>
      <c r="I16">
        <v>13150159574.468084</v>
      </c>
      <c r="J16">
        <v>15968723404.25532</v>
      </c>
      <c r="K16">
        <v>18504760638.297871</v>
      </c>
      <c r="L16">
        <v>21730000000</v>
      </c>
      <c r="M16">
        <v>25710904255.319149</v>
      </c>
      <c r="N16">
        <v>22938218085.106384</v>
      </c>
      <c r="O16">
        <v>26805984042.553192</v>
      </c>
      <c r="P16">
        <v>29914680851.063831</v>
      </c>
      <c r="Q16">
        <v>31963404255.319149</v>
      </c>
      <c r="R16">
        <v>33823324468.085106</v>
      </c>
      <c r="S16">
        <v>34772526595.744682</v>
      </c>
      <c r="T16">
        <v>32523297872.340424</v>
      </c>
      <c r="U16">
        <v>33884680851.063831</v>
      </c>
      <c r="V16">
        <v>37204813829.787231</v>
      </c>
      <c r="W16">
        <v>39567978723.404259</v>
      </c>
      <c r="X16">
        <v>40446808510.638298</v>
      </c>
      <c r="Y16">
        <v>35837632978.723404</v>
      </c>
      <c r="Z16">
        <v>40840212765.957443</v>
      </c>
      <c r="AA16">
        <v>46458191489.361702</v>
      </c>
      <c r="AB16">
        <v>46192260638.297874</v>
      </c>
    </row>
    <row r="17" spans="1:28" x14ac:dyDescent="0.3">
      <c r="A17" t="s">
        <v>63</v>
      </c>
      <c r="B17" s="5" t="s">
        <v>64</v>
      </c>
      <c r="C17" t="s">
        <v>94</v>
      </c>
      <c r="D17" s="5" t="s">
        <v>95</v>
      </c>
      <c r="E17">
        <v>53369787318.624527</v>
      </c>
      <c r="F17">
        <v>53991289844.329132</v>
      </c>
      <c r="G17">
        <v>54724081490.510185</v>
      </c>
      <c r="H17">
        <v>60158929188.255615</v>
      </c>
      <c r="I17">
        <v>65108544250.042473</v>
      </c>
      <c r="J17">
        <v>69476001239.419006</v>
      </c>
      <c r="K17">
        <v>71795736172.156052</v>
      </c>
      <c r="L17">
        <v>79611644974.557068</v>
      </c>
      <c r="M17">
        <v>91636997370.977158</v>
      </c>
      <c r="N17">
        <v>102475158190.99796</v>
      </c>
      <c r="O17">
        <v>115275540051.26195</v>
      </c>
      <c r="P17">
        <v>128607482310.35696</v>
      </c>
      <c r="Q17">
        <v>133310747603.48254</v>
      </c>
      <c r="R17">
        <v>149998957434.18637</v>
      </c>
      <c r="S17">
        <v>172886611653.7858</v>
      </c>
      <c r="T17">
        <v>195146608978.1311</v>
      </c>
      <c r="U17">
        <v>265224515675.03375</v>
      </c>
      <c r="V17">
        <v>293732446624.59583</v>
      </c>
      <c r="W17">
        <v>321362752441.78033</v>
      </c>
      <c r="X17">
        <v>351231654603.69226</v>
      </c>
      <c r="Y17">
        <v>373979442362.1933</v>
      </c>
      <c r="Z17">
        <v>416271647911.01416</v>
      </c>
      <c r="AA17">
        <v>460131689083.0827</v>
      </c>
      <c r="AB17">
        <v>437415333018.29095</v>
      </c>
    </row>
    <row r="18" spans="1:28" x14ac:dyDescent="0.3">
      <c r="A18" t="s">
        <v>63</v>
      </c>
      <c r="B18" s="5" t="s">
        <v>64</v>
      </c>
      <c r="C18" t="s">
        <v>96</v>
      </c>
      <c r="D18" s="5" t="s">
        <v>97</v>
      </c>
      <c r="E18">
        <v>3059500000</v>
      </c>
      <c r="F18">
        <v>3054500000</v>
      </c>
      <c r="G18">
        <v>3106500000</v>
      </c>
      <c r="H18">
        <v>3209500000</v>
      </c>
      <c r="I18">
        <v>3444500000</v>
      </c>
      <c r="J18">
        <v>3819500000</v>
      </c>
      <c r="K18">
        <v>4217323400</v>
      </c>
      <c r="L18">
        <v>4675767950</v>
      </c>
      <c r="M18">
        <v>4790410400</v>
      </c>
      <c r="N18">
        <v>4466809600</v>
      </c>
      <c r="O18">
        <v>5672900000</v>
      </c>
      <c r="P18">
        <v>5663100000</v>
      </c>
      <c r="Q18">
        <v>5761450000</v>
      </c>
      <c r="R18">
        <v>5667200000</v>
      </c>
      <c r="S18">
        <v>5620600000</v>
      </c>
      <c r="T18">
        <v>5698150000</v>
      </c>
      <c r="U18">
        <v>5674600000</v>
      </c>
      <c r="V18">
        <v>5683150000</v>
      </c>
      <c r="W18">
        <v>6001950000</v>
      </c>
      <c r="X18">
        <v>6161850000</v>
      </c>
      <c r="Y18">
        <v>5407050000</v>
      </c>
      <c r="Z18">
        <v>5947550000</v>
      </c>
      <c r="AA18">
        <v>6884900000</v>
      </c>
      <c r="AB18">
        <v>7223250000</v>
      </c>
    </row>
    <row r="19" spans="1:28" x14ac:dyDescent="0.3">
      <c r="A19" t="s">
        <v>63</v>
      </c>
      <c r="B19" s="5" t="s">
        <v>64</v>
      </c>
      <c r="C19" t="s">
        <v>98</v>
      </c>
      <c r="D19" s="5" t="s">
        <v>99</v>
      </c>
      <c r="E19">
        <v>12736856827.984661</v>
      </c>
      <c r="F19">
        <v>12354820143.884892</v>
      </c>
      <c r="G19">
        <v>14594900944.765818</v>
      </c>
      <c r="H19">
        <v>17825444724.487755</v>
      </c>
      <c r="I19">
        <v>23141566292.94622</v>
      </c>
      <c r="J19">
        <v>30210091836.829449</v>
      </c>
      <c r="K19">
        <v>36961894281.344421</v>
      </c>
      <c r="L19">
        <v>45275711995.824951</v>
      </c>
      <c r="M19">
        <v>60752106347.126007</v>
      </c>
      <c r="N19">
        <v>50873167326.04142</v>
      </c>
      <c r="O19">
        <v>57231904542.875473</v>
      </c>
      <c r="P19">
        <v>61762382327.931931</v>
      </c>
      <c r="Q19">
        <v>65685890438.892151</v>
      </c>
      <c r="R19">
        <v>75527558966.447266</v>
      </c>
      <c r="S19">
        <v>78813069120.998428</v>
      </c>
      <c r="T19">
        <v>56454769844.763176</v>
      </c>
      <c r="U19">
        <v>47723545321.258987</v>
      </c>
      <c r="V19">
        <v>54725405751.155853</v>
      </c>
      <c r="W19">
        <v>60031026576.260002</v>
      </c>
      <c r="X19">
        <v>64410170653.456886</v>
      </c>
      <c r="Y19">
        <v>61371673344.742424</v>
      </c>
      <c r="Z19">
        <v>69673747131.869965</v>
      </c>
      <c r="AA19">
        <v>73775179924.603027</v>
      </c>
      <c r="AB19">
        <v>72478760370.425781</v>
      </c>
    </row>
    <row r="20" spans="1:28" x14ac:dyDescent="0.3">
      <c r="A20" t="s">
        <v>63</v>
      </c>
      <c r="B20" s="5" t="s">
        <v>64</v>
      </c>
      <c r="C20" t="s">
        <v>7</v>
      </c>
      <c r="D20" s="5" t="s">
        <v>100</v>
      </c>
      <c r="E20">
        <v>236792460312.4711</v>
      </c>
      <c r="F20">
        <v>236746141604.37039</v>
      </c>
      <c r="G20">
        <v>258383599375.17697</v>
      </c>
      <c r="H20">
        <v>318082528506.58759</v>
      </c>
      <c r="I20">
        <v>369214712443.20557</v>
      </c>
      <c r="J20">
        <v>385714762230.03876</v>
      </c>
      <c r="K20">
        <v>408259840868.82294</v>
      </c>
      <c r="L20">
        <v>470922156309.45251</v>
      </c>
      <c r="M20">
        <v>517328087920.078</v>
      </c>
      <c r="N20">
        <v>485014525992.46063</v>
      </c>
      <c r="O20">
        <v>481556503720.00092</v>
      </c>
      <c r="P20">
        <v>527196649048.63916</v>
      </c>
      <c r="Q20">
        <v>498414364944.96106</v>
      </c>
      <c r="R20">
        <v>524097026598.55048</v>
      </c>
      <c r="S20">
        <v>537987419164.35107</v>
      </c>
      <c r="T20">
        <v>461044767544.53101</v>
      </c>
      <c r="U20">
        <v>474271566739.72876</v>
      </c>
      <c r="V20">
        <v>500908767351.53027</v>
      </c>
      <c r="W20">
        <v>542638913427.9212</v>
      </c>
      <c r="X20">
        <v>536726344405.48932</v>
      </c>
      <c r="Y20">
        <v>529694473501.79132</v>
      </c>
      <c r="Z20">
        <v>598522422241.85083</v>
      </c>
      <c r="AA20">
        <v>591085783326.26685</v>
      </c>
      <c r="AB20">
        <v>651330595110.01147</v>
      </c>
    </row>
    <row r="21" spans="1:28" x14ac:dyDescent="0.3">
      <c r="A21" t="s">
        <v>63</v>
      </c>
      <c r="B21" s="5" t="s">
        <v>64</v>
      </c>
      <c r="C21" t="s">
        <v>101</v>
      </c>
      <c r="D21" s="5" t="s">
        <v>102</v>
      </c>
      <c r="E21">
        <v>1138138100</v>
      </c>
      <c r="F21">
        <v>1172045150</v>
      </c>
      <c r="G21">
        <v>1243912050</v>
      </c>
      <c r="H21">
        <v>1308280250</v>
      </c>
      <c r="I21">
        <v>1400202000</v>
      </c>
      <c r="J21">
        <v>1474298400</v>
      </c>
      <c r="K21">
        <v>1590463100</v>
      </c>
      <c r="L21">
        <v>1706190450</v>
      </c>
      <c r="M21">
        <v>1738453600</v>
      </c>
      <c r="N21">
        <v>1688012750</v>
      </c>
      <c r="O21">
        <v>1748988400</v>
      </c>
      <c r="P21">
        <v>1831576700</v>
      </c>
      <c r="Q21">
        <v>1917083500</v>
      </c>
      <c r="R21">
        <v>2035191450</v>
      </c>
      <c r="S21">
        <v>2138242200.0000002</v>
      </c>
      <c r="T21">
        <v>2193095150</v>
      </c>
      <c r="U21">
        <v>2239604950</v>
      </c>
      <c r="V21">
        <v>2266028250</v>
      </c>
      <c r="W21">
        <v>2285915050</v>
      </c>
      <c r="X21">
        <v>2381187850</v>
      </c>
      <c r="Y21">
        <v>2047284600</v>
      </c>
      <c r="Z21">
        <v>2428606250</v>
      </c>
      <c r="AA21">
        <v>2846604350</v>
      </c>
      <c r="AB21">
        <v>3052362650</v>
      </c>
    </row>
    <row r="22" spans="1:28" x14ac:dyDescent="0.3">
      <c r="A22" t="s">
        <v>63</v>
      </c>
      <c r="B22" s="5" t="s">
        <v>64</v>
      </c>
      <c r="C22" t="s">
        <v>103</v>
      </c>
      <c r="D22" s="5" t="s">
        <v>104</v>
      </c>
      <c r="E22">
        <v>3519991440.4791317</v>
      </c>
      <c r="F22">
        <v>3666222635.1387482</v>
      </c>
      <c r="G22">
        <v>4194342686.2178025</v>
      </c>
      <c r="H22">
        <v>5349258094.4823856</v>
      </c>
      <c r="I22">
        <v>6190270380.4985561</v>
      </c>
      <c r="J22">
        <v>6567654954.3890305</v>
      </c>
      <c r="K22">
        <v>7034111314.8881245</v>
      </c>
      <c r="L22">
        <v>8169048382.8387537</v>
      </c>
      <c r="M22">
        <v>9787734526.2396507</v>
      </c>
      <c r="N22">
        <v>9738626517.0031948</v>
      </c>
      <c r="O22">
        <v>9535345015.7835503</v>
      </c>
      <c r="P22">
        <v>10693321363.657408</v>
      </c>
      <c r="Q22">
        <v>11141358115.899054</v>
      </c>
      <c r="R22">
        <v>12517845123.931498</v>
      </c>
      <c r="S22">
        <v>13284527846.908115</v>
      </c>
      <c r="T22">
        <v>11388160996.773783</v>
      </c>
      <c r="U22">
        <v>11821065853.383789</v>
      </c>
      <c r="V22">
        <v>12701655836.946699</v>
      </c>
      <c r="W22">
        <v>14262408089.926104</v>
      </c>
      <c r="X22">
        <v>14391686313.464123</v>
      </c>
      <c r="Y22">
        <v>15686741883.93395</v>
      </c>
      <c r="Z22">
        <v>17687623530.335533</v>
      </c>
      <c r="AA22">
        <v>17425405090.862</v>
      </c>
      <c r="AB22">
        <v>19673291004.144428</v>
      </c>
    </row>
    <row r="23" spans="1:28" x14ac:dyDescent="0.3">
      <c r="A23" t="s">
        <v>63</v>
      </c>
      <c r="B23" s="5" t="s">
        <v>64</v>
      </c>
      <c r="C23" t="s">
        <v>105</v>
      </c>
      <c r="D23" s="5" t="s">
        <v>106</v>
      </c>
      <c r="E23">
        <v>3480219000</v>
      </c>
      <c r="F23">
        <v>3680483000</v>
      </c>
      <c r="G23">
        <v>3937228000</v>
      </c>
      <c r="H23">
        <v>4186524999.9999995</v>
      </c>
      <c r="I23">
        <v>4484703000</v>
      </c>
      <c r="J23">
        <v>4868136000</v>
      </c>
      <c r="K23">
        <v>6144000000</v>
      </c>
      <c r="L23">
        <v>6767000000</v>
      </c>
      <c r="M23">
        <v>6980000000</v>
      </c>
      <c r="N23">
        <v>6656000000</v>
      </c>
      <c r="O23">
        <v>6634526000</v>
      </c>
      <c r="P23">
        <v>6312691000</v>
      </c>
      <c r="Q23">
        <v>6378188000</v>
      </c>
      <c r="R23">
        <v>6465756000</v>
      </c>
      <c r="S23">
        <v>6413988000</v>
      </c>
      <c r="T23">
        <v>6654541000</v>
      </c>
      <c r="U23">
        <v>6899911000</v>
      </c>
      <c r="V23">
        <v>7142316000</v>
      </c>
      <c r="W23">
        <v>7225977000</v>
      </c>
      <c r="X23">
        <v>7423465000</v>
      </c>
      <c r="Y23">
        <v>6887364000</v>
      </c>
      <c r="Z23">
        <v>7290037000</v>
      </c>
      <c r="AA23">
        <v>7874381000</v>
      </c>
      <c r="AB23">
        <v>8579242000</v>
      </c>
    </row>
    <row r="24" spans="1:28" x14ac:dyDescent="0.3">
      <c r="A24" t="s">
        <v>63</v>
      </c>
      <c r="B24" s="5" t="s">
        <v>64</v>
      </c>
      <c r="C24" t="s">
        <v>107</v>
      </c>
      <c r="D24" s="5" t="s">
        <v>108</v>
      </c>
      <c r="E24">
        <v>460733418.39927608</v>
      </c>
      <c r="F24">
        <v>496110225.71030724</v>
      </c>
      <c r="G24">
        <v>559345263.70830858</v>
      </c>
      <c r="H24">
        <v>651935430.31444502</v>
      </c>
      <c r="I24">
        <v>735348490.42843521</v>
      </c>
      <c r="J24">
        <v>860391000.22165549</v>
      </c>
      <c r="K24">
        <v>942879878.53887856</v>
      </c>
      <c r="L24">
        <v>1255767964.004914</v>
      </c>
      <c r="M24">
        <v>1317517834.5991557</v>
      </c>
      <c r="N24">
        <v>1331343797.7730811</v>
      </c>
      <c r="O24">
        <v>1708880730.2098868</v>
      </c>
      <c r="P24">
        <v>1977728658.6825881</v>
      </c>
      <c r="Q24">
        <v>1973387227.9651904</v>
      </c>
      <c r="R24">
        <v>1943696951.6541095</v>
      </c>
      <c r="S24">
        <v>2089079570.5828495</v>
      </c>
      <c r="T24">
        <v>2187815803.3683281</v>
      </c>
      <c r="U24">
        <v>2357504760.7859197</v>
      </c>
      <c r="V24">
        <v>2591358009.2027578</v>
      </c>
      <c r="W24">
        <v>2583335721.8590403</v>
      </c>
      <c r="X24">
        <v>2735683570.4615521</v>
      </c>
      <c r="Y24">
        <v>2457604333.909266</v>
      </c>
      <c r="Z24">
        <v>2768802960.1120367</v>
      </c>
      <c r="AA24">
        <v>2898227743.7557607</v>
      </c>
      <c r="AB24">
        <v>3012896789.2492785</v>
      </c>
    </row>
    <row r="25" spans="1:28" x14ac:dyDescent="0.3">
      <c r="A25" t="s">
        <v>63</v>
      </c>
      <c r="B25" s="5" t="s">
        <v>64</v>
      </c>
      <c r="C25" t="s">
        <v>109</v>
      </c>
      <c r="D25" s="5" t="s">
        <v>110</v>
      </c>
      <c r="E25">
        <v>8397855484.7690849</v>
      </c>
      <c r="F25">
        <v>8141516928.3948927</v>
      </c>
      <c r="G25">
        <v>7905485146.4435148</v>
      </c>
      <c r="H25">
        <v>8082399639.543047</v>
      </c>
      <c r="I25">
        <v>8773451751.5120964</v>
      </c>
      <c r="J25">
        <v>9549122905.3285236</v>
      </c>
      <c r="K25">
        <v>11451844902.221363</v>
      </c>
      <c r="L25">
        <v>13120108008.347721</v>
      </c>
      <c r="M25">
        <v>16674276285.895582</v>
      </c>
      <c r="N25">
        <v>17339992193.732193</v>
      </c>
      <c r="O25">
        <v>19649723722.103386</v>
      </c>
      <c r="P25">
        <v>23963164696.591965</v>
      </c>
      <c r="Q25">
        <v>27084497481.910275</v>
      </c>
      <c r="R25">
        <v>30659338885.672935</v>
      </c>
      <c r="S25">
        <v>32996188017.366135</v>
      </c>
      <c r="T25">
        <v>33000198248.914616</v>
      </c>
      <c r="U25">
        <v>33941126193.921852</v>
      </c>
      <c r="V25">
        <v>45927439594.790161</v>
      </c>
      <c r="W25">
        <v>48414038842.257599</v>
      </c>
      <c r="X25">
        <v>49056643589.00145</v>
      </c>
      <c r="Y25">
        <v>42313784081.041969</v>
      </c>
      <c r="Z25">
        <v>47877892402.315483</v>
      </c>
      <c r="AA25">
        <v>50959081953.6903</v>
      </c>
      <c r="AB25">
        <v>52340206946.454414</v>
      </c>
    </row>
    <row r="26" spans="1:28" x14ac:dyDescent="0.3">
      <c r="A26" t="s">
        <v>63</v>
      </c>
      <c r="B26" s="5" t="s">
        <v>64</v>
      </c>
      <c r="C26" t="s">
        <v>111</v>
      </c>
      <c r="D26" s="5" t="s">
        <v>112</v>
      </c>
      <c r="E26">
        <v>5567772768.8118849</v>
      </c>
      <c r="F26">
        <v>5800615374.7609415</v>
      </c>
      <c r="G26">
        <v>6728220982.8839798</v>
      </c>
      <c r="H26">
        <v>8498894359.3862886</v>
      </c>
      <c r="I26">
        <v>10156541220.970354</v>
      </c>
      <c r="J26">
        <v>11222796336.542631</v>
      </c>
      <c r="K26">
        <v>12864841905.954311</v>
      </c>
      <c r="L26">
        <v>15778734264.378731</v>
      </c>
      <c r="M26">
        <v>19112796623.117504</v>
      </c>
      <c r="N26">
        <v>17613949091.229362</v>
      </c>
      <c r="O26">
        <v>17176315803.729837</v>
      </c>
      <c r="P26">
        <v>18644233537.109337</v>
      </c>
      <c r="Q26">
        <v>17226735995.690475</v>
      </c>
      <c r="R26">
        <v>18179109209.389217</v>
      </c>
      <c r="S26">
        <v>18558734107.147823</v>
      </c>
      <c r="T26">
        <v>16404348361.092649</v>
      </c>
      <c r="U26">
        <v>17116926553.851254</v>
      </c>
      <c r="V26">
        <v>18326373135.609875</v>
      </c>
      <c r="W26">
        <v>20484058033.114361</v>
      </c>
      <c r="X26">
        <v>20482608984.331627</v>
      </c>
      <c r="Y26">
        <v>20226038369.919102</v>
      </c>
      <c r="Z26">
        <v>23672712121.267097</v>
      </c>
      <c r="AA26">
        <v>24534663636.177841</v>
      </c>
      <c r="AB26">
        <v>27592361498.405655</v>
      </c>
    </row>
    <row r="27" spans="1:28" x14ac:dyDescent="0.3">
      <c r="A27" t="s">
        <v>63</v>
      </c>
      <c r="B27" s="5" t="s">
        <v>64</v>
      </c>
      <c r="C27" t="s">
        <v>113</v>
      </c>
      <c r="D27" s="5" t="s">
        <v>114</v>
      </c>
      <c r="E27">
        <v>5788329609.1575527</v>
      </c>
      <c r="F27">
        <v>5489608299.6644526</v>
      </c>
      <c r="G27">
        <v>5438863982.8869219</v>
      </c>
      <c r="H27">
        <v>7511582173.3772392</v>
      </c>
      <c r="I27">
        <v>8957467706.5354042</v>
      </c>
      <c r="J27">
        <v>9918907108.0970154</v>
      </c>
      <c r="K27">
        <v>9919158482.4108524</v>
      </c>
      <c r="L27">
        <v>10567270655.502705</v>
      </c>
      <c r="M27">
        <v>10730829116.410507</v>
      </c>
      <c r="N27">
        <v>10118459242.318321</v>
      </c>
      <c r="O27">
        <v>12637273429.133932</v>
      </c>
      <c r="P27">
        <v>15110643612.172911</v>
      </c>
      <c r="Q27">
        <v>13907464500.148876</v>
      </c>
      <c r="R27">
        <v>14271738933.204172</v>
      </c>
      <c r="S27">
        <v>15470088500.74136</v>
      </c>
      <c r="T27">
        <v>13530748844.504961</v>
      </c>
      <c r="U27">
        <v>15082637184.04962</v>
      </c>
      <c r="V27">
        <v>16105155856.770824</v>
      </c>
      <c r="W27">
        <v>17031943186.13526</v>
      </c>
      <c r="X27">
        <v>16725908148.548136</v>
      </c>
      <c r="Y27">
        <v>14960251607.813454</v>
      </c>
      <c r="Z27">
        <v>18750182236.221073</v>
      </c>
      <c r="AA27">
        <v>20321150599.152321</v>
      </c>
      <c r="AB27">
        <v>19411266967.104416</v>
      </c>
    </row>
    <row r="28" spans="1:28" x14ac:dyDescent="0.3">
      <c r="A28" t="s">
        <v>63</v>
      </c>
      <c r="B28" s="5" t="s">
        <v>64</v>
      </c>
      <c r="C28" t="s">
        <v>8</v>
      </c>
      <c r="D28" s="5" t="s">
        <v>115</v>
      </c>
      <c r="E28">
        <v>655448188259.35071</v>
      </c>
      <c r="F28">
        <v>559983704094.16992</v>
      </c>
      <c r="G28">
        <v>509795270685.19012</v>
      </c>
      <c r="H28">
        <v>558233724164.71082</v>
      </c>
      <c r="I28">
        <v>669289321944.51221</v>
      </c>
      <c r="J28">
        <v>891633826625.40735</v>
      </c>
      <c r="K28">
        <v>1107626711163.2285</v>
      </c>
      <c r="L28">
        <v>1397114247188.8928</v>
      </c>
      <c r="M28">
        <v>1695855391757.9614</v>
      </c>
      <c r="N28">
        <v>1666996294252.1167</v>
      </c>
      <c r="O28">
        <v>2208838108484.3452</v>
      </c>
      <c r="P28">
        <v>2616156606579.209</v>
      </c>
      <c r="Q28">
        <v>2465228293706.8604</v>
      </c>
      <c r="R28">
        <v>2472819362043.7378</v>
      </c>
      <c r="S28">
        <v>2456043766032.3828</v>
      </c>
      <c r="T28">
        <v>1802211999456.4155</v>
      </c>
      <c r="U28">
        <v>1795693265999.0378</v>
      </c>
      <c r="V28">
        <v>2063514688805.7754</v>
      </c>
      <c r="W28">
        <v>1916933708352.7053</v>
      </c>
      <c r="X28">
        <v>1873288158838.6255</v>
      </c>
      <c r="Y28">
        <v>1476107292151.9543</v>
      </c>
      <c r="Z28">
        <v>1670647464062.9622</v>
      </c>
      <c r="AA28">
        <v>1951923832083.8743</v>
      </c>
      <c r="AB28">
        <v>2191131869706.0227</v>
      </c>
    </row>
    <row r="29" spans="1:28" x14ac:dyDescent="0.3">
      <c r="A29" t="s">
        <v>63</v>
      </c>
      <c r="B29" s="5" t="s">
        <v>64</v>
      </c>
      <c r="C29" t="s">
        <v>116</v>
      </c>
      <c r="D29" s="5" t="s">
        <v>117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73</v>
      </c>
    </row>
    <row r="30" spans="1:28" x14ac:dyDescent="0.3">
      <c r="A30" t="s">
        <v>63</v>
      </c>
      <c r="B30" s="5" t="s">
        <v>64</v>
      </c>
      <c r="C30" t="s">
        <v>118</v>
      </c>
      <c r="D30" s="5" t="s">
        <v>119</v>
      </c>
      <c r="E30">
        <v>6570999087.5674248</v>
      </c>
      <c r="F30">
        <v>6096155767.3814535</v>
      </c>
      <c r="G30">
        <v>6333082875.5693655</v>
      </c>
      <c r="H30">
        <v>7167725261.9271336</v>
      </c>
      <c r="I30">
        <v>8619178773.5145779</v>
      </c>
      <c r="J30">
        <v>10547202620.528637</v>
      </c>
      <c r="K30">
        <v>12644616418.691034</v>
      </c>
      <c r="L30">
        <v>13432029484.40119</v>
      </c>
      <c r="M30">
        <v>15926456515.004934</v>
      </c>
      <c r="N30">
        <v>11912904509.858246</v>
      </c>
      <c r="O30">
        <v>13707121038.438322</v>
      </c>
      <c r="P30">
        <v>18524791062.656956</v>
      </c>
      <c r="Q30">
        <v>19048443340.773243</v>
      </c>
      <c r="R30">
        <v>18094148098.653576</v>
      </c>
      <c r="S30">
        <v>17097797386.03359</v>
      </c>
      <c r="T30">
        <v>12930296870.124685</v>
      </c>
      <c r="U30">
        <v>11400266044.665098</v>
      </c>
      <c r="V30">
        <v>12128168045.124489</v>
      </c>
      <c r="W30">
        <v>13566908391.089458</v>
      </c>
      <c r="X30">
        <v>13469235364.703175</v>
      </c>
      <c r="Y30">
        <v>12005799653.983503</v>
      </c>
      <c r="Z30">
        <v>14006496617.445808</v>
      </c>
      <c r="AA30">
        <v>16681536466.7183</v>
      </c>
      <c r="AB30">
        <v>15095084656.163445</v>
      </c>
    </row>
    <row r="31" spans="1:28" x14ac:dyDescent="0.3">
      <c r="A31" t="s">
        <v>63</v>
      </c>
      <c r="B31" s="5" t="s">
        <v>64</v>
      </c>
      <c r="C31" t="s">
        <v>120</v>
      </c>
      <c r="D31" s="5" t="s">
        <v>121</v>
      </c>
      <c r="E31">
        <v>13245990274.45809</v>
      </c>
      <c r="F31">
        <v>14183446025.738909</v>
      </c>
      <c r="G31">
        <v>16403043849.829679</v>
      </c>
      <c r="H31">
        <v>21144957990.468067</v>
      </c>
      <c r="I31">
        <v>26157743368.871613</v>
      </c>
      <c r="J31">
        <v>29868657858.008186</v>
      </c>
      <c r="K31">
        <v>34380536495.673927</v>
      </c>
      <c r="L31">
        <v>44431257128.861832</v>
      </c>
      <c r="M31">
        <v>54480684188.444237</v>
      </c>
      <c r="N31">
        <v>52023801230.120026</v>
      </c>
      <c r="O31">
        <v>50689051382.436073</v>
      </c>
      <c r="P31">
        <v>57681293006.972122</v>
      </c>
      <c r="Q31">
        <v>54297052002.233833</v>
      </c>
      <c r="R31">
        <v>55819262374.903885</v>
      </c>
      <c r="S31">
        <v>57080897012.107719</v>
      </c>
      <c r="T31">
        <v>50765918159.147583</v>
      </c>
      <c r="U31">
        <v>53929397039.210609</v>
      </c>
      <c r="V31">
        <v>59167647387.606041</v>
      </c>
      <c r="W31">
        <v>66097226262.219063</v>
      </c>
      <c r="X31">
        <v>68507731353.911354</v>
      </c>
      <c r="Y31">
        <v>70486877546.490097</v>
      </c>
      <c r="Z31">
        <v>84374613233.360046</v>
      </c>
      <c r="AA31">
        <v>90506153293.673279</v>
      </c>
      <c r="AB31">
        <v>102199231384.54156</v>
      </c>
    </row>
    <row r="32" spans="1:28" x14ac:dyDescent="0.3">
      <c r="A32" t="s">
        <v>63</v>
      </c>
      <c r="B32" s="5" t="s">
        <v>64</v>
      </c>
      <c r="C32" t="s">
        <v>122</v>
      </c>
      <c r="D32" s="5" t="s">
        <v>123</v>
      </c>
      <c r="E32">
        <v>2968370087.5975938</v>
      </c>
      <c r="F32">
        <v>3190371080.9476838</v>
      </c>
      <c r="G32">
        <v>3622350062.9605265</v>
      </c>
      <c r="H32">
        <v>4740768142.674943</v>
      </c>
      <c r="I32">
        <v>5451688537.6095915</v>
      </c>
      <c r="J32">
        <v>6146353173.3492861</v>
      </c>
      <c r="K32">
        <v>6547419820.3811312</v>
      </c>
      <c r="L32">
        <v>7625722836.7684708</v>
      </c>
      <c r="M32">
        <v>9451435490.1146736</v>
      </c>
      <c r="N32">
        <v>9450696873.3432617</v>
      </c>
      <c r="O32">
        <v>10109619740.699419</v>
      </c>
      <c r="P32">
        <v>12080295977.563232</v>
      </c>
      <c r="Q32">
        <v>12561015156.568285</v>
      </c>
      <c r="R32">
        <v>13444300485.841228</v>
      </c>
      <c r="S32">
        <v>13943016076.743608</v>
      </c>
      <c r="T32">
        <v>11832159315.62978</v>
      </c>
      <c r="U32">
        <v>12833363045.336655</v>
      </c>
      <c r="V32">
        <v>14106955615.344177</v>
      </c>
      <c r="W32">
        <v>15890066221.288244</v>
      </c>
      <c r="X32">
        <v>16032813503.370689</v>
      </c>
      <c r="Y32">
        <v>17725010532.52676</v>
      </c>
      <c r="Z32">
        <v>19697516284.378677</v>
      </c>
      <c r="AA32">
        <v>18622421394.613308</v>
      </c>
      <c r="AB32">
        <v>20112614449.203903</v>
      </c>
    </row>
    <row r="33" spans="1:28" x14ac:dyDescent="0.3">
      <c r="A33" t="s">
        <v>63</v>
      </c>
      <c r="B33" s="5" t="s">
        <v>64</v>
      </c>
      <c r="C33" t="s">
        <v>124</v>
      </c>
      <c r="D33" s="5" t="s">
        <v>125</v>
      </c>
      <c r="E33">
        <v>870486065.88313663</v>
      </c>
      <c r="F33">
        <v>876794723.06858552</v>
      </c>
      <c r="G33">
        <v>825394519.42372775</v>
      </c>
      <c r="H33">
        <v>784654423.62047637</v>
      </c>
      <c r="I33">
        <v>915257323.39609957</v>
      </c>
      <c r="J33">
        <v>1117113079.736455</v>
      </c>
      <c r="K33">
        <v>1273375078.4484448</v>
      </c>
      <c r="L33">
        <v>1356199387.4230778</v>
      </c>
      <c r="M33">
        <v>1611835857.0458813</v>
      </c>
      <c r="N33">
        <v>1775495032.4240046</v>
      </c>
      <c r="O33">
        <v>2032135192.0124843</v>
      </c>
      <c r="P33">
        <v>2235812879.5670915</v>
      </c>
      <c r="Q33">
        <v>2327402362.815743</v>
      </c>
      <c r="R33">
        <v>2451624637.671567</v>
      </c>
      <c r="S33">
        <v>2705826648.2101898</v>
      </c>
      <c r="T33">
        <v>2810532912.4997549</v>
      </c>
      <c r="U33">
        <v>2618093125.1468735</v>
      </c>
      <c r="V33">
        <v>2831362208.3403921</v>
      </c>
      <c r="W33">
        <v>2913411408.4478335</v>
      </c>
      <c r="X33">
        <v>2871555326.3102908</v>
      </c>
      <c r="Y33">
        <v>3227847281.3154368</v>
      </c>
      <c r="Z33">
        <v>3435598072.7935042</v>
      </c>
      <c r="AA33">
        <v>4036192552.8887916</v>
      </c>
      <c r="AB33">
        <v>3430949249.9122114</v>
      </c>
    </row>
    <row r="34" spans="1:28" x14ac:dyDescent="0.3">
      <c r="A34" t="s">
        <v>63</v>
      </c>
      <c r="B34" s="5" t="s">
        <v>64</v>
      </c>
      <c r="C34" t="s">
        <v>126</v>
      </c>
      <c r="D34" s="5" t="s">
        <v>127</v>
      </c>
      <c r="E34">
        <v>539227277.62641084</v>
      </c>
      <c r="F34">
        <v>563090490.37736845</v>
      </c>
      <c r="G34">
        <v>620507387.46617413</v>
      </c>
      <c r="H34">
        <v>813260468.87383366</v>
      </c>
      <c r="I34">
        <v>924940011.83689654</v>
      </c>
      <c r="J34">
        <v>972241676.90766191</v>
      </c>
      <c r="K34">
        <v>1107571457.9061399</v>
      </c>
      <c r="L34">
        <v>1649621738.6368921</v>
      </c>
      <c r="M34">
        <v>1959620648.3157773</v>
      </c>
      <c r="N34">
        <v>1852334575.1752055</v>
      </c>
      <c r="O34">
        <v>1824751467.9295683</v>
      </c>
      <c r="P34">
        <v>2046817987.2010858</v>
      </c>
      <c r="Q34">
        <v>1913081210.4141111</v>
      </c>
      <c r="R34">
        <v>2028910915.1644647</v>
      </c>
      <c r="S34">
        <v>2041930125.4297915</v>
      </c>
      <c r="T34">
        <v>1749857620.3532875</v>
      </c>
      <c r="U34">
        <v>1849789985.9957225</v>
      </c>
      <c r="V34">
        <v>1996741539.9508774</v>
      </c>
      <c r="W34">
        <v>2205099506.9999404</v>
      </c>
      <c r="X34">
        <v>2252177124.3240242</v>
      </c>
      <c r="Y34">
        <v>1821565613.6861308</v>
      </c>
      <c r="Z34">
        <v>2051842618.7053905</v>
      </c>
      <c r="AA34">
        <v>2247003344.3424206</v>
      </c>
      <c r="AB34">
        <v>2504525548.7116361</v>
      </c>
    </row>
    <row r="35" spans="1:28" x14ac:dyDescent="0.3">
      <c r="A35" t="s">
        <v>63</v>
      </c>
      <c r="B35" s="5" t="s">
        <v>64</v>
      </c>
      <c r="C35" t="s">
        <v>128</v>
      </c>
      <c r="D35" s="5" t="s">
        <v>129</v>
      </c>
      <c r="E35">
        <v>3694168979.3201866</v>
      </c>
      <c r="F35">
        <v>4145665969.9286442</v>
      </c>
      <c r="G35">
        <v>4501227626.6275215</v>
      </c>
      <c r="H35">
        <v>5046693484.317668</v>
      </c>
      <c r="I35">
        <v>5883297159.8735151</v>
      </c>
      <c r="J35">
        <v>7066296463.3598042</v>
      </c>
      <c r="K35">
        <v>8350531016.6575289</v>
      </c>
      <c r="L35">
        <v>10127916459.89827</v>
      </c>
      <c r="M35">
        <v>12174303999.081249</v>
      </c>
      <c r="N35">
        <v>12502901169.737713</v>
      </c>
      <c r="O35">
        <v>13808673288.069561</v>
      </c>
      <c r="P35">
        <v>16032622023.826536</v>
      </c>
      <c r="Q35">
        <v>17826536699.801636</v>
      </c>
      <c r="R35">
        <v>19807135252.864857</v>
      </c>
      <c r="S35">
        <v>22041463967.900928</v>
      </c>
      <c r="T35">
        <v>24174170369.073811</v>
      </c>
      <c r="U35">
        <v>26556545153.3573</v>
      </c>
      <c r="V35">
        <v>29355665909.790527</v>
      </c>
      <c r="W35">
        <v>33145892168.895828</v>
      </c>
      <c r="X35">
        <v>36685356407.720619</v>
      </c>
      <c r="Y35">
        <v>34818073901.485085</v>
      </c>
      <c r="Z35">
        <v>36790163687.442055</v>
      </c>
      <c r="AA35">
        <v>39994532959.607384</v>
      </c>
      <c r="AB35">
        <v>42335646895.798386</v>
      </c>
    </row>
    <row r="36" spans="1:28" x14ac:dyDescent="0.3">
      <c r="A36" t="s">
        <v>63</v>
      </c>
      <c r="B36" s="5" t="s">
        <v>64</v>
      </c>
      <c r="C36" t="s">
        <v>130</v>
      </c>
      <c r="D36" s="5" t="s">
        <v>131</v>
      </c>
      <c r="E36">
        <v>10566579294.983051</v>
      </c>
      <c r="F36">
        <v>10953485349.113462</v>
      </c>
      <c r="G36">
        <v>12417251350.488163</v>
      </c>
      <c r="H36">
        <v>15970315034.990343</v>
      </c>
      <c r="I36">
        <v>18826214135.641937</v>
      </c>
      <c r="J36">
        <v>19509852206.934078</v>
      </c>
      <c r="K36">
        <v>20910512974.933037</v>
      </c>
      <c r="L36">
        <v>23928250433.037815</v>
      </c>
      <c r="M36">
        <v>27715142032.912952</v>
      </c>
      <c r="N36">
        <v>27932970317.129013</v>
      </c>
      <c r="O36">
        <v>27507501821.029606</v>
      </c>
      <c r="P36">
        <v>30630910495.217018</v>
      </c>
      <c r="Q36">
        <v>30155062329.282063</v>
      </c>
      <c r="R36">
        <v>33728621180.323067</v>
      </c>
      <c r="S36">
        <v>36386544706.080612</v>
      </c>
      <c r="T36">
        <v>32210233020.456917</v>
      </c>
      <c r="U36">
        <v>33814337044.376472</v>
      </c>
      <c r="V36">
        <v>36098547033.165466</v>
      </c>
      <c r="W36">
        <v>39955552189.794991</v>
      </c>
      <c r="X36">
        <v>39667757527.657784</v>
      </c>
      <c r="Y36">
        <v>40773241177.050507</v>
      </c>
      <c r="Z36">
        <v>45011937346.838387</v>
      </c>
      <c r="AA36">
        <v>44347206072.551331</v>
      </c>
      <c r="AB36">
        <v>48814501547.431274</v>
      </c>
    </row>
    <row r="37" spans="1:28" x14ac:dyDescent="0.3">
      <c r="A37" t="s">
        <v>63</v>
      </c>
      <c r="B37" s="5" t="s">
        <v>64</v>
      </c>
      <c r="C37" t="s">
        <v>9</v>
      </c>
      <c r="D37" s="5" t="s">
        <v>132</v>
      </c>
      <c r="E37">
        <v>744773415931.58704</v>
      </c>
      <c r="F37">
        <v>738981792355.37195</v>
      </c>
      <c r="G37">
        <v>760649334098.00549</v>
      </c>
      <c r="H37">
        <v>895540646634.78699</v>
      </c>
      <c r="I37">
        <v>1026690238278.2476</v>
      </c>
      <c r="J37">
        <v>1173108598778.6763</v>
      </c>
      <c r="K37">
        <v>1319264809590.9731</v>
      </c>
      <c r="L37">
        <v>1468820407783.2603</v>
      </c>
      <c r="M37">
        <v>1552989690721.6497</v>
      </c>
      <c r="N37">
        <v>1374625142157.2915</v>
      </c>
      <c r="O37">
        <v>1617343367486.2585</v>
      </c>
      <c r="P37">
        <v>1793326630174.5186</v>
      </c>
      <c r="Q37">
        <v>1828366481521.5952</v>
      </c>
      <c r="R37">
        <v>1846597421834.9834</v>
      </c>
      <c r="S37">
        <v>1805749878439.9412</v>
      </c>
      <c r="T37">
        <v>1556508816217.1401</v>
      </c>
      <c r="U37">
        <v>1527994741907.425</v>
      </c>
      <c r="V37">
        <v>1649265644244.095</v>
      </c>
      <c r="W37">
        <v>1725329192783.0239</v>
      </c>
      <c r="X37">
        <v>1743725183672.5212</v>
      </c>
      <c r="Y37">
        <v>1655684730000.1936</v>
      </c>
      <c r="Z37">
        <v>2022378748423.2344</v>
      </c>
      <c r="AA37">
        <v>2190411080134.3191</v>
      </c>
      <c r="AB37">
        <v>2173339670064.3279</v>
      </c>
    </row>
    <row r="38" spans="1:28" x14ac:dyDescent="0.3">
      <c r="A38" t="s">
        <v>63</v>
      </c>
      <c r="B38" s="5" t="s">
        <v>64</v>
      </c>
      <c r="C38" t="s">
        <v>133</v>
      </c>
      <c r="D38" s="5" t="s">
        <v>134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>
        <v>4200288282.1015687</v>
      </c>
      <c r="L38">
        <v>4466278030.5916739</v>
      </c>
      <c r="M38">
        <v>4585948969.3322334</v>
      </c>
      <c r="N38">
        <v>4281714618.0323763</v>
      </c>
      <c r="O38">
        <v>4156841163.777627</v>
      </c>
      <c r="P38">
        <v>4186073160.1825447</v>
      </c>
      <c r="Q38">
        <v>4291004485.5680346</v>
      </c>
      <c r="R38">
        <v>4405796081.1598406</v>
      </c>
      <c r="S38">
        <v>4562853582.324625</v>
      </c>
      <c r="T38">
        <v>4708167255.2872686</v>
      </c>
      <c r="U38">
        <v>4909322200.0021238</v>
      </c>
      <c r="V38">
        <v>5166281293.1871529</v>
      </c>
      <c r="W38">
        <v>5530178498.9078274</v>
      </c>
      <c r="X38">
        <v>5941896599.5733261</v>
      </c>
      <c r="Y38">
        <v>5655357984.2421846</v>
      </c>
      <c r="Z38">
        <v>6060813808.1507196</v>
      </c>
      <c r="AA38">
        <v>6660161212.019968</v>
      </c>
      <c r="AB38">
        <v>7241244269.4597216</v>
      </c>
    </row>
    <row r="39" spans="1:28" x14ac:dyDescent="0.3">
      <c r="A39" t="s">
        <v>63</v>
      </c>
      <c r="B39" s="5" t="s">
        <v>64</v>
      </c>
      <c r="C39" t="s">
        <v>135</v>
      </c>
      <c r="D39" s="5" t="s">
        <v>136</v>
      </c>
      <c r="E39">
        <v>916777282.69165862</v>
      </c>
      <c r="F39">
        <v>932648604.75195408</v>
      </c>
      <c r="G39">
        <v>996068144.88488925</v>
      </c>
      <c r="H39">
        <v>1142315522.538636</v>
      </c>
      <c r="I39">
        <v>1272360517.3237343</v>
      </c>
      <c r="J39">
        <v>1337894378.737431</v>
      </c>
      <c r="K39">
        <v>1461859762.3345907</v>
      </c>
      <c r="L39">
        <v>1699811294.9493458</v>
      </c>
      <c r="M39">
        <v>1993407888.4983778</v>
      </c>
      <c r="N39">
        <v>2067381665.2545447</v>
      </c>
      <c r="O39">
        <v>2142591540.4006848</v>
      </c>
      <c r="P39">
        <v>2437982705.1209269</v>
      </c>
      <c r="Q39">
        <v>2510126512.2283134</v>
      </c>
      <c r="R39">
        <v>1691544110.1854331</v>
      </c>
      <c r="S39">
        <v>1894813389.4032519</v>
      </c>
      <c r="T39">
        <v>1695825714.1928205</v>
      </c>
      <c r="U39">
        <v>1825018144.6559532</v>
      </c>
      <c r="V39">
        <v>2072349972.6817954</v>
      </c>
      <c r="W39">
        <v>2220979146.1124053</v>
      </c>
      <c r="X39">
        <v>2221301351.4391818</v>
      </c>
      <c r="Y39">
        <v>2326720900.3804741</v>
      </c>
      <c r="Z39">
        <v>2516498412.4638371</v>
      </c>
      <c r="AA39">
        <v>2382618615.0169392</v>
      </c>
      <c r="AB39">
        <v>2555492085.947247</v>
      </c>
    </row>
    <row r="40" spans="1:28" x14ac:dyDescent="0.3">
      <c r="A40" t="s">
        <v>63</v>
      </c>
      <c r="B40" s="5" t="s">
        <v>64</v>
      </c>
      <c r="C40" t="s">
        <v>137</v>
      </c>
      <c r="D40" s="5" t="s">
        <v>138</v>
      </c>
      <c r="E40">
        <v>1388506771.5875571</v>
      </c>
      <c r="F40">
        <v>1710843377.001189</v>
      </c>
      <c r="G40">
        <v>1997005708.8157554</v>
      </c>
      <c r="H40">
        <v>2742815071.5743995</v>
      </c>
      <c r="I40">
        <v>4422855660.8259201</v>
      </c>
      <c r="J40">
        <v>8655892392.9291935</v>
      </c>
      <c r="K40">
        <v>9709626596.1303101</v>
      </c>
      <c r="L40">
        <v>10865385131.517208</v>
      </c>
      <c r="M40">
        <v>13385593990.337772</v>
      </c>
      <c r="N40">
        <v>12317614053.684097</v>
      </c>
      <c r="O40">
        <v>14058506663.725216</v>
      </c>
      <c r="P40">
        <v>16685349673.995655</v>
      </c>
      <c r="Q40">
        <v>17892228569.886051</v>
      </c>
      <c r="R40">
        <v>17865316886.331543</v>
      </c>
      <c r="S40">
        <v>18144336903.717461</v>
      </c>
      <c r="T40">
        <v>14559599499.50111</v>
      </c>
      <c r="U40">
        <v>13026289835.778894</v>
      </c>
      <c r="V40">
        <v>13349041408.715218</v>
      </c>
      <c r="W40">
        <v>15327000248.870071</v>
      </c>
      <c r="X40">
        <v>14905517742.845362</v>
      </c>
      <c r="Y40">
        <v>14932897821.238722</v>
      </c>
      <c r="Z40">
        <v>16871937697.585442</v>
      </c>
      <c r="AA40">
        <v>17828508289.604942</v>
      </c>
      <c r="AB40">
        <v>18340233748.880486</v>
      </c>
    </row>
    <row r="41" spans="1:28" x14ac:dyDescent="0.3">
      <c r="A41" t="s">
        <v>63</v>
      </c>
      <c r="B41" s="5" t="s">
        <v>64</v>
      </c>
      <c r="C41" t="s">
        <v>139</v>
      </c>
      <c r="D41" s="5" t="s">
        <v>140</v>
      </c>
      <c r="E41">
        <v>6439703434.7102432</v>
      </c>
      <c r="F41">
        <v>6232906290.4851017</v>
      </c>
      <c r="G41">
        <v>6663669064.7482014</v>
      </c>
      <c r="H41">
        <v>7332244897.9591827</v>
      </c>
      <c r="I41">
        <v>8553643354.0827532</v>
      </c>
      <c r="J41">
        <v>8827272727.2727261</v>
      </c>
      <c r="K41">
        <v>9676172953.0818768</v>
      </c>
      <c r="L41">
        <v>11514605842.336935</v>
      </c>
      <c r="M41" t="s">
        <v>73</v>
      </c>
      <c r="N41">
        <v>9100755725.1908398</v>
      </c>
      <c r="O41">
        <v>8902359316.3560638</v>
      </c>
      <c r="P41">
        <v>9648680025.8274975</v>
      </c>
      <c r="Q41">
        <v>9454638123.2357159</v>
      </c>
      <c r="R41">
        <v>9594745810.6715889</v>
      </c>
      <c r="S41">
        <v>10527973277.606833</v>
      </c>
      <c r="T41">
        <v>10109273770.329006</v>
      </c>
      <c r="U41">
        <v>9168857222.325737</v>
      </c>
      <c r="V41">
        <v>9170044517.2026367</v>
      </c>
      <c r="W41">
        <v>10026394043.613642</v>
      </c>
      <c r="X41">
        <v>10031864649.08194</v>
      </c>
      <c r="Y41">
        <v>9439810769.2307682</v>
      </c>
      <c r="Z41">
        <v>11157540109.893888</v>
      </c>
      <c r="AA41">
        <v>11308272505.183027</v>
      </c>
      <c r="AB41">
        <v>12507320838.393167</v>
      </c>
    </row>
    <row r="42" spans="1:28" x14ac:dyDescent="0.3">
      <c r="A42" t="s">
        <v>63</v>
      </c>
      <c r="B42" s="5" t="s">
        <v>64</v>
      </c>
      <c r="C42" t="s">
        <v>10</v>
      </c>
      <c r="D42" s="5" t="s">
        <v>141</v>
      </c>
      <c r="E42">
        <v>78339750721.364029</v>
      </c>
      <c r="F42">
        <v>71574739561.432877</v>
      </c>
      <c r="G42">
        <v>70264045939.277252</v>
      </c>
      <c r="H42">
        <v>76492579644.060532</v>
      </c>
      <c r="I42">
        <v>99075985773.668152</v>
      </c>
      <c r="J42">
        <v>122294145163.19211</v>
      </c>
      <c r="K42">
        <v>153843518170.86438</v>
      </c>
      <c r="L42">
        <v>172491076033.86267</v>
      </c>
      <c r="M42">
        <v>179894594475.40497</v>
      </c>
      <c r="N42">
        <v>171777900623.89206</v>
      </c>
      <c r="O42">
        <v>217051209238.53412</v>
      </c>
      <c r="P42">
        <v>251382573893.86972</v>
      </c>
      <c r="Q42">
        <v>267024782486.85474</v>
      </c>
      <c r="R42">
        <v>277395018842.4165</v>
      </c>
      <c r="S42">
        <v>259560978224.35889</v>
      </c>
      <c r="T42">
        <v>242450355830.88394</v>
      </c>
      <c r="U42">
        <v>249344863928.43762</v>
      </c>
      <c r="V42">
        <v>276154259981.09723</v>
      </c>
      <c r="W42">
        <v>295857562991.70905</v>
      </c>
      <c r="X42">
        <v>278285058719.46613</v>
      </c>
      <c r="Y42">
        <v>254042159309.31055</v>
      </c>
      <c r="Z42">
        <v>315325547162.07153</v>
      </c>
      <c r="AA42">
        <v>301226575540.2417</v>
      </c>
      <c r="AB42">
        <v>335518054097.63696</v>
      </c>
    </row>
    <row r="43" spans="1:28" x14ac:dyDescent="0.3">
      <c r="A43" t="s">
        <v>63</v>
      </c>
      <c r="B43" s="5" t="s">
        <v>64</v>
      </c>
      <c r="C43" t="s">
        <v>11</v>
      </c>
      <c r="D43" s="5" t="s">
        <v>142</v>
      </c>
      <c r="E43">
        <v>1223754919971.0479</v>
      </c>
      <c r="F43">
        <v>1355036590251.5239</v>
      </c>
      <c r="G43">
        <v>1489821682050.541</v>
      </c>
      <c r="H43">
        <v>1683903309843.8486</v>
      </c>
      <c r="I43">
        <v>1984196551300.4358</v>
      </c>
      <c r="J43">
        <v>2317551298052.0522</v>
      </c>
      <c r="K43">
        <v>2791498472804.3286</v>
      </c>
      <c r="L43">
        <v>3604055822571.6304</v>
      </c>
      <c r="M43">
        <v>4667346414521.9473</v>
      </c>
      <c r="N43">
        <v>5189577094997.582</v>
      </c>
      <c r="O43">
        <v>6192564874453.29</v>
      </c>
      <c r="P43">
        <v>7671757207851.2891</v>
      </c>
      <c r="Q43">
        <v>8673664713189.2441</v>
      </c>
      <c r="R43">
        <v>9743124247267.2441</v>
      </c>
      <c r="S43">
        <v>10674533168257.361</v>
      </c>
      <c r="T43">
        <v>11280814787468.914</v>
      </c>
      <c r="U43">
        <v>11456024084961.979</v>
      </c>
      <c r="V43">
        <v>12537559062282.92</v>
      </c>
      <c r="W43">
        <v>14147765772963.76</v>
      </c>
      <c r="X43">
        <v>14560167101283.439</v>
      </c>
      <c r="Y43">
        <v>14996414166715.092</v>
      </c>
      <c r="Z43">
        <v>18201698719563.961</v>
      </c>
      <c r="AA43">
        <v>18316765021690.156</v>
      </c>
      <c r="AB43">
        <v>18270356654533.215</v>
      </c>
    </row>
    <row r="44" spans="1:28" x14ac:dyDescent="0.3">
      <c r="A44" t="s">
        <v>63</v>
      </c>
      <c r="B44" s="5" t="s">
        <v>64</v>
      </c>
      <c r="C44" t="s">
        <v>12</v>
      </c>
      <c r="D44" s="5" t="s">
        <v>143</v>
      </c>
      <c r="E44">
        <v>99875074951.027786</v>
      </c>
      <c r="F44">
        <v>98200641203.389236</v>
      </c>
      <c r="G44">
        <v>97945812802.888168</v>
      </c>
      <c r="H44">
        <v>94644969157.098694</v>
      </c>
      <c r="I44">
        <v>117092416666.24509</v>
      </c>
      <c r="J44">
        <v>145600529605.80283</v>
      </c>
      <c r="K44">
        <v>161792958904.86447</v>
      </c>
      <c r="L44">
        <v>206229540926.31174</v>
      </c>
      <c r="M44">
        <v>242504150472.93127</v>
      </c>
      <c r="N44">
        <v>232468663109.59467</v>
      </c>
      <c r="O44">
        <v>286498534094.96326</v>
      </c>
      <c r="P44">
        <v>334966134804.88702</v>
      </c>
      <c r="Q44">
        <v>370691143018.03918</v>
      </c>
      <c r="R44">
        <v>382093697077.68494</v>
      </c>
      <c r="S44">
        <v>381240864422.40662</v>
      </c>
      <c r="T44">
        <v>293492370193.16608</v>
      </c>
      <c r="U44">
        <v>282720100286.22815</v>
      </c>
      <c r="V44">
        <v>311866875156.87921</v>
      </c>
      <c r="W44">
        <v>334198218098.27594</v>
      </c>
      <c r="X44">
        <v>323031701192.83997</v>
      </c>
      <c r="Y44">
        <v>270348342541.46539</v>
      </c>
      <c r="Z44">
        <v>318524633225.39514</v>
      </c>
      <c r="AA44">
        <v>345632492851.44751</v>
      </c>
      <c r="AB44">
        <v>366291836137.91638</v>
      </c>
    </row>
    <row r="45" spans="1:28" x14ac:dyDescent="0.3">
      <c r="A45" t="s">
        <v>63</v>
      </c>
      <c r="B45" s="5" t="s">
        <v>64</v>
      </c>
      <c r="C45" t="s">
        <v>144</v>
      </c>
      <c r="D45" s="5" t="s">
        <v>145</v>
      </c>
      <c r="E45">
        <v>339504306.29068893</v>
      </c>
      <c r="F45">
        <v>372746486.16679603</v>
      </c>
      <c r="G45">
        <v>427360070.32454443</v>
      </c>
      <c r="H45">
        <v>546830040.54027307</v>
      </c>
      <c r="I45">
        <v>622679660.37136996</v>
      </c>
      <c r="J45">
        <v>655375095.90617597</v>
      </c>
      <c r="K45">
        <v>688498641.51252878</v>
      </c>
      <c r="L45">
        <v>795673152.86707664</v>
      </c>
      <c r="M45">
        <v>915659107.9658227</v>
      </c>
      <c r="N45">
        <v>905341172.70582962</v>
      </c>
      <c r="O45">
        <v>907978730.88784432</v>
      </c>
      <c r="P45">
        <v>1023086273.5333631</v>
      </c>
      <c r="Q45">
        <v>1015843490.8237381</v>
      </c>
      <c r="R45">
        <v>1116224106.8372765</v>
      </c>
      <c r="S45">
        <v>1149587661.0069265</v>
      </c>
      <c r="T45">
        <v>966029600.86222744</v>
      </c>
      <c r="U45">
        <v>1012835493.193246</v>
      </c>
      <c r="V45">
        <v>1077439756.594511</v>
      </c>
      <c r="W45">
        <v>1178530633.2459853</v>
      </c>
      <c r="X45">
        <v>1187915408.8724308</v>
      </c>
      <c r="Y45">
        <v>1218763671.2656293</v>
      </c>
      <c r="Z45">
        <v>1272238390.8586414</v>
      </c>
      <c r="AA45">
        <v>1222485532.3197627</v>
      </c>
      <c r="AB45">
        <v>1326836543.0079701</v>
      </c>
    </row>
    <row r="46" spans="1:28" x14ac:dyDescent="0.3">
      <c r="A46" t="s">
        <v>63</v>
      </c>
      <c r="B46" s="5" t="s">
        <v>64</v>
      </c>
      <c r="C46" t="s">
        <v>146</v>
      </c>
      <c r="D46" s="5" t="s">
        <v>147</v>
      </c>
      <c r="E46">
        <v>19088046305.7971</v>
      </c>
      <c r="F46">
        <v>7438189100.333333</v>
      </c>
      <c r="G46">
        <v>8728038525.1403351</v>
      </c>
      <c r="H46">
        <v>8937567059.8775425</v>
      </c>
      <c r="I46">
        <v>10297483481.223013</v>
      </c>
      <c r="J46">
        <v>12609728573.103159</v>
      </c>
      <c r="K46">
        <v>15484044534.578304</v>
      </c>
      <c r="L46">
        <v>18374807772.542919</v>
      </c>
      <c r="M46">
        <v>22723488723.364056</v>
      </c>
      <c r="N46">
        <v>18607259480.544655</v>
      </c>
      <c r="O46">
        <v>24161641931.033108</v>
      </c>
      <c r="P46">
        <v>26392379641.764961</v>
      </c>
      <c r="Q46">
        <v>30029369928.731796</v>
      </c>
      <c r="R46">
        <v>34891189160.300179</v>
      </c>
      <c r="S46">
        <v>38352980552.866547</v>
      </c>
      <c r="T46">
        <v>40179574490.3032</v>
      </c>
      <c r="U46">
        <v>38600224214.472771</v>
      </c>
      <c r="V46">
        <v>37537521565.530785</v>
      </c>
      <c r="W46">
        <v>46659954092.486237</v>
      </c>
      <c r="X46">
        <v>46845900350.033173</v>
      </c>
      <c r="Y46">
        <v>46691989748.918587</v>
      </c>
      <c r="Z46">
        <v>59067289573.510201</v>
      </c>
      <c r="AA46">
        <v>70422346142.202286</v>
      </c>
      <c r="AB46">
        <v>69843655425.292862</v>
      </c>
    </row>
    <row r="47" spans="1:28" x14ac:dyDescent="0.3">
      <c r="A47" t="s">
        <v>63</v>
      </c>
      <c r="B47" s="5" t="s">
        <v>64</v>
      </c>
      <c r="C47" t="s">
        <v>148</v>
      </c>
      <c r="D47" s="5" t="s">
        <v>149</v>
      </c>
      <c r="E47">
        <v>3227927697.5792117</v>
      </c>
      <c r="F47">
        <v>2796704604.0381231</v>
      </c>
      <c r="G47">
        <v>3034250923.9772649</v>
      </c>
      <c r="H47">
        <v>3503723087.7448316</v>
      </c>
      <c r="I47">
        <v>4656974940.1272087</v>
      </c>
      <c r="J47">
        <v>6650001680.4854355</v>
      </c>
      <c r="K47">
        <v>8072305029.0651426</v>
      </c>
      <c r="L47">
        <v>8782703436.7018833</v>
      </c>
      <c r="M47">
        <v>11649857673.443577</v>
      </c>
      <c r="N47">
        <v>9723299915.2531204</v>
      </c>
      <c r="O47">
        <v>13148396211.595518</v>
      </c>
      <c r="P47">
        <v>15655383576.651531</v>
      </c>
      <c r="Q47">
        <v>17692911296.304386</v>
      </c>
      <c r="R47">
        <v>17958720699.086823</v>
      </c>
      <c r="S47">
        <v>17919321078.028351</v>
      </c>
      <c r="T47">
        <v>12434793867.3568</v>
      </c>
      <c r="U47">
        <v>10931328150.847847</v>
      </c>
      <c r="V47">
        <v>11834473039.364479</v>
      </c>
      <c r="W47">
        <v>14773900288.513496</v>
      </c>
      <c r="X47">
        <v>13976637779.976324</v>
      </c>
      <c r="Y47">
        <v>11468687464.00462</v>
      </c>
      <c r="Z47">
        <v>14825690210.915745</v>
      </c>
      <c r="AA47">
        <v>15817030154.694141</v>
      </c>
      <c r="AB47">
        <v>15321055822.516701</v>
      </c>
    </row>
    <row r="48" spans="1:28" x14ac:dyDescent="0.3">
      <c r="A48" t="s">
        <v>63</v>
      </c>
      <c r="B48" s="5" t="s">
        <v>64</v>
      </c>
      <c r="C48" t="s">
        <v>13</v>
      </c>
      <c r="D48" s="5" t="s">
        <v>150</v>
      </c>
      <c r="E48">
        <v>15013629661.896881</v>
      </c>
      <c r="F48">
        <v>15976174336.972055</v>
      </c>
      <c r="G48">
        <v>16578820687.28809</v>
      </c>
      <c r="H48">
        <v>17271760506.948277</v>
      </c>
      <c r="I48">
        <v>18610594846.208298</v>
      </c>
      <c r="J48">
        <v>20040642476.98167</v>
      </c>
      <c r="K48">
        <v>22715540324.303177</v>
      </c>
      <c r="L48">
        <v>26884700709.314575</v>
      </c>
      <c r="M48">
        <v>30801745700.451355</v>
      </c>
      <c r="N48">
        <v>30745714312.641666</v>
      </c>
      <c r="O48">
        <v>37658616951.803787</v>
      </c>
      <c r="P48">
        <v>42762613698.963562</v>
      </c>
      <c r="Q48">
        <v>47231655431.735451</v>
      </c>
      <c r="R48">
        <v>50949668841.669609</v>
      </c>
      <c r="S48">
        <v>52016408854.265839</v>
      </c>
      <c r="T48">
        <v>56441920820.519424</v>
      </c>
      <c r="U48">
        <v>58847019609.6549</v>
      </c>
      <c r="V48">
        <v>60516044656.520599</v>
      </c>
      <c r="W48">
        <v>62420164991.537445</v>
      </c>
      <c r="X48">
        <v>64417670521.354507</v>
      </c>
      <c r="Y48">
        <v>62395610760.04924</v>
      </c>
      <c r="Z48">
        <v>64960725734.196548</v>
      </c>
      <c r="AA48">
        <v>69243626028.593582</v>
      </c>
      <c r="AB48">
        <v>86497941439.017441</v>
      </c>
    </row>
    <row r="49" spans="1:28" x14ac:dyDescent="0.3">
      <c r="A49" t="s">
        <v>63</v>
      </c>
      <c r="B49" s="5" t="s">
        <v>64</v>
      </c>
      <c r="C49" t="s">
        <v>151</v>
      </c>
      <c r="D49" s="5" t="s">
        <v>152</v>
      </c>
      <c r="E49">
        <v>16577533891.878548</v>
      </c>
      <c r="F49">
        <v>16810537043.840742</v>
      </c>
      <c r="G49">
        <v>18054383320.847363</v>
      </c>
      <c r="H49">
        <v>21251754340.430542</v>
      </c>
      <c r="I49">
        <v>23510575681.368645</v>
      </c>
      <c r="J49">
        <v>24036918703.174747</v>
      </c>
      <c r="K49">
        <v>25281413263.371223</v>
      </c>
      <c r="L49">
        <v>28760090953.30806</v>
      </c>
      <c r="M49">
        <v>34078240293.255936</v>
      </c>
      <c r="N49">
        <v>33886813250.203587</v>
      </c>
      <c r="O49">
        <v>34936307980.063034</v>
      </c>
      <c r="P49">
        <v>36693710801.397644</v>
      </c>
      <c r="Q49">
        <v>36302302877.297745</v>
      </c>
      <c r="R49">
        <v>42760235484.609314</v>
      </c>
      <c r="S49">
        <v>48843005613.709061</v>
      </c>
      <c r="T49">
        <v>45815005169.265106</v>
      </c>
      <c r="U49">
        <v>48407761036.823792</v>
      </c>
      <c r="V49">
        <v>52512343996.689957</v>
      </c>
      <c r="W49">
        <v>58522477786.68885</v>
      </c>
      <c r="X49">
        <v>60382894697.355682</v>
      </c>
      <c r="Y49">
        <v>63027852805.420448</v>
      </c>
      <c r="Z49">
        <v>72794636653.779343</v>
      </c>
      <c r="AA49">
        <v>70922824813.910202</v>
      </c>
      <c r="AB49">
        <v>80780312569.164551</v>
      </c>
    </row>
    <row r="50" spans="1:28" x14ac:dyDescent="0.3">
      <c r="A50" t="s">
        <v>63</v>
      </c>
      <c r="B50" s="5" t="s">
        <v>64</v>
      </c>
      <c r="C50" t="s">
        <v>153</v>
      </c>
      <c r="D50" s="5" t="s">
        <v>154</v>
      </c>
      <c r="E50">
        <v>22134411297.473034</v>
      </c>
      <c r="F50">
        <v>23066883849.646683</v>
      </c>
      <c r="G50">
        <v>26757722428.678143</v>
      </c>
      <c r="H50">
        <v>35245317001.822365</v>
      </c>
      <c r="I50">
        <v>41836292157.333473</v>
      </c>
      <c r="J50">
        <v>45013119281.806038</v>
      </c>
      <c r="K50">
        <v>49583544860.075935</v>
      </c>
      <c r="L50">
        <v>59290621398.156128</v>
      </c>
      <c r="M50">
        <v>68472854617.283081</v>
      </c>
      <c r="N50">
        <v>62315996674.798355</v>
      </c>
      <c r="O50">
        <v>58975205417.343872</v>
      </c>
      <c r="P50">
        <v>62889007657.389915</v>
      </c>
      <c r="Q50">
        <v>57548115904.415985</v>
      </c>
      <c r="R50">
        <v>59846265181.850174</v>
      </c>
      <c r="S50">
        <v>59606934500.995712</v>
      </c>
      <c r="T50">
        <v>50998893384.828926</v>
      </c>
      <c r="U50">
        <v>52650714171.861717</v>
      </c>
      <c r="V50">
        <v>56182782585.90519</v>
      </c>
      <c r="W50">
        <v>61667925219.075508</v>
      </c>
      <c r="X50">
        <v>61466721186.311646</v>
      </c>
      <c r="Y50">
        <v>57959843541.369934</v>
      </c>
      <c r="Z50">
        <v>69002365163.336777</v>
      </c>
      <c r="AA50">
        <v>71196498671.114548</v>
      </c>
      <c r="AB50">
        <v>85624153964.098694</v>
      </c>
    </row>
    <row r="51" spans="1:28" x14ac:dyDescent="0.3">
      <c r="A51" t="s">
        <v>63</v>
      </c>
      <c r="B51" s="5" t="s">
        <v>64</v>
      </c>
      <c r="C51" t="s">
        <v>155</v>
      </c>
      <c r="D51" s="5" t="s">
        <v>156</v>
      </c>
      <c r="E51">
        <v>30565400000</v>
      </c>
      <c r="F51">
        <v>31682400000</v>
      </c>
      <c r="G51">
        <v>33590500000</v>
      </c>
      <c r="H51">
        <v>35901200000</v>
      </c>
      <c r="I51">
        <v>38203000000</v>
      </c>
      <c r="J51">
        <v>42643836100</v>
      </c>
      <c r="K51">
        <v>48835925925.925926</v>
      </c>
      <c r="L51">
        <v>54262870370.370369</v>
      </c>
      <c r="M51">
        <v>56302129629.629623</v>
      </c>
      <c r="N51">
        <v>57481481481.481476</v>
      </c>
      <c r="O51">
        <v>59562962962.962959</v>
      </c>
      <c r="P51">
        <v>68990000000</v>
      </c>
      <c r="Q51">
        <v>73141000000</v>
      </c>
      <c r="R51">
        <v>77148000000</v>
      </c>
      <c r="S51">
        <v>80656100000</v>
      </c>
      <c r="T51">
        <v>87132800000</v>
      </c>
      <c r="U51">
        <v>91370407900</v>
      </c>
      <c r="V51">
        <v>96850649700</v>
      </c>
      <c r="W51">
        <v>100050036100</v>
      </c>
      <c r="X51">
        <v>103427600000</v>
      </c>
      <c r="Y51">
        <v>107352000000</v>
      </c>
      <c r="Z51" t="s">
        <v>73</v>
      </c>
      <c r="AA51" t="s">
        <v>73</v>
      </c>
      <c r="AB51" t="s">
        <v>73</v>
      </c>
    </row>
    <row r="52" spans="1:28" x14ac:dyDescent="0.3">
      <c r="A52" t="s">
        <v>63</v>
      </c>
      <c r="B52" s="5" t="s">
        <v>64</v>
      </c>
      <c r="C52" t="s">
        <v>157</v>
      </c>
      <c r="D52" s="5" t="s">
        <v>158</v>
      </c>
      <c r="E52">
        <v>2120511229.0502794</v>
      </c>
      <c r="F52">
        <v>2143450726.2569833</v>
      </c>
      <c r="G52">
        <v>2160784692.7374301</v>
      </c>
      <c r="H52">
        <v>2202117374.3016758</v>
      </c>
      <c r="I52">
        <v>2237160502.7932959</v>
      </c>
      <c r="J52">
        <v>2344637262.5698323</v>
      </c>
      <c r="K52">
        <v>2457581731.8435755</v>
      </c>
      <c r="L52">
        <v>2593831508.3798881</v>
      </c>
      <c r="M52">
        <v>2833476145.2513967</v>
      </c>
      <c r="N52">
        <v>2869153184.357542</v>
      </c>
      <c r="O52">
        <v>2951342793.2960892</v>
      </c>
      <c r="P52">
        <v>2930092237.2716088</v>
      </c>
      <c r="Q52">
        <v>3012836256.5552292</v>
      </c>
      <c r="R52">
        <v>3033568606.1665082</v>
      </c>
      <c r="S52">
        <v>3059406995.3966646</v>
      </c>
      <c r="T52">
        <v>3058779211.898313</v>
      </c>
      <c r="U52">
        <v>3024690188.0168266</v>
      </c>
      <c r="V52">
        <v>3033433248.1598825</v>
      </c>
      <c r="W52">
        <v>3046364819.5319719</v>
      </c>
      <c r="X52">
        <v>3026124115.7327485</v>
      </c>
      <c r="Y52">
        <v>2534327592.4991398</v>
      </c>
      <c r="Z52">
        <v>2739594359.5907989</v>
      </c>
      <c r="AA52">
        <v>3075180834.7241673</v>
      </c>
      <c r="AB52">
        <v>3281419347.3705306</v>
      </c>
    </row>
    <row r="53" spans="1:28" x14ac:dyDescent="0.3">
      <c r="A53" t="s">
        <v>63</v>
      </c>
      <c r="B53" s="5" t="s">
        <v>64</v>
      </c>
      <c r="C53" t="s">
        <v>159</v>
      </c>
      <c r="D53" s="5" t="s">
        <v>160</v>
      </c>
      <c r="E53">
        <v>9985847313.8548546</v>
      </c>
      <c r="F53">
        <v>10397898907.103825</v>
      </c>
      <c r="G53">
        <v>11420228846.153845</v>
      </c>
      <c r="H53">
        <v>14547329558.323896</v>
      </c>
      <c r="I53">
        <v>17320551250</v>
      </c>
      <c r="J53">
        <v>18433412510.881729</v>
      </c>
      <c r="K53">
        <v>20072754986.827248</v>
      </c>
      <c r="L53">
        <v>23968727073.638103</v>
      </c>
      <c r="M53">
        <v>27844646257.506958</v>
      </c>
      <c r="N53">
        <v>26048179949.174149</v>
      </c>
      <c r="O53">
        <v>25799940077.607452</v>
      </c>
      <c r="P53">
        <v>27641549301.656147</v>
      </c>
      <c r="Q53">
        <v>25047436974.68195</v>
      </c>
      <c r="R53">
        <v>23959712860.83313</v>
      </c>
      <c r="S53">
        <v>23225918259.982361</v>
      </c>
      <c r="T53">
        <v>19909278416.857502</v>
      </c>
      <c r="U53">
        <v>21046462280.597858</v>
      </c>
      <c r="V53">
        <v>22946570628.757599</v>
      </c>
      <c r="W53">
        <v>25754001367.544785</v>
      </c>
      <c r="X53">
        <v>26196667099.53027</v>
      </c>
      <c r="Y53">
        <v>25555093854.296829</v>
      </c>
      <c r="Z53">
        <v>30372642502.48967</v>
      </c>
      <c r="AA53">
        <v>31218038929.091934</v>
      </c>
      <c r="AB53">
        <v>35075423857.099609</v>
      </c>
    </row>
    <row r="54" spans="1:28" x14ac:dyDescent="0.3">
      <c r="A54" t="s">
        <v>63</v>
      </c>
      <c r="B54" s="5" t="s">
        <v>64</v>
      </c>
      <c r="C54" t="s">
        <v>161</v>
      </c>
      <c r="D54" s="5" t="s">
        <v>162</v>
      </c>
      <c r="E54">
        <v>62175642238.084747</v>
      </c>
      <c r="F54">
        <v>68135304463.964119</v>
      </c>
      <c r="G54">
        <v>82607869609.57402</v>
      </c>
      <c r="H54">
        <v>100435924704.88142</v>
      </c>
      <c r="I54">
        <v>120147899983.65746</v>
      </c>
      <c r="J54">
        <v>137264185596.09975</v>
      </c>
      <c r="K54">
        <v>156236258386.58853</v>
      </c>
      <c r="L54">
        <v>190040702286.91663</v>
      </c>
      <c r="M54">
        <v>236506264753.94952</v>
      </c>
      <c r="N54">
        <v>206971882704.71594</v>
      </c>
      <c r="O54">
        <v>211168667286.26968</v>
      </c>
      <c r="P54">
        <v>231429378717.31192</v>
      </c>
      <c r="Q54">
        <v>210363223087.72824</v>
      </c>
      <c r="R54">
        <v>213024360541.11862</v>
      </c>
      <c r="S54">
        <v>210911285077.68277</v>
      </c>
      <c r="T54">
        <v>189107698561.91879</v>
      </c>
      <c r="U54">
        <v>198160659303.93896</v>
      </c>
      <c r="V54">
        <v>221563575696.21729</v>
      </c>
      <c r="W54">
        <v>251992360762.23602</v>
      </c>
      <c r="X54">
        <v>256794209028.76953</v>
      </c>
      <c r="Y54">
        <v>251109660602.53552</v>
      </c>
      <c r="Z54">
        <v>290972714482.31274</v>
      </c>
      <c r="AA54">
        <v>301831228325.55554</v>
      </c>
      <c r="AB54">
        <v>345059295659.91107</v>
      </c>
    </row>
    <row r="55" spans="1:28" x14ac:dyDescent="0.3">
      <c r="A55" t="s">
        <v>63</v>
      </c>
      <c r="B55" s="5" t="s">
        <v>64</v>
      </c>
      <c r="C55" t="s">
        <v>14</v>
      </c>
      <c r="D55" s="5" t="s">
        <v>163</v>
      </c>
      <c r="E55">
        <v>164043817223.58997</v>
      </c>
      <c r="F55">
        <v>164881594415.34097</v>
      </c>
      <c r="G55">
        <v>178788209558.31128</v>
      </c>
      <c r="H55">
        <v>218421193436.25241</v>
      </c>
      <c r="I55">
        <v>251986155630.85242</v>
      </c>
      <c r="J55">
        <v>265150087711.98453</v>
      </c>
      <c r="K55">
        <v>283386151543.68738</v>
      </c>
      <c r="L55">
        <v>320213157595.01813</v>
      </c>
      <c r="M55">
        <v>354979471960.14203</v>
      </c>
      <c r="N55">
        <v>322619152194.59418</v>
      </c>
      <c r="O55">
        <v>322345594075.47015</v>
      </c>
      <c r="P55">
        <v>344315595263.17456</v>
      </c>
      <c r="Q55">
        <v>326792574244.96271</v>
      </c>
      <c r="R55">
        <v>344631016965.12024</v>
      </c>
      <c r="S55">
        <v>352832602064.45154</v>
      </c>
      <c r="T55">
        <v>301758922337.63733</v>
      </c>
      <c r="U55">
        <v>312181849372.23297</v>
      </c>
      <c r="V55">
        <v>331610593961.98785</v>
      </c>
      <c r="W55">
        <v>355293374912.39276</v>
      </c>
      <c r="X55">
        <v>345401473012.61517</v>
      </c>
      <c r="Y55">
        <v>355631021931.62103</v>
      </c>
      <c r="Z55">
        <v>406110162088.05402</v>
      </c>
      <c r="AA55">
        <v>400114306337.0766</v>
      </c>
      <c r="AB55">
        <v>404651706117.55682</v>
      </c>
    </row>
    <row r="56" spans="1:28" x14ac:dyDescent="0.3">
      <c r="A56" t="s">
        <v>63</v>
      </c>
      <c r="B56" s="5" t="s">
        <v>64</v>
      </c>
      <c r="C56" t="s">
        <v>164</v>
      </c>
      <c r="D56" s="5" t="s">
        <v>165</v>
      </c>
      <c r="E56">
        <v>551230861.85650539</v>
      </c>
      <c r="F56">
        <v>572417440.82016194</v>
      </c>
      <c r="G56">
        <v>591122039.60139763</v>
      </c>
      <c r="H56">
        <v>622044665.51504886</v>
      </c>
      <c r="I56">
        <v>666072101.77750516</v>
      </c>
      <c r="J56">
        <v>708633194.72656584</v>
      </c>
      <c r="K56">
        <v>768873684.03283799</v>
      </c>
      <c r="L56">
        <v>847918929.10798383</v>
      </c>
      <c r="M56">
        <v>999105339.26772857</v>
      </c>
      <c r="N56">
        <v>1049110684.724934</v>
      </c>
      <c r="O56">
        <v>1128611700.3618031</v>
      </c>
      <c r="P56">
        <v>1239144501.7752545</v>
      </c>
      <c r="Q56">
        <v>1353632941.5206981</v>
      </c>
      <c r="R56">
        <v>2044440443.1665363</v>
      </c>
      <c r="S56">
        <v>2220637966.2504711</v>
      </c>
      <c r="T56">
        <v>2424391785.4389744</v>
      </c>
      <c r="U56">
        <v>2604955228.7011662</v>
      </c>
      <c r="V56">
        <v>2762581334.2261186</v>
      </c>
      <c r="W56">
        <v>2913464658.0876765</v>
      </c>
      <c r="X56">
        <v>3088851450.3069415</v>
      </c>
      <c r="Y56">
        <v>3144136196.6227965</v>
      </c>
      <c r="Z56">
        <v>3392796953.0893927</v>
      </c>
      <c r="AA56">
        <v>3562814908.7614856</v>
      </c>
      <c r="AB56">
        <v>3898447007.3879843</v>
      </c>
    </row>
    <row r="57" spans="1:28" x14ac:dyDescent="0.3">
      <c r="A57" t="s">
        <v>63</v>
      </c>
      <c r="B57" s="5" t="s">
        <v>64</v>
      </c>
      <c r="C57" t="s">
        <v>166</v>
      </c>
      <c r="D57" s="5" t="s">
        <v>167</v>
      </c>
      <c r="E57">
        <v>333470370.37037033</v>
      </c>
      <c r="F57">
        <v>377462962.96296293</v>
      </c>
      <c r="G57">
        <v>375200000</v>
      </c>
      <c r="H57">
        <v>373318518.51851851</v>
      </c>
      <c r="I57">
        <v>396711111.11111104</v>
      </c>
      <c r="J57">
        <v>391455555.55555558</v>
      </c>
      <c r="K57">
        <v>416674074.07407403</v>
      </c>
      <c r="L57">
        <v>444685185.18518513</v>
      </c>
      <c r="M57">
        <v>480003703.7037037</v>
      </c>
      <c r="N57">
        <v>515618518.51851851</v>
      </c>
      <c r="O57">
        <v>519859259.25925922</v>
      </c>
      <c r="P57">
        <v>532081481.48148143</v>
      </c>
      <c r="Q57">
        <v>520355555.55555552</v>
      </c>
      <c r="R57">
        <v>545325925.92592585</v>
      </c>
      <c r="S57">
        <v>572255555.55555546</v>
      </c>
      <c r="T57">
        <v>583177777.77777779</v>
      </c>
      <c r="U57">
        <v>612711111.11111104</v>
      </c>
      <c r="V57">
        <v>563355555.55555546</v>
      </c>
      <c r="W57">
        <v>628244444.44444442</v>
      </c>
      <c r="X57">
        <v>644259259.25925922</v>
      </c>
      <c r="Y57">
        <v>528944444.44444442</v>
      </c>
      <c r="Z57">
        <v>562911111.11111104</v>
      </c>
      <c r="AA57">
        <v>623062962.96296287</v>
      </c>
      <c r="AB57">
        <v>659311111.11111104</v>
      </c>
    </row>
    <row r="58" spans="1:28" x14ac:dyDescent="0.3">
      <c r="A58" t="s">
        <v>63</v>
      </c>
      <c r="B58" s="5" t="s">
        <v>64</v>
      </c>
      <c r="C58" t="s">
        <v>168</v>
      </c>
      <c r="D58" s="5" t="s">
        <v>169</v>
      </c>
      <c r="E58">
        <v>24305780628.667702</v>
      </c>
      <c r="F58">
        <v>25601823687.57415</v>
      </c>
      <c r="G58">
        <v>27137440786.256207</v>
      </c>
      <c r="H58">
        <v>21403167848.144363</v>
      </c>
      <c r="I58">
        <v>22322387382.494026</v>
      </c>
      <c r="J58">
        <v>35777560683.936577</v>
      </c>
      <c r="K58">
        <v>37879830084.262672</v>
      </c>
      <c r="L58">
        <v>43965458508.505592</v>
      </c>
      <c r="M58">
        <v>48091433554.185959</v>
      </c>
      <c r="N58">
        <v>48223781476.890862</v>
      </c>
      <c r="O58">
        <v>53801053352.500504</v>
      </c>
      <c r="P58">
        <v>57948261615.957016</v>
      </c>
      <c r="Q58">
        <v>60561635555.63829</v>
      </c>
      <c r="R58">
        <v>62555417414.582008</v>
      </c>
      <c r="S58">
        <v>67014329099.554893</v>
      </c>
      <c r="T58">
        <v>70966782572.438599</v>
      </c>
      <c r="U58">
        <v>75552902635.707489</v>
      </c>
      <c r="V58">
        <v>79070274743.165787</v>
      </c>
      <c r="W58">
        <v>84994732049.346069</v>
      </c>
      <c r="X58">
        <v>89146130744.722992</v>
      </c>
      <c r="Y58">
        <v>78546672406.829086</v>
      </c>
      <c r="Z58">
        <v>94850719516.712692</v>
      </c>
      <c r="AA58">
        <v>113478087134.79988</v>
      </c>
      <c r="AB58">
        <v>120456239153.73875</v>
      </c>
    </row>
    <row r="59" spans="1:28" x14ac:dyDescent="0.3">
      <c r="A59" t="s">
        <v>63</v>
      </c>
      <c r="B59" s="5" t="s">
        <v>64</v>
      </c>
      <c r="C59" t="s">
        <v>170</v>
      </c>
      <c r="D59" s="5" t="s">
        <v>171</v>
      </c>
      <c r="E59">
        <v>17539454727.363682</v>
      </c>
      <c r="F59">
        <v>23127055000</v>
      </c>
      <c r="G59">
        <v>27054197000</v>
      </c>
      <c r="H59">
        <v>30965208000</v>
      </c>
      <c r="I59">
        <v>35194947000</v>
      </c>
      <c r="J59">
        <v>40278849000</v>
      </c>
      <c r="K59">
        <v>45690762000</v>
      </c>
      <c r="L59">
        <v>49848725000</v>
      </c>
      <c r="M59">
        <v>61139438000</v>
      </c>
      <c r="N59">
        <v>60094978000</v>
      </c>
      <c r="O59">
        <v>68151329000</v>
      </c>
      <c r="P59">
        <v>78986648000</v>
      </c>
      <c r="Q59">
        <v>87735048000</v>
      </c>
      <c r="R59">
        <v>96570334000</v>
      </c>
      <c r="S59">
        <v>102717794000</v>
      </c>
      <c r="T59">
        <v>97209558000</v>
      </c>
      <c r="U59">
        <v>97671433000</v>
      </c>
      <c r="V59">
        <v>104467486000</v>
      </c>
      <c r="W59">
        <v>107478961000</v>
      </c>
      <c r="X59">
        <v>107595830000</v>
      </c>
      <c r="Y59">
        <v>95865473000</v>
      </c>
      <c r="Z59">
        <v>107179074000</v>
      </c>
      <c r="AA59">
        <v>116133121000</v>
      </c>
      <c r="AB59">
        <v>121147057000</v>
      </c>
    </row>
    <row r="60" spans="1:28" x14ac:dyDescent="0.3">
      <c r="A60" t="s">
        <v>63</v>
      </c>
      <c r="B60" s="5" t="s">
        <v>64</v>
      </c>
      <c r="C60" t="s">
        <v>15</v>
      </c>
      <c r="D60" s="5" t="s">
        <v>172</v>
      </c>
      <c r="E60">
        <v>99838543960.076324</v>
      </c>
      <c r="F60">
        <v>96684636118.598389</v>
      </c>
      <c r="G60">
        <v>85146067415.730331</v>
      </c>
      <c r="H60">
        <v>80288461538.461533</v>
      </c>
      <c r="I60">
        <v>78782467532.467529</v>
      </c>
      <c r="J60">
        <v>89660339660.339661</v>
      </c>
      <c r="K60">
        <v>107426086956.52174</v>
      </c>
      <c r="L60">
        <v>130437828371.27846</v>
      </c>
      <c r="M60">
        <v>162818181818.18182</v>
      </c>
      <c r="N60">
        <v>189147005444.64612</v>
      </c>
      <c r="O60">
        <v>218983666061.70599</v>
      </c>
      <c r="P60">
        <v>235989672977.62479</v>
      </c>
      <c r="Q60">
        <v>279116666666.66669</v>
      </c>
      <c r="R60">
        <v>288434108527.13177</v>
      </c>
      <c r="S60">
        <v>305595408895.26544</v>
      </c>
      <c r="T60">
        <v>329366576819.40698</v>
      </c>
      <c r="U60">
        <v>332441717791.41101</v>
      </c>
      <c r="V60">
        <v>248362771739.13043</v>
      </c>
      <c r="W60">
        <v>262588632526.73044</v>
      </c>
      <c r="X60">
        <v>318678815489.74945</v>
      </c>
      <c r="Y60">
        <v>383817841547.09918</v>
      </c>
      <c r="Z60">
        <v>424671765455.70428</v>
      </c>
      <c r="AA60">
        <v>476747720364.74164</v>
      </c>
      <c r="AB60">
        <v>395926075163.0058</v>
      </c>
    </row>
    <row r="61" spans="1:28" x14ac:dyDescent="0.3">
      <c r="A61" t="s">
        <v>63</v>
      </c>
      <c r="B61" s="5" t="s">
        <v>64</v>
      </c>
      <c r="C61" t="s">
        <v>173</v>
      </c>
      <c r="D61" s="5" t="s">
        <v>174</v>
      </c>
      <c r="E61">
        <v>11784927700</v>
      </c>
      <c r="F61">
        <v>12282533600</v>
      </c>
      <c r="G61">
        <v>12664190300</v>
      </c>
      <c r="H61">
        <v>13243892200</v>
      </c>
      <c r="I61">
        <v>13724810900</v>
      </c>
      <c r="J61">
        <v>14698000000</v>
      </c>
      <c r="K61">
        <v>15999890000</v>
      </c>
      <c r="L61">
        <v>17011750000</v>
      </c>
      <c r="M61">
        <v>17986890000</v>
      </c>
      <c r="N61">
        <v>17601620000</v>
      </c>
      <c r="O61">
        <v>18447920000</v>
      </c>
      <c r="P61">
        <v>20283780000</v>
      </c>
      <c r="Q61">
        <v>21386150000</v>
      </c>
      <c r="R61">
        <v>21990960000</v>
      </c>
      <c r="S61">
        <v>22593470000</v>
      </c>
      <c r="T61">
        <v>23438240000</v>
      </c>
      <c r="U61">
        <v>24191430000</v>
      </c>
      <c r="V61">
        <v>24979190000</v>
      </c>
      <c r="W61">
        <v>26020850000</v>
      </c>
      <c r="X61">
        <v>26881140000</v>
      </c>
      <c r="Y61">
        <v>24921190000</v>
      </c>
      <c r="Z61">
        <v>29043140000</v>
      </c>
      <c r="AA61">
        <v>31870120000</v>
      </c>
      <c r="AB61">
        <v>33853940000.000004</v>
      </c>
    </row>
    <row r="62" spans="1:28" x14ac:dyDescent="0.3">
      <c r="A62" t="s">
        <v>63</v>
      </c>
      <c r="B62" s="5" t="s">
        <v>64</v>
      </c>
      <c r="C62" t="s">
        <v>175</v>
      </c>
      <c r="D62" s="5" t="s">
        <v>176</v>
      </c>
      <c r="E62">
        <v>1045998496.4387157</v>
      </c>
      <c r="F62">
        <v>1461139022.0295386</v>
      </c>
      <c r="G62">
        <v>1806742742.2731116</v>
      </c>
      <c r="H62">
        <v>2484745935.0932889</v>
      </c>
      <c r="I62">
        <v>4410764338.667325</v>
      </c>
      <c r="J62">
        <v>8217369092.6522369</v>
      </c>
      <c r="K62">
        <v>10086528698.86043</v>
      </c>
      <c r="L62">
        <v>13071718758.737305</v>
      </c>
      <c r="M62">
        <v>19749893536.320362</v>
      </c>
      <c r="N62">
        <v>15027795173.218706</v>
      </c>
      <c r="O62">
        <v>16314443436.290295</v>
      </c>
      <c r="P62">
        <v>21357343668.944725</v>
      </c>
      <c r="Q62">
        <v>22388344143.913067</v>
      </c>
      <c r="R62">
        <v>21948834283.785564</v>
      </c>
      <c r="S62">
        <v>21765453081.982601</v>
      </c>
      <c r="T62">
        <v>13185496881.017399</v>
      </c>
      <c r="U62">
        <v>11240808847.887815</v>
      </c>
      <c r="V62">
        <v>12200913878.982721</v>
      </c>
      <c r="W62">
        <v>13097012133.615946</v>
      </c>
      <c r="X62">
        <v>11364133549.747766</v>
      </c>
      <c r="Y62">
        <v>9893816007.7397995</v>
      </c>
      <c r="Z62">
        <v>12215878032.716585</v>
      </c>
      <c r="AA62">
        <v>13687643435.624901</v>
      </c>
      <c r="AB62">
        <v>12337550583.753971</v>
      </c>
    </row>
    <row r="63" spans="1:28" x14ac:dyDescent="0.3">
      <c r="A63" t="s">
        <v>63</v>
      </c>
      <c r="B63" s="5" t="s">
        <v>64</v>
      </c>
      <c r="C63" t="s">
        <v>177</v>
      </c>
      <c r="D63" s="5" t="s">
        <v>178</v>
      </c>
      <c r="E63">
        <v>706370815.58441556</v>
      </c>
      <c r="F63">
        <v>752371688.74318576</v>
      </c>
      <c r="G63">
        <v>729321680.1543237</v>
      </c>
      <c r="H63">
        <v>870248267.55016303</v>
      </c>
      <c r="I63">
        <v>1109054005.4397099</v>
      </c>
      <c r="J63">
        <v>1098424685.6616938</v>
      </c>
      <c r="K63">
        <v>1211161879.6747968</v>
      </c>
      <c r="L63">
        <v>1317974491.0569105</v>
      </c>
      <c r="M63">
        <v>1380188800</v>
      </c>
      <c r="N63">
        <v>1856695551.2195122</v>
      </c>
      <c r="O63">
        <v>1589515447.1544716</v>
      </c>
      <c r="P63">
        <v>2065001626.0162601</v>
      </c>
      <c r="Q63" t="s">
        <v>73</v>
      </c>
      <c r="R63" t="s">
        <v>73</v>
      </c>
      <c r="S63" t="s">
        <v>73</v>
      </c>
      <c r="T63" t="s">
        <v>73</v>
      </c>
      <c r="U63" t="s">
        <v>73</v>
      </c>
      <c r="V63" t="s">
        <v>73</v>
      </c>
      <c r="W63" t="s">
        <v>73</v>
      </c>
      <c r="X63" t="s">
        <v>73</v>
      </c>
      <c r="Y63" t="s">
        <v>73</v>
      </c>
      <c r="Z63" t="s">
        <v>73</v>
      </c>
      <c r="AA63" t="s">
        <v>73</v>
      </c>
      <c r="AB63" t="s">
        <v>73</v>
      </c>
    </row>
    <row r="64" spans="1:28" x14ac:dyDescent="0.3">
      <c r="A64" t="s">
        <v>63</v>
      </c>
      <c r="B64" s="5" t="s">
        <v>64</v>
      </c>
      <c r="C64" t="s">
        <v>16</v>
      </c>
      <c r="D64" s="5" t="s">
        <v>179</v>
      </c>
      <c r="E64">
        <v>5686579747.535244</v>
      </c>
      <c r="F64">
        <v>6250218422.7016382</v>
      </c>
      <c r="G64">
        <v>7370119619.4781952</v>
      </c>
      <c r="H64">
        <v>9876595528.4552841</v>
      </c>
      <c r="I64">
        <v>12148595031.055901</v>
      </c>
      <c r="J64">
        <v>14109491356.796417</v>
      </c>
      <c r="K64">
        <v>17025671810.312382</v>
      </c>
      <c r="L64">
        <v>22450264166.438541</v>
      </c>
      <c r="M64">
        <v>24342935403.544746</v>
      </c>
      <c r="N64">
        <v>19633984440.122257</v>
      </c>
      <c r="O64">
        <v>19524355419.037971</v>
      </c>
      <c r="P64">
        <v>23303915794.756855</v>
      </c>
      <c r="Q64">
        <v>23237406116.398834</v>
      </c>
      <c r="R64">
        <v>25451032780.757328</v>
      </c>
      <c r="S64">
        <v>27055689003.003826</v>
      </c>
      <c r="T64">
        <v>23311847750.939442</v>
      </c>
      <c r="U64">
        <v>24561027787.789555</v>
      </c>
      <c r="V64">
        <v>27469461919.11887</v>
      </c>
      <c r="W64">
        <v>31222632740.724682</v>
      </c>
      <c r="X64">
        <v>31873748770.031322</v>
      </c>
      <c r="Y64">
        <v>31820771493.897366</v>
      </c>
      <c r="Z64">
        <v>37201101170.584671</v>
      </c>
      <c r="AA64">
        <v>38226641740.290031</v>
      </c>
      <c r="AB64">
        <v>41470344395.108574</v>
      </c>
    </row>
    <row r="65" spans="1:28" x14ac:dyDescent="0.3">
      <c r="A65" t="s">
        <v>63</v>
      </c>
      <c r="B65" s="5" t="s">
        <v>64</v>
      </c>
      <c r="C65" t="s">
        <v>180</v>
      </c>
      <c r="D65" s="5" t="s">
        <v>181</v>
      </c>
      <c r="E65">
        <v>1697161557.8945184</v>
      </c>
      <c r="F65">
        <v>1502870485.8812187</v>
      </c>
      <c r="G65">
        <v>1393945030.6510534</v>
      </c>
      <c r="H65">
        <v>2149632433.2770329</v>
      </c>
      <c r="I65">
        <v>2710331785.2498608</v>
      </c>
      <c r="J65">
        <v>3097946371.0631061</v>
      </c>
      <c r="K65">
        <v>3215307900.7476721</v>
      </c>
      <c r="L65">
        <v>3391122887.1747594</v>
      </c>
      <c r="M65">
        <v>3235921170.5095</v>
      </c>
      <c r="N65">
        <v>3525213502.4311767</v>
      </c>
      <c r="O65">
        <v>4360714358.8870821</v>
      </c>
      <c r="P65">
        <v>4722912047.322649</v>
      </c>
      <c r="Q65">
        <v>4747813067.2600594</v>
      </c>
      <c r="R65">
        <v>4463396204.0199451</v>
      </c>
      <c r="S65">
        <v>4285065665.0316753</v>
      </c>
      <c r="T65">
        <v>3908217914.2182436</v>
      </c>
      <c r="U65">
        <v>3722306116.7287154</v>
      </c>
      <c r="V65">
        <v>4462640651.4921904</v>
      </c>
      <c r="W65">
        <v>4643751059.2820292</v>
      </c>
      <c r="X65">
        <v>4617018958.6908579</v>
      </c>
      <c r="Y65">
        <v>4134677809.500958</v>
      </c>
      <c r="Z65">
        <v>4807069277.2011375</v>
      </c>
      <c r="AA65">
        <v>4746660273.5082855</v>
      </c>
      <c r="AB65">
        <v>4621191261.8421392</v>
      </c>
    </row>
    <row r="66" spans="1:28" x14ac:dyDescent="0.3">
      <c r="A66" t="s">
        <v>63</v>
      </c>
      <c r="B66" s="5" t="s">
        <v>64</v>
      </c>
      <c r="C66" t="s">
        <v>17</v>
      </c>
      <c r="D66" s="5" t="s">
        <v>182</v>
      </c>
      <c r="E66">
        <v>8242349617.8638029</v>
      </c>
      <c r="F66">
        <v>8231326016.4749403</v>
      </c>
      <c r="G66">
        <v>7850809498.1680269</v>
      </c>
      <c r="H66">
        <v>8623691300.0407887</v>
      </c>
      <c r="I66">
        <v>10131187261.442078</v>
      </c>
      <c r="J66">
        <v>12401139453.973831</v>
      </c>
      <c r="K66">
        <v>15280861834.602404</v>
      </c>
      <c r="L66">
        <v>19707616772.799637</v>
      </c>
      <c r="M66">
        <v>27066912635.222847</v>
      </c>
      <c r="N66">
        <v>32437389116.038006</v>
      </c>
      <c r="O66">
        <v>29933790334.341789</v>
      </c>
      <c r="P66">
        <v>31952763089.330025</v>
      </c>
      <c r="Q66">
        <v>43310721414.082878</v>
      </c>
      <c r="R66">
        <v>47648276605.012314</v>
      </c>
      <c r="S66">
        <v>55612228233.51786</v>
      </c>
      <c r="T66">
        <v>62103418181.818184</v>
      </c>
      <c r="U66">
        <v>68475871209.606995</v>
      </c>
      <c r="V66">
        <v>76366081766.666672</v>
      </c>
      <c r="W66">
        <v>83337901071.969696</v>
      </c>
      <c r="X66">
        <v>91834517112.627991</v>
      </c>
      <c r="Y66">
        <v>98676811061.403503</v>
      </c>
      <c r="Z66">
        <v>109070960371.8593</v>
      </c>
      <c r="AA66">
        <v>123140304666</v>
      </c>
      <c r="AB66">
        <v>135874093202.49222</v>
      </c>
    </row>
    <row r="67" spans="1:28" x14ac:dyDescent="0.3">
      <c r="A67" t="s">
        <v>63</v>
      </c>
      <c r="B67" s="5" t="s">
        <v>64</v>
      </c>
      <c r="C67" t="s">
        <v>183</v>
      </c>
      <c r="D67" s="5" t="s">
        <v>184</v>
      </c>
      <c r="E67">
        <v>1067109530.6479754</v>
      </c>
      <c r="F67">
        <v>1160268212.0729074</v>
      </c>
      <c r="G67">
        <v>1275093689.2710743</v>
      </c>
      <c r="H67">
        <v>1501941580.8890333</v>
      </c>
      <c r="I67">
        <v>1724770770.8339281</v>
      </c>
      <c r="J67">
        <v>1759739599.2269354</v>
      </c>
      <c r="K67">
        <v>2017680834.8991673</v>
      </c>
      <c r="L67">
        <v>2339015313.2951279</v>
      </c>
      <c r="M67">
        <v>2489873249.6281476</v>
      </c>
      <c r="N67">
        <v>2296065170.0555153</v>
      </c>
      <c r="O67">
        <v>2331796784.3600945</v>
      </c>
      <c r="P67">
        <v>2505740669.2703948</v>
      </c>
      <c r="Q67">
        <v>2427200388.918314</v>
      </c>
      <c r="R67">
        <v>2690110520.9254756</v>
      </c>
      <c r="S67">
        <v>2914012679.272769</v>
      </c>
      <c r="T67">
        <v>2573905971.054594</v>
      </c>
      <c r="U67">
        <v>2813278868.7820849</v>
      </c>
      <c r="V67">
        <v>2980057377.8796659</v>
      </c>
      <c r="W67">
        <v>3188600927.4668827</v>
      </c>
      <c r="X67">
        <v>3266432734.2281899</v>
      </c>
      <c r="Y67">
        <v>3271813311.5830998</v>
      </c>
      <c r="Z67">
        <v>3699551717.1056066</v>
      </c>
      <c r="AA67">
        <v>3615241800.5005755</v>
      </c>
      <c r="AB67">
        <v>3943131022.2290959</v>
      </c>
    </row>
    <row r="68" spans="1:28" x14ac:dyDescent="0.3">
      <c r="A68" t="s">
        <v>63</v>
      </c>
      <c r="B68" s="5" t="s">
        <v>64</v>
      </c>
      <c r="C68" t="s">
        <v>185</v>
      </c>
      <c r="D68" s="5" t="s">
        <v>186</v>
      </c>
      <c r="E68">
        <v>1678219507.8982911</v>
      </c>
      <c r="F68">
        <v>1652462023.4621494</v>
      </c>
      <c r="G68">
        <v>1833279985.367415</v>
      </c>
      <c r="H68">
        <v>2300492465.3227611</v>
      </c>
      <c r="I68">
        <v>2708078476.6301212</v>
      </c>
      <c r="J68">
        <v>2980403844.7209597</v>
      </c>
      <c r="K68">
        <v>3076305452.8650646</v>
      </c>
      <c r="L68">
        <v>3378314599.764019</v>
      </c>
      <c r="M68">
        <v>3523185919.5582609</v>
      </c>
      <c r="N68">
        <v>2870624635.6803193</v>
      </c>
      <c r="O68">
        <v>3140166712.7962389</v>
      </c>
      <c r="P68">
        <v>3779411899.3748341</v>
      </c>
      <c r="Q68">
        <v>3972028104.4732842</v>
      </c>
      <c r="R68">
        <v>4189967998.514236</v>
      </c>
      <c r="S68">
        <v>4857104768.8684368</v>
      </c>
      <c r="T68">
        <v>4682479893.9755821</v>
      </c>
      <c r="U68">
        <v>4930213644.3665333</v>
      </c>
      <c r="V68">
        <v>5353469174.4783792</v>
      </c>
      <c r="W68">
        <v>5581425327.4439726</v>
      </c>
      <c r="X68">
        <v>5344907153.4669847</v>
      </c>
      <c r="Y68">
        <v>4227719873.3864965</v>
      </c>
      <c r="Z68">
        <v>4158873156.1797771</v>
      </c>
      <c r="AA68">
        <v>4977861885.6031618</v>
      </c>
      <c r="AB68">
        <v>5476673518.1378813</v>
      </c>
    </row>
    <row r="69" spans="1:28" x14ac:dyDescent="0.3">
      <c r="A69" t="s">
        <v>63</v>
      </c>
      <c r="B69" s="5" t="s">
        <v>64</v>
      </c>
      <c r="C69" t="s">
        <v>18</v>
      </c>
      <c r="D69" s="5" t="s">
        <v>187</v>
      </c>
      <c r="E69">
        <v>125967821110.5885</v>
      </c>
      <c r="F69">
        <v>129519672868.8978</v>
      </c>
      <c r="G69">
        <v>140360963811.76495</v>
      </c>
      <c r="H69">
        <v>171612867735.68591</v>
      </c>
      <c r="I69">
        <v>197458297639.76886</v>
      </c>
      <c r="J69">
        <v>204859368790.66138</v>
      </c>
      <c r="K69">
        <v>217044068234.11734</v>
      </c>
      <c r="L69">
        <v>256360251537.64789</v>
      </c>
      <c r="M69">
        <v>285698662071.09369</v>
      </c>
      <c r="N69">
        <v>253480783439.45294</v>
      </c>
      <c r="O69">
        <v>249429613683.3338</v>
      </c>
      <c r="P69">
        <v>275126915515.56476</v>
      </c>
      <c r="Q69">
        <v>257443384492.96881</v>
      </c>
      <c r="R69">
        <v>270268036626.27527</v>
      </c>
      <c r="S69">
        <v>273478528954.901</v>
      </c>
      <c r="T69">
        <v>233210733506.24988</v>
      </c>
      <c r="U69">
        <v>238777818792.60757</v>
      </c>
      <c r="V69">
        <v>253846138440.00043</v>
      </c>
      <c r="W69">
        <v>273869255596.07825</v>
      </c>
      <c r="X69">
        <v>267014821129.41135</v>
      </c>
      <c r="Y69">
        <v>270000311606.22644</v>
      </c>
      <c r="Z69">
        <v>294223210496.11932</v>
      </c>
      <c r="AA69">
        <v>280253099309.3396</v>
      </c>
      <c r="AB69">
        <v>295021982462.75031</v>
      </c>
    </row>
    <row r="70" spans="1:28" x14ac:dyDescent="0.3">
      <c r="A70" t="s">
        <v>63</v>
      </c>
      <c r="B70" s="5" t="s">
        <v>64</v>
      </c>
      <c r="C70" t="s">
        <v>19</v>
      </c>
      <c r="D70" s="5" t="s">
        <v>188</v>
      </c>
      <c r="E70">
        <v>1360959069477.4932</v>
      </c>
      <c r="F70">
        <v>1370376677298.8599</v>
      </c>
      <c r="G70">
        <v>1492427756382.4341</v>
      </c>
      <c r="H70">
        <v>1835095983049.0942</v>
      </c>
      <c r="I70">
        <v>2109792297237.0325</v>
      </c>
      <c r="J70">
        <v>2192146403028.1702</v>
      </c>
      <c r="K70">
        <v>2317861544690.8203</v>
      </c>
      <c r="L70">
        <v>2655816911866.5576</v>
      </c>
      <c r="M70">
        <v>2926802941585.8589</v>
      </c>
      <c r="N70">
        <v>2700075882518.9824</v>
      </c>
      <c r="O70">
        <v>2646230027988.3384</v>
      </c>
      <c r="P70">
        <v>2870408553990.2778</v>
      </c>
      <c r="Q70">
        <v>2683007095787.2271</v>
      </c>
      <c r="R70">
        <v>2816077607875.2627</v>
      </c>
      <c r="S70">
        <v>2861236112552.4214</v>
      </c>
      <c r="T70">
        <v>2442483452642.4985</v>
      </c>
      <c r="U70">
        <v>2470407619777.1265</v>
      </c>
      <c r="V70">
        <v>2588868323334.7104</v>
      </c>
      <c r="W70">
        <v>2781576320884.3901</v>
      </c>
      <c r="X70">
        <v>2722793515171.7603</v>
      </c>
      <c r="Y70">
        <v>2647926055110.0464</v>
      </c>
      <c r="Z70">
        <v>2966433692008.0918</v>
      </c>
      <c r="AA70">
        <v>2794788137066.937</v>
      </c>
      <c r="AB70">
        <v>3056250648138.2891</v>
      </c>
    </row>
    <row r="71" spans="1:28" x14ac:dyDescent="0.3">
      <c r="A71" t="s">
        <v>63</v>
      </c>
      <c r="B71" s="5" t="s">
        <v>64</v>
      </c>
      <c r="C71" t="s">
        <v>189</v>
      </c>
      <c r="D71" s="5" t="s">
        <v>190</v>
      </c>
      <c r="E71">
        <v>3599845480.3435864</v>
      </c>
      <c r="F71">
        <v>3573808556.312676</v>
      </c>
      <c r="G71">
        <v>3965405552.5203018</v>
      </c>
      <c r="H71">
        <v>4927780606.7707024</v>
      </c>
      <c r="I71">
        <v>5564109981.9137955</v>
      </c>
      <c r="J71">
        <v>5705052134.542532</v>
      </c>
      <c r="K71">
        <v>5877997979.6226568</v>
      </c>
      <c r="L71">
        <v>6631156405.5963678</v>
      </c>
      <c r="M71">
        <v>7136741421.9590826</v>
      </c>
      <c r="N71">
        <v>6584557973.9374952</v>
      </c>
      <c r="O71">
        <v>6086644798.5598164</v>
      </c>
      <c r="P71">
        <v>6203940036.9198246</v>
      </c>
      <c r="Q71">
        <v>5692858099.0021677</v>
      </c>
      <c r="R71">
        <v>6031827122.6066322</v>
      </c>
      <c r="S71">
        <v>6151996560.8428936</v>
      </c>
      <c r="T71">
        <v>5325846361.8118629</v>
      </c>
      <c r="U71">
        <v>5497036476.8030996</v>
      </c>
      <c r="V71">
        <v>5833352692.7995033</v>
      </c>
      <c r="W71">
        <v>6135116253.3345184</v>
      </c>
      <c r="X71">
        <v>6022276196.13871</v>
      </c>
      <c r="Y71">
        <v>5574821989.3823938</v>
      </c>
      <c r="Z71">
        <v>5994931236.422822</v>
      </c>
      <c r="AA71">
        <v>5622688338.0631676</v>
      </c>
      <c r="AB71">
        <v>6137447782.8706636</v>
      </c>
    </row>
    <row r="72" spans="1:28" x14ac:dyDescent="0.3">
      <c r="A72" t="s">
        <v>63</v>
      </c>
      <c r="B72" s="5" t="s">
        <v>64</v>
      </c>
      <c r="C72" t="s">
        <v>191</v>
      </c>
      <c r="D72" s="5" t="s">
        <v>192</v>
      </c>
      <c r="E72">
        <v>5080483628.5301256</v>
      </c>
      <c r="F72">
        <v>5023265413.2622995</v>
      </c>
      <c r="G72">
        <v>5335451099.8822289</v>
      </c>
      <c r="H72">
        <v>6511903365.4755354</v>
      </c>
      <c r="I72">
        <v>7770219008.2129335</v>
      </c>
      <c r="J72">
        <v>9582783990.8534546</v>
      </c>
      <c r="K72">
        <v>10327598306.457499</v>
      </c>
      <c r="L72">
        <v>12455409587.337097</v>
      </c>
      <c r="M72">
        <v>15571348344.337933</v>
      </c>
      <c r="N72">
        <v>12113699068.251694</v>
      </c>
      <c r="O72">
        <v>14372593020.288502</v>
      </c>
      <c r="P72">
        <v>18210307743.581623</v>
      </c>
      <c r="Q72">
        <v>17170464016.059284</v>
      </c>
      <c r="R72">
        <v>17595744798.339832</v>
      </c>
      <c r="S72">
        <v>18203966895.843349</v>
      </c>
      <c r="T72">
        <v>14383107762.695183</v>
      </c>
      <c r="U72">
        <v>14023890265.366455</v>
      </c>
      <c r="V72">
        <v>14929487485.162275</v>
      </c>
      <c r="W72">
        <v>16867326401.962582</v>
      </c>
      <c r="X72">
        <v>16874405465.391039</v>
      </c>
      <c r="Y72">
        <v>15342236163.986422</v>
      </c>
      <c r="Z72">
        <v>19444935097.239479</v>
      </c>
      <c r="AA72">
        <v>20440655695.180443</v>
      </c>
      <c r="AB72">
        <v>19388372070.977821</v>
      </c>
    </row>
    <row r="73" spans="1:28" x14ac:dyDescent="0.3">
      <c r="A73" t="s">
        <v>63</v>
      </c>
      <c r="B73" s="5" t="s">
        <v>64</v>
      </c>
      <c r="C73" t="s">
        <v>193</v>
      </c>
      <c r="D73" s="5" t="s">
        <v>194</v>
      </c>
      <c r="E73">
        <v>782913871.80965972</v>
      </c>
      <c r="F73">
        <v>687410645.06394339</v>
      </c>
      <c r="G73">
        <v>578235309.32719815</v>
      </c>
      <c r="H73">
        <v>487038685.04549587</v>
      </c>
      <c r="I73">
        <v>961900651.42344093</v>
      </c>
      <c r="J73">
        <v>1027701067.5568765</v>
      </c>
      <c r="K73">
        <v>1054112487.7408298</v>
      </c>
      <c r="L73">
        <v>1279703047.0220978</v>
      </c>
      <c r="M73">
        <v>1561766955.7302403</v>
      </c>
      <c r="N73">
        <v>1450142508.5780816</v>
      </c>
      <c r="O73">
        <v>1543294926.8730059</v>
      </c>
      <c r="P73">
        <v>1409693596.9359355</v>
      </c>
      <c r="Q73">
        <v>1415004738.2662053</v>
      </c>
      <c r="R73">
        <v>1375609453.4374623</v>
      </c>
      <c r="S73">
        <v>1229461721.4086075</v>
      </c>
      <c r="T73">
        <v>1378176608.9320412</v>
      </c>
      <c r="U73">
        <v>1484578885.9713225</v>
      </c>
      <c r="V73">
        <v>1504909462.6952114</v>
      </c>
      <c r="W73">
        <v>1670671327.8165143</v>
      </c>
      <c r="X73">
        <v>1813609692.4999352</v>
      </c>
      <c r="Y73">
        <v>1812170891.1906917</v>
      </c>
      <c r="Z73">
        <v>2014158842.1459632</v>
      </c>
      <c r="AA73">
        <v>2204734527.88096</v>
      </c>
      <c r="AB73">
        <v>2382262184.6827273</v>
      </c>
    </row>
    <row r="74" spans="1:28" x14ac:dyDescent="0.3">
      <c r="A74" t="s">
        <v>63</v>
      </c>
      <c r="B74" s="5" t="s">
        <v>64</v>
      </c>
      <c r="C74" t="s">
        <v>195</v>
      </c>
      <c r="D74" s="5" t="s">
        <v>196</v>
      </c>
      <c r="E74">
        <v>3057475335.1884646</v>
      </c>
      <c r="F74">
        <v>3219462262.0074992</v>
      </c>
      <c r="G74">
        <v>3395766677.6731529</v>
      </c>
      <c r="H74">
        <v>3991377904.1316156</v>
      </c>
      <c r="I74">
        <v>5125365191.9866438</v>
      </c>
      <c r="J74">
        <v>6410912049.871047</v>
      </c>
      <c r="K74">
        <v>7745250733.9506741</v>
      </c>
      <c r="L74">
        <v>10172931088.565523</v>
      </c>
      <c r="M74">
        <v>12795145130.910282</v>
      </c>
      <c r="N74">
        <v>10766920065.825115</v>
      </c>
      <c r="O74">
        <v>12426907967.157818</v>
      </c>
      <c r="P74">
        <v>15475290469.286894</v>
      </c>
      <c r="Q74">
        <v>16894392033.225578</v>
      </c>
      <c r="R74">
        <v>17517660143.685932</v>
      </c>
      <c r="S74">
        <v>17966015109.304302</v>
      </c>
      <c r="T74">
        <v>15223796148.839621</v>
      </c>
      <c r="U74">
        <v>15444548901.963682</v>
      </c>
      <c r="V74">
        <v>16473125375.068438</v>
      </c>
      <c r="W74">
        <v>17902544880.647072</v>
      </c>
      <c r="X74">
        <v>17638337116.912601</v>
      </c>
      <c r="Y74">
        <v>16010869215.679968</v>
      </c>
      <c r="Z74">
        <v>18853115588.810581</v>
      </c>
      <c r="AA74">
        <v>24984568959.604965</v>
      </c>
      <c r="AB74">
        <v>30777833600.651455</v>
      </c>
    </row>
    <row r="75" spans="1:28" x14ac:dyDescent="0.3">
      <c r="A75" t="s">
        <v>63</v>
      </c>
      <c r="B75" s="5" t="s">
        <v>64</v>
      </c>
      <c r="C75" t="s">
        <v>20</v>
      </c>
      <c r="D75" s="5" t="s">
        <v>197</v>
      </c>
      <c r="E75">
        <v>1966980701145.1023</v>
      </c>
      <c r="F75">
        <v>1966381496641.7346</v>
      </c>
      <c r="G75">
        <v>2102350798305.886</v>
      </c>
      <c r="H75">
        <v>2534715518349.0142</v>
      </c>
      <c r="I75">
        <v>2852317768061.7837</v>
      </c>
      <c r="J75">
        <v>2893393187361.8662</v>
      </c>
      <c r="K75">
        <v>3046308753670.584</v>
      </c>
      <c r="L75">
        <v>3484056680854.9131</v>
      </c>
      <c r="M75">
        <v>3808197720124.999</v>
      </c>
      <c r="N75">
        <v>3478545516683.5913</v>
      </c>
      <c r="O75">
        <v>3467093769666.6733</v>
      </c>
      <c r="P75">
        <v>3823575803793.7817</v>
      </c>
      <c r="Q75">
        <v>3596483233406.251</v>
      </c>
      <c r="R75">
        <v>3807023797050.9912</v>
      </c>
      <c r="S75">
        <v>3964870735760.7705</v>
      </c>
      <c r="T75">
        <v>3425099578746.0918</v>
      </c>
      <c r="U75">
        <v>3536787895178.9971</v>
      </c>
      <c r="V75">
        <v>3765351626105.8887</v>
      </c>
      <c r="W75">
        <v>4055433215301.958</v>
      </c>
      <c r="X75">
        <v>3959894794039.2095</v>
      </c>
      <c r="Y75">
        <v>3941398957073.9409</v>
      </c>
      <c r="Z75">
        <v>4355251953410.7827</v>
      </c>
      <c r="AA75">
        <v>4201021706478.6157</v>
      </c>
      <c r="AB75">
        <v>4562207532490.2764</v>
      </c>
    </row>
    <row r="76" spans="1:28" x14ac:dyDescent="0.3">
      <c r="A76" t="s">
        <v>63</v>
      </c>
      <c r="B76" s="5" t="s">
        <v>64</v>
      </c>
      <c r="C76" t="s">
        <v>198</v>
      </c>
      <c r="D76" s="5" t="s">
        <v>199</v>
      </c>
      <c r="E76">
        <v>4982850662.2085114</v>
      </c>
      <c r="F76">
        <v>5314872854.4404974</v>
      </c>
      <c r="G76">
        <v>6166197847.8503113</v>
      </c>
      <c r="H76">
        <v>7632723555.6622105</v>
      </c>
      <c r="I76">
        <v>8881417906.714323</v>
      </c>
      <c r="J76">
        <v>10744568381.44561</v>
      </c>
      <c r="K76">
        <v>20885037596.696342</v>
      </c>
      <c r="L76">
        <v>24827339138.490639</v>
      </c>
      <c r="M76">
        <v>28679383241.07291</v>
      </c>
      <c r="N76">
        <v>26048720005.523258</v>
      </c>
      <c r="O76">
        <v>32197655566.534706</v>
      </c>
      <c r="P76">
        <v>39336668080.558983</v>
      </c>
      <c r="Q76">
        <v>41271701060.954033</v>
      </c>
      <c r="R76">
        <v>62845721959.827026</v>
      </c>
      <c r="S76">
        <v>54678533805.906425</v>
      </c>
      <c r="T76">
        <v>49436806230.483948</v>
      </c>
      <c r="U76">
        <v>56144179397.851646</v>
      </c>
      <c r="V76">
        <v>60385409434.856674</v>
      </c>
      <c r="W76">
        <v>67259353965.608711</v>
      </c>
      <c r="X76">
        <v>68352629246.155472</v>
      </c>
      <c r="Y76">
        <v>70008243859.866608</v>
      </c>
      <c r="Z76">
        <v>79514204730.397903</v>
      </c>
      <c r="AA76">
        <v>73919003209.986649</v>
      </c>
      <c r="AB76">
        <v>80547146878.384308</v>
      </c>
    </row>
    <row r="77" spans="1:28" x14ac:dyDescent="0.3">
      <c r="A77" t="s">
        <v>63</v>
      </c>
      <c r="B77" s="5" t="s">
        <v>64</v>
      </c>
      <c r="C77" t="s">
        <v>200</v>
      </c>
      <c r="D77" s="5" t="s">
        <v>201</v>
      </c>
      <c r="E77" t="s">
        <v>73</v>
      </c>
      <c r="F77" t="s">
        <v>73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  <c r="L77" t="s">
        <v>73</v>
      </c>
      <c r="M77" t="s">
        <v>73</v>
      </c>
      <c r="N77" t="s">
        <v>73</v>
      </c>
      <c r="O77" t="s">
        <v>73</v>
      </c>
      <c r="P77" t="s">
        <v>73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73</v>
      </c>
      <c r="X77" t="s">
        <v>73</v>
      </c>
      <c r="Y77" t="s">
        <v>73</v>
      </c>
      <c r="Z77" t="s">
        <v>73</v>
      </c>
      <c r="AA77" t="s">
        <v>73</v>
      </c>
      <c r="AB77" t="s">
        <v>73</v>
      </c>
    </row>
    <row r="78" spans="1:28" x14ac:dyDescent="0.3">
      <c r="A78" t="s">
        <v>63</v>
      </c>
      <c r="B78" s="5" t="s">
        <v>64</v>
      </c>
      <c r="C78" t="s">
        <v>21</v>
      </c>
      <c r="D78" s="5" t="s">
        <v>202</v>
      </c>
      <c r="E78">
        <v>125760166224.80498</v>
      </c>
      <c r="F78">
        <v>132050474720.03008</v>
      </c>
      <c r="G78">
        <v>150253800085.86459</v>
      </c>
      <c r="H78">
        <v>196930509813.38431</v>
      </c>
      <c r="I78">
        <v>234979615898.22455</v>
      </c>
      <c r="J78">
        <v>242315668619.40533</v>
      </c>
      <c r="K78">
        <v>269073415333.67609</v>
      </c>
      <c r="L78">
        <v>314226996944.10803</v>
      </c>
      <c r="M78">
        <v>351121399546.48511</v>
      </c>
      <c r="N78">
        <v>326829054686.30603</v>
      </c>
      <c r="O78">
        <v>296417644404.03387</v>
      </c>
      <c r="P78">
        <v>283228079776.04144</v>
      </c>
      <c r="Q78">
        <v>238841140018.23288</v>
      </c>
      <c r="R78">
        <v>236556279640.70538</v>
      </c>
      <c r="S78">
        <v>233911581521.06232</v>
      </c>
      <c r="T78">
        <v>194567373678.09912</v>
      </c>
      <c r="U78">
        <v>193097239005.87012</v>
      </c>
      <c r="V78">
        <v>200381103984.298</v>
      </c>
      <c r="W78">
        <v>213298873494.39359</v>
      </c>
      <c r="X78">
        <v>207305649887.01929</v>
      </c>
      <c r="Y78">
        <v>191362985554.86124</v>
      </c>
      <c r="Z78">
        <v>218303801895.32596</v>
      </c>
      <c r="AA78">
        <v>217990189600.68958</v>
      </c>
      <c r="AB78">
        <v>242946187738.26898</v>
      </c>
    </row>
    <row r="79" spans="1:28" x14ac:dyDescent="0.3">
      <c r="A79" t="s">
        <v>63</v>
      </c>
      <c r="B79" s="5" t="s">
        <v>64</v>
      </c>
      <c r="C79" t="s">
        <v>203</v>
      </c>
      <c r="D79" s="5" t="s">
        <v>204</v>
      </c>
      <c r="E79">
        <v>1068025016.0086223</v>
      </c>
      <c r="F79">
        <v>1086170703.9815965</v>
      </c>
      <c r="G79">
        <v>1169136716.0355651</v>
      </c>
      <c r="H79">
        <v>1558759823.081686</v>
      </c>
      <c r="I79">
        <v>1822499769.2393847</v>
      </c>
      <c r="J79">
        <v>1849802648.3639076</v>
      </c>
      <c r="K79">
        <v>2013106929.5003109</v>
      </c>
      <c r="L79">
        <v>2249811295.6608014</v>
      </c>
      <c r="M79">
        <v>2499092314.4187546</v>
      </c>
      <c r="N79">
        <v>2529963903.2268476</v>
      </c>
      <c r="O79">
        <v>2503167187.4930544</v>
      </c>
      <c r="P79">
        <v>2684461375.465847</v>
      </c>
      <c r="Q79">
        <v>2609678486.3674879</v>
      </c>
      <c r="R79">
        <v>2684946990.1244802</v>
      </c>
      <c r="S79">
        <v>2842065708.3596215</v>
      </c>
      <c r="T79">
        <v>2499113022.8167543</v>
      </c>
      <c r="U79">
        <v>2707139544.4669547</v>
      </c>
      <c r="V79">
        <v>2851613679.0343266</v>
      </c>
      <c r="W79">
        <v>3055782146.1595702</v>
      </c>
      <c r="X79">
        <v>2997309971.8762293</v>
      </c>
      <c r="Y79">
        <v>3089625554.4047279</v>
      </c>
      <c r="Z79">
        <v>3293578467.5732727</v>
      </c>
      <c r="AA79">
        <v>3152334771.7799163</v>
      </c>
      <c r="AB79">
        <v>3326543974.3919296</v>
      </c>
    </row>
    <row r="80" spans="1:28" x14ac:dyDescent="0.3">
      <c r="A80" t="s">
        <v>63</v>
      </c>
      <c r="B80" s="5" t="s">
        <v>64</v>
      </c>
      <c r="C80" t="s">
        <v>205</v>
      </c>
      <c r="D80" s="5" t="s">
        <v>206</v>
      </c>
      <c r="E80">
        <v>520044370.37037033</v>
      </c>
      <c r="F80">
        <v>520444185.18518513</v>
      </c>
      <c r="G80">
        <v>540336925.92592585</v>
      </c>
      <c r="H80">
        <v>591018407.4074074</v>
      </c>
      <c r="I80">
        <v>599118592.5925926</v>
      </c>
      <c r="J80">
        <v>695555555.55555546</v>
      </c>
      <c r="K80">
        <v>698700666.66666663</v>
      </c>
      <c r="L80">
        <v>758683592.5925926</v>
      </c>
      <c r="M80">
        <v>825976037.03703701</v>
      </c>
      <c r="N80">
        <v>771275555.55555546</v>
      </c>
      <c r="O80">
        <v>771014814.81481469</v>
      </c>
      <c r="P80">
        <v>778655555.55555546</v>
      </c>
      <c r="Q80">
        <v>799881481.48148143</v>
      </c>
      <c r="R80">
        <v>842618518.51851845</v>
      </c>
      <c r="S80">
        <v>911496296.29629624</v>
      </c>
      <c r="T80">
        <v>997007407.40740728</v>
      </c>
      <c r="U80">
        <v>1061640740.7407407</v>
      </c>
      <c r="V80">
        <v>1125685185.1851852</v>
      </c>
      <c r="W80">
        <v>1166514814.8148148</v>
      </c>
      <c r="X80">
        <v>1213485185.1851852</v>
      </c>
      <c r="Y80">
        <v>1043411111.111111</v>
      </c>
      <c r="Z80">
        <v>1122222222.2222221</v>
      </c>
      <c r="AA80">
        <v>1224007407.4074073</v>
      </c>
      <c r="AB80">
        <v>1336418518.5185184</v>
      </c>
    </row>
    <row r="81" spans="1:28" x14ac:dyDescent="0.3">
      <c r="A81" t="s">
        <v>63</v>
      </c>
      <c r="B81" s="5" t="s">
        <v>64</v>
      </c>
      <c r="C81" t="s">
        <v>207</v>
      </c>
      <c r="D81" s="5" t="s">
        <v>208</v>
      </c>
      <c r="E81" t="s">
        <v>73</v>
      </c>
      <c r="F81" t="s">
        <v>73</v>
      </c>
      <c r="G81">
        <v>3394000000</v>
      </c>
      <c r="H81">
        <v>3569000000</v>
      </c>
      <c r="I81">
        <v>3869000000</v>
      </c>
      <c r="J81">
        <v>4213000000</v>
      </c>
      <c r="K81">
        <v>4238000000</v>
      </c>
      <c r="L81">
        <v>4397000000</v>
      </c>
      <c r="M81">
        <v>4658000000</v>
      </c>
      <c r="N81">
        <v>4828000000</v>
      </c>
      <c r="O81">
        <v>4949000000</v>
      </c>
      <c r="P81">
        <v>4984000000</v>
      </c>
      <c r="Q81">
        <v>5265000000</v>
      </c>
      <c r="R81">
        <v>5399000000</v>
      </c>
      <c r="S81">
        <v>5610000000</v>
      </c>
      <c r="T81">
        <v>5799000000</v>
      </c>
      <c r="U81">
        <v>5901000000</v>
      </c>
      <c r="V81">
        <v>6013000000</v>
      </c>
      <c r="W81">
        <v>6051000000</v>
      </c>
      <c r="X81">
        <v>6355000000</v>
      </c>
      <c r="Y81">
        <v>5916000000</v>
      </c>
      <c r="Z81">
        <v>6234000000</v>
      </c>
      <c r="AA81">
        <v>6910000000</v>
      </c>
      <c r="AB81" t="s">
        <v>73</v>
      </c>
    </row>
    <row r="82" spans="1:28" x14ac:dyDescent="0.3">
      <c r="A82" t="s">
        <v>63</v>
      </c>
      <c r="B82" s="5" t="s">
        <v>64</v>
      </c>
      <c r="C82" t="s">
        <v>209</v>
      </c>
      <c r="D82" s="5" t="s">
        <v>210</v>
      </c>
      <c r="E82">
        <v>19288929030.050781</v>
      </c>
      <c r="F82">
        <v>18405220247.441242</v>
      </c>
      <c r="G82">
        <v>20444205991.024971</v>
      </c>
      <c r="H82">
        <v>21576351798.914482</v>
      </c>
      <c r="I82">
        <v>23577298094.657066</v>
      </c>
      <c r="J82">
        <v>26783389293.921989</v>
      </c>
      <c r="K82">
        <v>29744246827.183907</v>
      </c>
      <c r="L82">
        <v>33567850824.103931</v>
      </c>
      <c r="M82">
        <v>38503720224.316628</v>
      </c>
      <c r="N82">
        <v>37126148264.638298</v>
      </c>
      <c r="O82">
        <v>40676578423.487091</v>
      </c>
      <c r="P82">
        <v>46876006272.238693</v>
      </c>
      <c r="Q82">
        <v>49593929487.126297</v>
      </c>
      <c r="R82">
        <v>52996420177.44088</v>
      </c>
      <c r="S82">
        <v>57852159007.624321</v>
      </c>
      <c r="T82">
        <v>62186066547.656601</v>
      </c>
      <c r="U82">
        <v>66053408205.883812</v>
      </c>
      <c r="V82">
        <v>71653780740.422577</v>
      </c>
      <c r="W82">
        <v>73328356007.615204</v>
      </c>
      <c r="X82">
        <v>77172331693.409302</v>
      </c>
      <c r="Y82">
        <v>77719468248.366608</v>
      </c>
      <c r="Z82">
        <v>86455522272.738327</v>
      </c>
      <c r="AA82">
        <v>95641446500.652283</v>
      </c>
      <c r="AB82">
        <v>104368755054.60054</v>
      </c>
    </row>
    <row r="83" spans="1:28" x14ac:dyDescent="0.3">
      <c r="A83" t="s">
        <v>63</v>
      </c>
      <c r="B83" s="5" t="s">
        <v>64</v>
      </c>
      <c r="C83" t="s">
        <v>211</v>
      </c>
      <c r="D83" s="5" t="s">
        <v>212</v>
      </c>
      <c r="E83">
        <v>4367458866.715374</v>
      </c>
      <c r="F83">
        <v>4125527603.2290802</v>
      </c>
      <c r="G83">
        <v>4301608752.513958</v>
      </c>
      <c r="H83">
        <v>5025167975.2636271</v>
      </c>
      <c r="I83">
        <v>5300767960.5157242</v>
      </c>
      <c r="J83">
        <v>4282468636.9050093</v>
      </c>
      <c r="K83">
        <v>4220019845.2634134</v>
      </c>
      <c r="L83">
        <v>6281918226.3440828</v>
      </c>
      <c r="M83">
        <v>6964179983.1721163</v>
      </c>
      <c r="N83">
        <v>6716905339.7313557</v>
      </c>
      <c r="O83">
        <v>6853467145.5308867</v>
      </c>
      <c r="P83">
        <v>6785137203.3315258</v>
      </c>
      <c r="Q83">
        <v>7638044556.8465586</v>
      </c>
      <c r="R83">
        <v>8376613539.2827816</v>
      </c>
      <c r="S83">
        <v>8778473372.8212433</v>
      </c>
      <c r="T83">
        <v>8794201742.8460922</v>
      </c>
      <c r="U83">
        <v>8595955222.4971924</v>
      </c>
      <c r="V83">
        <v>10324668271.136229</v>
      </c>
      <c r="W83">
        <v>11857030366.789089</v>
      </c>
      <c r="X83">
        <v>13442861496.445419</v>
      </c>
      <c r="Y83">
        <v>14088693742.946381</v>
      </c>
      <c r="Z83">
        <v>17069115737.825916</v>
      </c>
      <c r="AA83">
        <v>19910452541.921909</v>
      </c>
      <c r="AB83">
        <v>22407615556.057053</v>
      </c>
    </row>
    <row r="84" spans="1:28" x14ac:dyDescent="0.3">
      <c r="A84" t="s">
        <v>63</v>
      </c>
      <c r="B84" s="5" t="s">
        <v>64</v>
      </c>
      <c r="C84" t="s">
        <v>213</v>
      </c>
      <c r="D84" s="5" t="s">
        <v>214</v>
      </c>
      <c r="E84">
        <v>391345597.48826927</v>
      </c>
      <c r="F84">
        <v>412610871.50912148</v>
      </c>
      <c r="G84">
        <v>466773711.23557949</v>
      </c>
      <c r="H84">
        <v>553614800.14570713</v>
      </c>
      <c r="I84">
        <v>582169841.29830408</v>
      </c>
      <c r="J84">
        <v>639776040.68842423</v>
      </c>
      <c r="K84">
        <v>634781901.25149393</v>
      </c>
      <c r="L84">
        <v>753162998.01511264</v>
      </c>
      <c r="M84">
        <v>952667544.03728855</v>
      </c>
      <c r="N84">
        <v>890167833.36984921</v>
      </c>
      <c r="O84">
        <v>940112538.93643582</v>
      </c>
      <c r="P84">
        <v>1157074319.193877</v>
      </c>
      <c r="Q84">
        <v>1049412177.1141346</v>
      </c>
      <c r="R84">
        <v>1109682824.1359422</v>
      </c>
      <c r="S84">
        <v>1135250721.0373969</v>
      </c>
      <c r="T84">
        <v>1152384166.796375</v>
      </c>
      <c r="U84">
        <v>1245074264.1039608</v>
      </c>
      <c r="V84">
        <v>1469978606.1214306</v>
      </c>
      <c r="W84">
        <v>1554133593.9169855</v>
      </c>
      <c r="X84">
        <v>1596227316.348464</v>
      </c>
      <c r="Y84">
        <v>1705057581.099457</v>
      </c>
      <c r="Z84">
        <v>1908094558.339807</v>
      </c>
      <c r="AA84">
        <v>1859601384.0592759</v>
      </c>
      <c r="AB84">
        <v>2127688181.1201432</v>
      </c>
    </row>
    <row r="85" spans="1:28" x14ac:dyDescent="0.3">
      <c r="A85" t="s">
        <v>63</v>
      </c>
      <c r="B85" s="5" t="s">
        <v>64</v>
      </c>
      <c r="C85" t="s">
        <v>215</v>
      </c>
      <c r="D85" s="5" t="s">
        <v>216</v>
      </c>
      <c r="E85">
        <v>712667896.72751188</v>
      </c>
      <c r="F85">
        <v>712167450.16289771</v>
      </c>
      <c r="G85">
        <v>726131434.71533847</v>
      </c>
      <c r="H85">
        <v>743063950.31774902</v>
      </c>
      <c r="I85">
        <v>787814379.18384326</v>
      </c>
      <c r="J85">
        <v>824880550.34396493</v>
      </c>
      <c r="K85">
        <v>2379817990.6917953</v>
      </c>
      <c r="L85">
        <v>2730971595.3957372</v>
      </c>
      <c r="M85">
        <v>3025187433.3363686</v>
      </c>
      <c r="N85">
        <v>3165663152.7335134</v>
      </c>
      <c r="O85">
        <v>3432912516.9242687</v>
      </c>
      <c r="P85">
        <v>3691384317.521781</v>
      </c>
      <c r="Q85">
        <v>4063088535.7633057</v>
      </c>
      <c r="R85">
        <v>4167800928.8355298</v>
      </c>
      <c r="S85">
        <v>4127660151.808702</v>
      </c>
      <c r="T85">
        <v>4279840193.7046003</v>
      </c>
      <c r="U85">
        <v>4482697336.5617437</v>
      </c>
      <c r="V85">
        <v>4748174334.1404362</v>
      </c>
      <c r="W85">
        <v>4787636997.8534269</v>
      </c>
      <c r="X85">
        <v>5173760191.8465223</v>
      </c>
      <c r="Y85">
        <v>5471256594.7242203</v>
      </c>
      <c r="Z85">
        <v>8041362110.3117504</v>
      </c>
      <c r="AA85">
        <v>14718388489.208633</v>
      </c>
      <c r="AB85">
        <v>16918503597.122303</v>
      </c>
    </row>
    <row r="86" spans="1:28" x14ac:dyDescent="0.3">
      <c r="A86" t="s">
        <v>63</v>
      </c>
      <c r="B86" s="5" t="s">
        <v>64</v>
      </c>
      <c r="C86" t="s">
        <v>217</v>
      </c>
      <c r="D86" s="5" t="s">
        <v>218</v>
      </c>
      <c r="E86">
        <v>6813566098.8674984</v>
      </c>
      <c r="F86">
        <v>6331970324.3102217</v>
      </c>
      <c r="G86">
        <v>6205847213.6351013</v>
      </c>
      <c r="H86">
        <v>5071947798.2726316</v>
      </c>
      <c r="I86">
        <v>6087360684.2968998</v>
      </c>
      <c r="J86">
        <v>7030149730.3369226</v>
      </c>
      <c r="K86">
        <v>7638739122.6724186</v>
      </c>
      <c r="L86">
        <v>9228637767.6900902</v>
      </c>
      <c r="M86">
        <v>10432962634.874826</v>
      </c>
      <c r="N86">
        <v>11597002834.778614</v>
      </c>
      <c r="O86">
        <v>11859312725.144835</v>
      </c>
      <c r="P86">
        <v>13008746038.8867</v>
      </c>
      <c r="Q86">
        <v>13708925477.130407</v>
      </c>
      <c r="R86">
        <v>14902488604.242088</v>
      </c>
      <c r="S86">
        <v>15146883497.633091</v>
      </c>
      <c r="T86">
        <v>14849629308.602478</v>
      </c>
      <c r="U86">
        <v>14069277526.227812</v>
      </c>
      <c r="V86">
        <v>15093357161.149847</v>
      </c>
      <c r="W86">
        <v>16403864617.84576</v>
      </c>
      <c r="X86">
        <v>15016090929.512514</v>
      </c>
      <c r="Y86">
        <v>14508222518.301786</v>
      </c>
      <c r="Z86">
        <v>20944387975.705139</v>
      </c>
      <c r="AA86">
        <v>20253551920.551617</v>
      </c>
      <c r="AB86">
        <v>19850585722.324139</v>
      </c>
    </row>
    <row r="87" spans="1:28" x14ac:dyDescent="0.3">
      <c r="A87" t="s">
        <v>63</v>
      </c>
      <c r="B87" s="5" t="s">
        <v>64</v>
      </c>
      <c r="C87" t="s">
        <v>219</v>
      </c>
      <c r="D87" s="5" t="s">
        <v>220</v>
      </c>
      <c r="E87">
        <v>7186638029.0587492</v>
      </c>
      <c r="F87">
        <v>7651162302.3456039</v>
      </c>
      <c r="G87">
        <v>7858255412.8603792</v>
      </c>
      <c r="H87">
        <v>8230391346.6722813</v>
      </c>
      <c r="I87">
        <v>8869299234.3376961</v>
      </c>
      <c r="J87">
        <v>9757012696.5621166</v>
      </c>
      <c r="K87">
        <v>10917477066.142908</v>
      </c>
      <c r="L87">
        <v>12361257680.562687</v>
      </c>
      <c r="M87">
        <v>13881731875.746613</v>
      </c>
      <c r="N87">
        <v>14587496229.18111</v>
      </c>
      <c r="O87">
        <v>15839344591.984165</v>
      </c>
      <c r="P87">
        <v>17710275685.407448</v>
      </c>
      <c r="Q87">
        <v>18528554397.569511</v>
      </c>
      <c r="R87">
        <v>18499729214.904022</v>
      </c>
      <c r="S87">
        <v>19756533971.869846</v>
      </c>
      <c r="T87">
        <v>20979791685.416042</v>
      </c>
      <c r="U87">
        <v>21717604952.183525</v>
      </c>
      <c r="V87">
        <v>23136247990.597725</v>
      </c>
      <c r="W87">
        <v>24067750760.49897</v>
      </c>
      <c r="X87">
        <v>24882225741.811867</v>
      </c>
      <c r="Y87">
        <v>23352232483.755009</v>
      </c>
      <c r="Z87">
        <v>28144331506.614887</v>
      </c>
      <c r="AA87">
        <v>31426041806.798485</v>
      </c>
      <c r="AB87">
        <v>34355805527.979488</v>
      </c>
    </row>
    <row r="88" spans="1:28" x14ac:dyDescent="0.3">
      <c r="A88" t="s">
        <v>63</v>
      </c>
      <c r="B88" s="5" t="s">
        <v>64</v>
      </c>
      <c r="C88" t="s">
        <v>221</v>
      </c>
      <c r="D88" s="5" t="s">
        <v>222</v>
      </c>
      <c r="E88">
        <v>171668891194.34869</v>
      </c>
      <c r="F88">
        <v>169404327616.60522</v>
      </c>
      <c r="G88">
        <v>166348866131.0282</v>
      </c>
      <c r="H88">
        <v>161385558801.81079</v>
      </c>
      <c r="I88">
        <v>169099768875.1926</v>
      </c>
      <c r="J88">
        <v>181569311742.21292</v>
      </c>
      <c r="K88">
        <v>193535442896.36505</v>
      </c>
      <c r="L88">
        <v>211596944503.79977</v>
      </c>
      <c r="M88">
        <v>219278749139.7337</v>
      </c>
      <c r="N88">
        <v>214047795659.04471</v>
      </c>
      <c r="O88">
        <v>228638668727.29083</v>
      </c>
      <c r="P88">
        <v>248513617677.28674</v>
      </c>
      <c r="Q88">
        <v>262628865879.69678</v>
      </c>
      <c r="R88">
        <v>275696879834.96649</v>
      </c>
      <c r="S88">
        <v>291459995978.8927</v>
      </c>
      <c r="T88">
        <v>309385622601.34808</v>
      </c>
      <c r="U88">
        <v>320860317562.56238</v>
      </c>
      <c r="V88">
        <v>341273289534.46594</v>
      </c>
      <c r="W88">
        <v>361731070995.72626</v>
      </c>
      <c r="X88">
        <v>363074545072.3891</v>
      </c>
      <c r="Y88">
        <v>344943149590.05829</v>
      </c>
      <c r="Z88">
        <v>368954169748.81805</v>
      </c>
      <c r="AA88">
        <v>358679533984.7182</v>
      </c>
      <c r="AB88">
        <v>381043026173.93542</v>
      </c>
    </row>
    <row r="89" spans="1:28" x14ac:dyDescent="0.3">
      <c r="A89" t="s">
        <v>63</v>
      </c>
      <c r="B89" s="5" t="s">
        <v>64</v>
      </c>
      <c r="C89" t="s">
        <v>223</v>
      </c>
      <c r="D89" s="5" t="s">
        <v>224</v>
      </c>
      <c r="E89">
        <v>47275954428.958626</v>
      </c>
      <c r="F89">
        <v>53800068065.796936</v>
      </c>
      <c r="G89">
        <v>67636468625.042809</v>
      </c>
      <c r="H89">
        <v>85190469121.073959</v>
      </c>
      <c r="I89">
        <v>104015363080.27097</v>
      </c>
      <c r="J89">
        <v>113098237570.92931</v>
      </c>
      <c r="K89">
        <v>115604111412.13937</v>
      </c>
      <c r="L89">
        <v>140123326896.32938</v>
      </c>
      <c r="M89">
        <v>158228265915.53354</v>
      </c>
      <c r="N89">
        <v>130807441076.15977</v>
      </c>
      <c r="O89">
        <v>131898737241.16629</v>
      </c>
      <c r="P89">
        <v>141712804953.86835</v>
      </c>
      <c r="Q89">
        <v>128470269689.95816</v>
      </c>
      <c r="R89">
        <v>135646053778.58244</v>
      </c>
      <c r="S89">
        <v>141128696412.32129</v>
      </c>
      <c r="T89">
        <v>125244126623.28946</v>
      </c>
      <c r="U89">
        <v>128983560865.29254</v>
      </c>
      <c r="V89">
        <v>143335098991.86218</v>
      </c>
      <c r="W89">
        <v>161184691013.83466</v>
      </c>
      <c r="X89">
        <v>164936682033.99158</v>
      </c>
      <c r="Y89">
        <v>158468487754.19629</v>
      </c>
      <c r="Z89">
        <v>183282685440.48581</v>
      </c>
      <c r="AA89">
        <v>177002580544.15546</v>
      </c>
      <c r="AB89">
        <v>213240316634.6478</v>
      </c>
    </row>
    <row r="90" spans="1:28" x14ac:dyDescent="0.3">
      <c r="A90" t="s">
        <v>63</v>
      </c>
      <c r="B90" s="5" t="s">
        <v>64</v>
      </c>
      <c r="C90" t="s">
        <v>225</v>
      </c>
      <c r="D90" s="5" t="s">
        <v>226</v>
      </c>
      <c r="E90">
        <v>9140168922.3567715</v>
      </c>
      <c r="F90">
        <v>8323401820.4847651</v>
      </c>
      <c r="G90">
        <v>9416199699.5473576</v>
      </c>
      <c r="H90">
        <v>11564687741.985947</v>
      </c>
      <c r="I90">
        <v>13963943244.001783</v>
      </c>
      <c r="J90">
        <v>17146410560.527899</v>
      </c>
      <c r="K90">
        <v>17671649843.260185</v>
      </c>
      <c r="L90">
        <v>21960110030.442585</v>
      </c>
      <c r="M90">
        <v>18247921360.25988</v>
      </c>
      <c r="N90">
        <v>13212543837.513264</v>
      </c>
      <c r="O90">
        <v>13922711576.512449</v>
      </c>
      <c r="P90">
        <v>15394005872.149014</v>
      </c>
      <c r="Q90">
        <v>14943757823.322559</v>
      </c>
      <c r="R90">
        <v>16244319958.680811</v>
      </c>
      <c r="S90">
        <v>18052183514.869518</v>
      </c>
      <c r="T90">
        <v>17700486957.190662</v>
      </c>
      <c r="U90">
        <v>21083713310.457043</v>
      </c>
      <c r="V90">
        <v>25060086487.890076</v>
      </c>
      <c r="W90">
        <v>26677652544.349865</v>
      </c>
      <c r="X90">
        <v>24985687022.045185</v>
      </c>
      <c r="Y90">
        <v>22034665040.790089</v>
      </c>
      <c r="Z90">
        <v>26234872402.456982</v>
      </c>
      <c r="AA90">
        <v>29166102877.27552</v>
      </c>
      <c r="AB90">
        <v>31677891896.786083</v>
      </c>
    </row>
    <row r="91" spans="1:28" x14ac:dyDescent="0.3">
      <c r="A91" t="s">
        <v>63</v>
      </c>
      <c r="B91" s="5" t="s">
        <v>64</v>
      </c>
      <c r="C91" t="s">
        <v>22</v>
      </c>
      <c r="D91" s="5" t="s">
        <v>227</v>
      </c>
      <c r="E91">
        <v>468395521654.45789</v>
      </c>
      <c r="F91">
        <v>485440139204.17053</v>
      </c>
      <c r="G91">
        <v>514939140318.75562</v>
      </c>
      <c r="H91">
        <v>607700687237.31787</v>
      </c>
      <c r="I91">
        <v>709152728830.77454</v>
      </c>
      <c r="J91">
        <v>820383763511.44543</v>
      </c>
      <c r="K91">
        <v>940259888787.72144</v>
      </c>
      <c r="L91">
        <v>1216736438834.9553</v>
      </c>
      <c r="M91">
        <v>1198895139005.9189</v>
      </c>
      <c r="N91">
        <v>1341888016994.8982</v>
      </c>
      <c r="O91">
        <v>1675615519484.959</v>
      </c>
      <c r="P91">
        <v>1823051829894.5461</v>
      </c>
      <c r="Q91">
        <v>1827637590410.4143</v>
      </c>
      <c r="R91">
        <v>1856721507621.5764</v>
      </c>
      <c r="S91">
        <v>2039126479154.5168</v>
      </c>
      <c r="T91">
        <v>2103588360044.9392</v>
      </c>
      <c r="U91">
        <v>2294796885663.1631</v>
      </c>
      <c r="V91">
        <v>2651474262755.4521</v>
      </c>
      <c r="W91">
        <v>2702929641648.7407</v>
      </c>
      <c r="X91">
        <v>2835606256558.1948</v>
      </c>
      <c r="Y91">
        <v>2674851578587.2686</v>
      </c>
      <c r="Z91">
        <v>3167270623260.4688</v>
      </c>
      <c r="AA91">
        <v>3346107287730.9272</v>
      </c>
      <c r="AB91">
        <v>3638489096033.8589</v>
      </c>
    </row>
    <row r="92" spans="1:28" x14ac:dyDescent="0.3">
      <c r="A92" t="s">
        <v>63</v>
      </c>
      <c r="B92" s="5" t="s">
        <v>64</v>
      </c>
      <c r="C92" t="s">
        <v>23</v>
      </c>
      <c r="D92" s="5" t="s">
        <v>228</v>
      </c>
      <c r="E92">
        <v>165021012077.80963</v>
      </c>
      <c r="F92">
        <v>160446947784.90857</v>
      </c>
      <c r="G92">
        <v>195660611165.18344</v>
      </c>
      <c r="H92">
        <v>234772463823.80835</v>
      </c>
      <c r="I92">
        <v>256836875295.4519</v>
      </c>
      <c r="J92">
        <v>285868619196.08478</v>
      </c>
      <c r="K92">
        <v>364570515618.35693</v>
      </c>
      <c r="L92">
        <v>432216737774.86053</v>
      </c>
      <c r="M92">
        <v>510228634992.25824</v>
      </c>
      <c r="N92">
        <v>539580085612.40143</v>
      </c>
      <c r="O92">
        <v>755094157621.93555</v>
      </c>
      <c r="P92">
        <v>892969104563.17126</v>
      </c>
      <c r="Q92">
        <v>917869913332.64856</v>
      </c>
      <c r="R92">
        <v>912524136718.01819</v>
      </c>
      <c r="S92">
        <v>890814755533.53687</v>
      </c>
      <c r="T92">
        <v>860854232686.21387</v>
      </c>
      <c r="U92">
        <v>931877364037.69751</v>
      </c>
      <c r="V92">
        <v>1015618744159.7339</v>
      </c>
      <c r="W92">
        <v>1042271532988.6317</v>
      </c>
      <c r="X92">
        <v>1119099871350.1992</v>
      </c>
      <c r="Y92">
        <v>1059054842698.4821</v>
      </c>
      <c r="Z92">
        <v>1186509691086.7307</v>
      </c>
      <c r="AA92">
        <v>1319101183380.1516</v>
      </c>
      <c r="AB92">
        <v>1371169301563.6216</v>
      </c>
    </row>
    <row r="93" spans="1:28" x14ac:dyDescent="0.3">
      <c r="A93" t="s">
        <v>63</v>
      </c>
      <c r="B93" s="5" t="s">
        <v>64</v>
      </c>
      <c r="C93" t="s">
        <v>24</v>
      </c>
      <c r="D93" s="5" t="s">
        <v>229</v>
      </c>
      <c r="E93">
        <v>109591707802.21602</v>
      </c>
      <c r="F93">
        <v>126878750295.94432</v>
      </c>
      <c r="G93">
        <v>128626917503.71953</v>
      </c>
      <c r="H93">
        <v>151911222119.48804</v>
      </c>
      <c r="I93">
        <v>187754571247.66602</v>
      </c>
      <c r="J93">
        <v>224970371324.67029</v>
      </c>
      <c r="K93">
        <v>265602187403.64328</v>
      </c>
      <c r="L93">
        <v>349736591832.41791</v>
      </c>
      <c r="M93">
        <v>406070949553.87506</v>
      </c>
      <c r="N93">
        <v>414059094949.0625</v>
      </c>
      <c r="O93">
        <v>487069570463.76825</v>
      </c>
      <c r="P93">
        <v>629082257472.36816</v>
      </c>
      <c r="Q93">
        <v>644019315003.53992</v>
      </c>
      <c r="R93">
        <v>500399839839.87671</v>
      </c>
      <c r="S93">
        <v>462284793280.82538</v>
      </c>
      <c r="T93">
        <v>409191686496.67682</v>
      </c>
      <c r="U93">
        <v>478618064870.99939</v>
      </c>
      <c r="V93">
        <v>510239893417.64484</v>
      </c>
      <c r="W93">
        <v>411903303606.04413</v>
      </c>
      <c r="X93">
        <v>347988400957.99915</v>
      </c>
      <c r="Y93">
        <v>280934329279.72278</v>
      </c>
      <c r="Z93">
        <v>407350685583.33545</v>
      </c>
      <c r="AA93">
        <v>422662261525.66516</v>
      </c>
      <c r="AB93">
        <v>457510482317.48322</v>
      </c>
    </row>
    <row r="94" spans="1:28" x14ac:dyDescent="0.3">
      <c r="A94" t="s">
        <v>63</v>
      </c>
      <c r="B94" s="5" t="s">
        <v>64</v>
      </c>
      <c r="C94" t="s">
        <v>230</v>
      </c>
      <c r="D94" s="5" t="s">
        <v>231</v>
      </c>
      <c r="E94">
        <v>48364250943.905067</v>
      </c>
      <c r="F94">
        <v>36176430128.805725</v>
      </c>
      <c r="G94">
        <v>32928454672.424591</v>
      </c>
      <c r="H94">
        <v>21921569478.816261</v>
      </c>
      <c r="I94">
        <v>36633669269.398102</v>
      </c>
      <c r="J94">
        <v>50065104667.815903</v>
      </c>
      <c r="K94">
        <v>65147051918.021873</v>
      </c>
      <c r="L94">
        <v>88837057319.517914</v>
      </c>
      <c r="M94">
        <v>131614434153.50531</v>
      </c>
      <c r="N94">
        <v>111657580326.31511</v>
      </c>
      <c r="O94">
        <v>138516722649.57266</v>
      </c>
      <c r="P94">
        <v>185749664444.44446</v>
      </c>
      <c r="Q94">
        <v>218002476129.47165</v>
      </c>
      <c r="R94">
        <v>234637675128.64493</v>
      </c>
      <c r="S94">
        <v>228415656174.95712</v>
      </c>
      <c r="T94">
        <v>166774104959.10168</v>
      </c>
      <c r="U94">
        <v>166743557747.67148</v>
      </c>
      <c r="V94">
        <v>187217660050.67569</v>
      </c>
      <c r="W94">
        <v>227367469034.03085</v>
      </c>
      <c r="X94">
        <v>233636097800.33844</v>
      </c>
      <c r="Y94">
        <v>180898797516.87439</v>
      </c>
      <c r="Z94">
        <v>209691945713.10345</v>
      </c>
      <c r="AA94">
        <v>287372232137.93103</v>
      </c>
      <c r="AB94">
        <v>268881051643.54932</v>
      </c>
    </row>
    <row r="95" spans="1:28" x14ac:dyDescent="0.3">
      <c r="A95" t="s">
        <v>63</v>
      </c>
      <c r="B95" s="5" t="s">
        <v>64</v>
      </c>
      <c r="C95" t="s">
        <v>25</v>
      </c>
      <c r="D95" s="5" t="s">
        <v>232</v>
      </c>
      <c r="E95">
        <v>100207610429.90924</v>
      </c>
      <c r="F95">
        <v>109346669229.6954</v>
      </c>
      <c r="G95">
        <v>128596035288.40102</v>
      </c>
      <c r="H95">
        <v>164670771259.60202</v>
      </c>
      <c r="I95">
        <v>194372115041.06497</v>
      </c>
      <c r="J95">
        <v>211876989655.90652</v>
      </c>
      <c r="K95">
        <v>232180617162.2785</v>
      </c>
      <c r="L95">
        <v>270079279419.50046</v>
      </c>
      <c r="M95">
        <v>275447471451.06323</v>
      </c>
      <c r="N95">
        <v>236443115853.69476</v>
      </c>
      <c r="O95">
        <v>221732824603.48376</v>
      </c>
      <c r="P95">
        <v>240975871046.64444</v>
      </c>
      <c r="Q95">
        <v>226921827888.13715</v>
      </c>
      <c r="R95">
        <v>242924245718.75598</v>
      </c>
      <c r="S95">
        <v>266490442124.30887</v>
      </c>
      <c r="T95">
        <v>302101388556.27057</v>
      </c>
      <c r="U95">
        <v>305431252708.74823</v>
      </c>
      <c r="V95">
        <v>348355212568.51471</v>
      </c>
      <c r="W95">
        <v>395780319816.60284</v>
      </c>
      <c r="X95">
        <v>407211793800.71307</v>
      </c>
      <c r="Y95">
        <v>436009027818.94751</v>
      </c>
      <c r="Z95">
        <v>530394123829.76282</v>
      </c>
      <c r="AA95">
        <v>548341794599.08966</v>
      </c>
      <c r="AB95">
        <v>567372737459.11584</v>
      </c>
    </row>
    <row r="96" spans="1:28" x14ac:dyDescent="0.3">
      <c r="A96" t="s">
        <v>63</v>
      </c>
      <c r="B96" s="5" t="s">
        <v>64</v>
      </c>
      <c r="C96" t="s">
        <v>233</v>
      </c>
      <c r="D96" s="5" t="s">
        <v>234</v>
      </c>
      <c r="E96">
        <v>1601050083.2198517</v>
      </c>
      <c r="F96">
        <v>1668684324.1687059</v>
      </c>
      <c r="G96">
        <v>1891002697.8417265</v>
      </c>
      <c r="H96">
        <v>2252620408.1632652</v>
      </c>
      <c r="I96">
        <v>2802206151.592823</v>
      </c>
      <c r="J96">
        <v>3032411026.9491892</v>
      </c>
      <c r="K96">
        <v>3422733202.4501042</v>
      </c>
      <c r="L96">
        <v>4466350655.8990898</v>
      </c>
      <c r="M96">
        <v>5928791505.3514376</v>
      </c>
      <c r="N96">
        <v>5486921247.0732288</v>
      </c>
      <c r="O96">
        <v>5920369789.5018234</v>
      </c>
      <c r="P96">
        <v>6565667052.7973652</v>
      </c>
      <c r="Q96">
        <v>6690228371.6690855</v>
      </c>
      <c r="R96">
        <v>7001175622.7126551</v>
      </c>
      <c r="S96">
        <v>7708454412.3212614</v>
      </c>
      <c r="T96">
        <v>7084800892.2228413</v>
      </c>
      <c r="U96">
        <v>6846377563.0068293</v>
      </c>
      <c r="V96">
        <v>6979788333.5027933</v>
      </c>
      <c r="W96">
        <v>7491649455.927165</v>
      </c>
      <c r="X96">
        <v>7314967866.2828922</v>
      </c>
      <c r="Y96">
        <v>6684225641.0256405</v>
      </c>
      <c r="Z96">
        <v>7931193222.0640526</v>
      </c>
      <c r="AA96">
        <v>7431257410.9271269</v>
      </c>
      <c r="AB96" t="s">
        <v>73</v>
      </c>
    </row>
    <row r="97" spans="1:28" x14ac:dyDescent="0.3">
      <c r="A97" t="s">
        <v>63</v>
      </c>
      <c r="B97" s="5" t="s">
        <v>64</v>
      </c>
      <c r="C97" t="s">
        <v>235</v>
      </c>
      <c r="D97" s="5" t="s">
        <v>236</v>
      </c>
      <c r="E97">
        <v>136512300542.02536</v>
      </c>
      <c r="F97">
        <v>135002039612.90628</v>
      </c>
      <c r="G97">
        <v>125332331883.9968</v>
      </c>
      <c r="H97">
        <v>131408914824.00475</v>
      </c>
      <c r="I97">
        <v>140047984605.08701</v>
      </c>
      <c r="J97">
        <v>147519922009.04694</v>
      </c>
      <c r="K97">
        <v>158900547825.30634</v>
      </c>
      <c r="L97">
        <v>184681214673.45001</v>
      </c>
      <c r="M97">
        <v>221231658862.87625</v>
      </c>
      <c r="N97">
        <v>213403181852.85965</v>
      </c>
      <c r="O97">
        <v>239679036634.37173</v>
      </c>
      <c r="P97">
        <v>268094998225.02844</v>
      </c>
      <c r="Q97">
        <v>263589172712.3909</v>
      </c>
      <c r="R97">
        <v>298478070673.05835</v>
      </c>
      <c r="S97">
        <v>315017088116.7157</v>
      </c>
      <c r="T97">
        <v>303469434072.29559</v>
      </c>
      <c r="U97">
        <v>321940971558.01636</v>
      </c>
      <c r="V97">
        <v>358451839052.99084</v>
      </c>
      <c r="W97">
        <v>376299083108.49725</v>
      </c>
      <c r="X97">
        <v>400645216358.85742</v>
      </c>
      <c r="Y97">
        <v>410768352657.61163</v>
      </c>
      <c r="Z97">
        <v>489851549972.34686</v>
      </c>
      <c r="AA97">
        <v>525181008025.57025</v>
      </c>
      <c r="AB97">
        <v>512184638998.97394</v>
      </c>
    </row>
    <row r="98" spans="1:28" x14ac:dyDescent="0.3">
      <c r="A98" t="s">
        <v>63</v>
      </c>
      <c r="B98" s="5" t="s">
        <v>64</v>
      </c>
      <c r="C98" t="s">
        <v>26</v>
      </c>
      <c r="D98" s="5" t="s">
        <v>237</v>
      </c>
      <c r="E98">
        <v>1149661363439.375</v>
      </c>
      <c r="F98">
        <v>1172041488805.8677</v>
      </c>
      <c r="G98">
        <v>1281746271196.0415</v>
      </c>
      <c r="H98">
        <v>1582930016538.8203</v>
      </c>
      <c r="I98">
        <v>1812808753294.7537</v>
      </c>
      <c r="J98">
        <v>1864982261286.8474</v>
      </c>
      <c r="K98">
        <v>1958563654385.6443</v>
      </c>
      <c r="L98">
        <v>2222524108127.6543</v>
      </c>
      <c r="M98">
        <v>2417508414187.187</v>
      </c>
      <c r="N98">
        <v>2209484319012.6548</v>
      </c>
      <c r="O98">
        <v>2144936254535.0042</v>
      </c>
      <c r="P98">
        <v>2306974020278.2148</v>
      </c>
      <c r="Q98">
        <v>2097929495121.6802</v>
      </c>
      <c r="R98">
        <v>2153225581941.457</v>
      </c>
      <c r="S98">
        <v>2173255507985.8354</v>
      </c>
      <c r="T98">
        <v>1845428048839.1006</v>
      </c>
      <c r="U98">
        <v>1887111188176.9307</v>
      </c>
      <c r="V98">
        <v>1970720904584.7092</v>
      </c>
      <c r="W98">
        <v>2099435266458.665</v>
      </c>
      <c r="X98">
        <v>2019606796583.5261</v>
      </c>
      <c r="Y98">
        <v>1907481094079.2271</v>
      </c>
      <c r="Z98">
        <v>2179207773596.0891</v>
      </c>
      <c r="AA98">
        <v>2104067630319.4634</v>
      </c>
      <c r="AB98">
        <v>2316727999333.1782</v>
      </c>
    </row>
    <row r="99" spans="1:28" x14ac:dyDescent="0.3">
      <c r="A99" t="s">
        <v>63</v>
      </c>
      <c r="B99" s="5" t="s">
        <v>64</v>
      </c>
      <c r="C99" t="s">
        <v>238</v>
      </c>
      <c r="D99" s="5" t="s">
        <v>239</v>
      </c>
      <c r="E99">
        <v>9005064474.9300346</v>
      </c>
      <c r="F99">
        <v>9194727831.073185</v>
      </c>
      <c r="G99">
        <v>9719009494.8477917</v>
      </c>
      <c r="H99">
        <v>9430234810.7858562</v>
      </c>
      <c r="I99">
        <v>10174664853.947565</v>
      </c>
      <c r="J99">
        <v>11243865777.713053</v>
      </c>
      <c r="K99">
        <v>11930179089.885475</v>
      </c>
      <c r="L99">
        <v>12799600047.184536</v>
      </c>
      <c r="M99">
        <v>13709401520.032595</v>
      </c>
      <c r="N99">
        <v>12120458114.8318</v>
      </c>
      <c r="O99">
        <v>13220549908.249386</v>
      </c>
      <c r="P99">
        <v>14444661522.146338</v>
      </c>
      <c r="Q99">
        <v>14807086555.528315</v>
      </c>
      <c r="R99">
        <v>14264205152.612631</v>
      </c>
      <c r="S99">
        <v>13899217679.92193</v>
      </c>
      <c r="T99">
        <v>14963589915.591198</v>
      </c>
      <c r="U99">
        <v>14898999754.122948</v>
      </c>
      <c r="V99">
        <v>15783583236.675047</v>
      </c>
      <c r="W99">
        <v>16855447986.222059</v>
      </c>
      <c r="X99">
        <v>17026269262.530727</v>
      </c>
      <c r="Y99">
        <v>15000214216.24386</v>
      </c>
      <c r="Z99">
        <v>15963885376.353733</v>
      </c>
      <c r="AA99">
        <v>18813516805.214046</v>
      </c>
      <c r="AB99">
        <v>21418804319.639454</v>
      </c>
    </row>
    <row r="100" spans="1:28" x14ac:dyDescent="0.3">
      <c r="A100" t="s">
        <v>63</v>
      </c>
      <c r="B100" s="5" t="s">
        <v>64</v>
      </c>
      <c r="C100" t="s">
        <v>27</v>
      </c>
      <c r="D100" s="5" t="s">
        <v>240</v>
      </c>
      <c r="E100">
        <v>4968359075956.5908</v>
      </c>
      <c r="F100">
        <v>4374711694090.8706</v>
      </c>
      <c r="G100">
        <v>4182846045873.6079</v>
      </c>
      <c r="H100">
        <v>4519561645253.5293</v>
      </c>
      <c r="I100">
        <v>4893116005656.5586</v>
      </c>
      <c r="J100">
        <v>4831467035389.7998</v>
      </c>
      <c r="K100">
        <v>4601663122649.9209</v>
      </c>
      <c r="L100">
        <v>4579750920354.8086</v>
      </c>
      <c r="M100">
        <v>5106679115127.2988</v>
      </c>
      <c r="N100">
        <v>5289493117993.8896</v>
      </c>
      <c r="O100">
        <v>5759071769013.1133</v>
      </c>
      <c r="P100">
        <v>6233147172341.3486</v>
      </c>
      <c r="Q100">
        <v>6272362996105.0342</v>
      </c>
      <c r="R100">
        <v>5212328181166.1846</v>
      </c>
      <c r="S100">
        <v>4896994405353.292</v>
      </c>
      <c r="T100">
        <v>4444930651964.1797</v>
      </c>
      <c r="U100">
        <v>5003677627544.2402</v>
      </c>
      <c r="V100">
        <v>4930837369151.4219</v>
      </c>
      <c r="W100">
        <v>5040880939324.8594</v>
      </c>
      <c r="X100">
        <v>5117993853016.5078</v>
      </c>
      <c r="Y100">
        <v>5054068005376.2754</v>
      </c>
      <c r="Z100">
        <v>5039148168861.2246</v>
      </c>
      <c r="AA100">
        <v>4262463317796.5278</v>
      </c>
      <c r="AB100">
        <v>4213167237905.8257</v>
      </c>
    </row>
    <row r="101" spans="1:28" x14ac:dyDescent="0.3">
      <c r="A101" t="s">
        <v>63</v>
      </c>
      <c r="B101" s="5" t="s">
        <v>64</v>
      </c>
      <c r="C101" t="s">
        <v>241</v>
      </c>
      <c r="D101" s="5" t="s">
        <v>242</v>
      </c>
      <c r="E101">
        <v>8460789844.8519049</v>
      </c>
      <c r="F101">
        <v>8975814652.8196011</v>
      </c>
      <c r="G101">
        <v>9582510578.2792664</v>
      </c>
      <c r="H101">
        <v>10195627644.569817</v>
      </c>
      <c r="I101">
        <v>11411706629.055008</v>
      </c>
      <c r="J101">
        <v>12588998589.562765</v>
      </c>
      <c r="K101">
        <v>15056981664.315939</v>
      </c>
      <c r="L101">
        <v>17110437235.543018</v>
      </c>
      <c r="M101">
        <v>22658715989.330204</v>
      </c>
      <c r="N101">
        <v>24537876056.338028</v>
      </c>
      <c r="O101">
        <v>27133804225.352116</v>
      </c>
      <c r="P101">
        <v>29524149154.929581</v>
      </c>
      <c r="Q101">
        <v>31634561690.140846</v>
      </c>
      <c r="R101">
        <v>34454440140.84507</v>
      </c>
      <c r="S101">
        <v>36847643521.126762</v>
      </c>
      <c r="T101">
        <v>38587017887.323944</v>
      </c>
      <c r="U101">
        <v>39892551126.760567</v>
      </c>
      <c r="V101">
        <v>41608435915.492958</v>
      </c>
      <c r="W101">
        <v>43370860704.225357</v>
      </c>
      <c r="X101">
        <v>44503006338.028168</v>
      </c>
      <c r="Y101">
        <v>43700383098.591553</v>
      </c>
      <c r="Z101">
        <v>46296100140.84507</v>
      </c>
      <c r="AA101">
        <v>48764963380.281693</v>
      </c>
      <c r="AB101">
        <v>51088476338.028175</v>
      </c>
    </row>
    <row r="102" spans="1:28" x14ac:dyDescent="0.3">
      <c r="A102" t="s">
        <v>63</v>
      </c>
      <c r="B102" s="5" t="s">
        <v>64</v>
      </c>
      <c r="C102" t="s">
        <v>243</v>
      </c>
      <c r="D102" s="5" t="s">
        <v>244</v>
      </c>
      <c r="E102">
        <v>18291990662.035625</v>
      </c>
      <c r="F102">
        <v>22152689179.881508</v>
      </c>
      <c r="G102">
        <v>24636598527.443718</v>
      </c>
      <c r="H102">
        <v>30833692900.109074</v>
      </c>
      <c r="I102">
        <v>43151647002.609627</v>
      </c>
      <c r="J102">
        <v>57123671733.895248</v>
      </c>
      <c r="K102">
        <v>81003864630.018036</v>
      </c>
      <c r="L102">
        <v>104849915058.37578</v>
      </c>
      <c r="M102">
        <v>133441648851.9825</v>
      </c>
      <c r="N102">
        <v>115308686941.38017</v>
      </c>
      <c r="O102">
        <v>148047348240.64334</v>
      </c>
      <c r="P102">
        <v>192626464617.07117</v>
      </c>
      <c r="Q102">
        <v>207998568865.78925</v>
      </c>
      <c r="R102">
        <v>236634603409.08856</v>
      </c>
      <c r="S102">
        <v>221415613595.46927</v>
      </c>
      <c r="T102">
        <v>184388404706.04178</v>
      </c>
      <c r="U102">
        <v>137278320084.17114</v>
      </c>
      <c r="V102">
        <v>166805788827.23325</v>
      </c>
      <c r="W102">
        <v>179339977690.48486</v>
      </c>
      <c r="X102">
        <v>181667184854.50052</v>
      </c>
      <c r="Y102">
        <v>171082365861.42291</v>
      </c>
      <c r="Z102">
        <v>197112255360.61234</v>
      </c>
      <c r="AA102">
        <v>225496328925.49411</v>
      </c>
      <c r="AB102">
        <v>261840101059.92349</v>
      </c>
    </row>
    <row r="103" spans="1:28" x14ac:dyDescent="0.3">
      <c r="A103" t="s">
        <v>63</v>
      </c>
      <c r="B103" s="5" t="s">
        <v>64</v>
      </c>
      <c r="C103" t="s">
        <v>245</v>
      </c>
      <c r="D103" s="5" t="s">
        <v>246</v>
      </c>
      <c r="E103">
        <v>12705350097.804359</v>
      </c>
      <c r="F103">
        <v>12986007425.878052</v>
      </c>
      <c r="G103">
        <v>13147736898.517572</v>
      </c>
      <c r="H103">
        <v>14904517649.847567</v>
      </c>
      <c r="I103">
        <v>16095337093.836597</v>
      </c>
      <c r="J103">
        <v>18737895512.737766</v>
      </c>
      <c r="K103">
        <v>25825512284.289078</v>
      </c>
      <c r="L103">
        <v>31958195182.240604</v>
      </c>
      <c r="M103">
        <v>35895153327.849686</v>
      </c>
      <c r="N103">
        <v>42347217912.917572</v>
      </c>
      <c r="O103">
        <v>45405615063.755127</v>
      </c>
      <c r="P103">
        <v>46869473150.609993</v>
      </c>
      <c r="Q103">
        <v>56396704671.57766</v>
      </c>
      <c r="R103">
        <v>61671440407.838669</v>
      </c>
      <c r="S103">
        <v>68285796514.289619</v>
      </c>
      <c r="T103">
        <v>70120446896.835907</v>
      </c>
      <c r="U103">
        <v>74815144163.893082</v>
      </c>
      <c r="V103">
        <v>82036510877.259888</v>
      </c>
      <c r="W103">
        <v>92202979985.286301</v>
      </c>
      <c r="X103">
        <v>100378436207.37134</v>
      </c>
      <c r="Y103">
        <v>100657505750.545</v>
      </c>
      <c r="Z103">
        <v>109703658904.99373</v>
      </c>
      <c r="AA103">
        <v>114448978152.63741</v>
      </c>
      <c r="AB103">
        <v>107500884685.01266</v>
      </c>
    </row>
    <row r="104" spans="1:28" x14ac:dyDescent="0.3">
      <c r="A104" t="s">
        <v>63</v>
      </c>
      <c r="B104" s="5" t="s">
        <v>64</v>
      </c>
      <c r="C104" t="s">
        <v>247</v>
      </c>
      <c r="D104" s="5" t="s">
        <v>248</v>
      </c>
      <c r="E104">
        <v>74910527.258675784</v>
      </c>
      <c r="F104">
        <v>64935850.157387704</v>
      </c>
      <c r="G104">
        <v>74743869.131347314</v>
      </c>
      <c r="H104">
        <v>96105619.379550353</v>
      </c>
      <c r="I104">
        <v>104085892.13327135</v>
      </c>
      <c r="J104">
        <v>113895437.32478638</v>
      </c>
      <c r="K104">
        <v>112338353.26471245</v>
      </c>
      <c r="L104">
        <v>138054945.64344242</v>
      </c>
      <c r="M104">
        <v>147017894.97876996</v>
      </c>
      <c r="N104">
        <v>140177384.1453951</v>
      </c>
      <c r="O104">
        <v>165458433.12764466</v>
      </c>
      <c r="P104">
        <v>195970140.17038301</v>
      </c>
      <c r="Q104">
        <v>207001545.86710927</v>
      </c>
      <c r="R104">
        <v>201730860.75785616</v>
      </c>
      <c r="S104">
        <v>200287281.98074028</v>
      </c>
      <c r="T104">
        <v>191559398.68829304</v>
      </c>
      <c r="U104">
        <v>206467818.503227</v>
      </c>
      <c r="V104">
        <v>222875736.34344453</v>
      </c>
      <c r="W104">
        <v>233514717.44126624</v>
      </c>
      <c r="X104">
        <v>216985388.32275409</v>
      </c>
      <c r="Y104">
        <v>220898020.41862658</v>
      </c>
      <c r="Z104">
        <v>285259881.13195074</v>
      </c>
      <c r="AA104">
        <v>270040453.25401759</v>
      </c>
      <c r="AB104">
        <v>288610747.73899126</v>
      </c>
    </row>
    <row r="105" spans="1:28" x14ac:dyDescent="0.3">
      <c r="A105" t="s">
        <v>63</v>
      </c>
      <c r="B105" s="5" t="s">
        <v>64</v>
      </c>
      <c r="C105" t="s">
        <v>249</v>
      </c>
      <c r="D105" s="5" t="s">
        <v>250</v>
      </c>
      <c r="E105" t="s">
        <v>73</v>
      </c>
      <c r="F105" t="s">
        <v>73</v>
      </c>
      <c r="G105" t="s">
        <v>73</v>
      </c>
      <c r="H105" t="s">
        <v>73</v>
      </c>
      <c r="I105" t="s">
        <v>73</v>
      </c>
      <c r="J105" t="s">
        <v>73</v>
      </c>
      <c r="K105" t="s">
        <v>73</v>
      </c>
      <c r="L105" t="s">
        <v>73</v>
      </c>
      <c r="M105" t="s">
        <v>73</v>
      </c>
      <c r="N105" t="s">
        <v>73</v>
      </c>
      <c r="O105" t="s">
        <v>73</v>
      </c>
      <c r="P105" t="s">
        <v>73</v>
      </c>
      <c r="Q105" t="s">
        <v>73</v>
      </c>
      <c r="R105" t="s">
        <v>73</v>
      </c>
      <c r="S105" t="s">
        <v>73</v>
      </c>
      <c r="T105" t="s">
        <v>73</v>
      </c>
      <c r="U105" t="s">
        <v>73</v>
      </c>
      <c r="V105" t="s">
        <v>73</v>
      </c>
      <c r="W105" t="s">
        <v>73</v>
      </c>
      <c r="X105" t="s">
        <v>73</v>
      </c>
      <c r="Y105" t="s">
        <v>73</v>
      </c>
      <c r="Z105" t="s">
        <v>73</v>
      </c>
      <c r="AA105" t="s">
        <v>73</v>
      </c>
      <c r="AB105" t="s">
        <v>73</v>
      </c>
    </row>
    <row r="106" spans="1:28" x14ac:dyDescent="0.3">
      <c r="A106" t="s">
        <v>63</v>
      </c>
      <c r="B106" s="5" t="s">
        <v>64</v>
      </c>
      <c r="C106" t="s">
        <v>34</v>
      </c>
      <c r="D106" s="5" t="s">
        <v>251</v>
      </c>
      <c r="E106">
        <v>597487173479.1095</v>
      </c>
      <c r="F106">
        <v>567564806235.44055</v>
      </c>
      <c r="G106">
        <v>650014391470.21045</v>
      </c>
      <c r="H106">
        <v>728516494684.26941</v>
      </c>
      <c r="I106">
        <v>823251107638.81372</v>
      </c>
      <c r="J106">
        <v>971740329983.87781</v>
      </c>
      <c r="K106">
        <v>1095175538508.1859</v>
      </c>
      <c r="L106">
        <v>1220911904593.0552</v>
      </c>
      <c r="M106">
        <v>1091580692542.3395</v>
      </c>
      <c r="N106">
        <v>983065242417.36035</v>
      </c>
      <c r="O106">
        <v>1192830015737.6821</v>
      </c>
      <c r="P106">
        <v>1307103477219.1016</v>
      </c>
      <c r="Q106">
        <v>1335343586437.6738</v>
      </c>
      <c r="R106">
        <v>1434669686501.8389</v>
      </c>
      <c r="S106">
        <v>1556252422020.4402</v>
      </c>
      <c r="T106">
        <v>1539212301135.5471</v>
      </c>
      <c r="U106">
        <v>1579150518945.4392</v>
      </c>
      <c r="V106">
        <v>1710196756713.1694</v>
      </c>
      <c r="W106">
        <v>1824251454306.8289</v>
      </c>
      <c r="X106">
        <v>1751045752054.627</v>
      </c>
      <c r="Y106">
        <v>1744070276373.3391</v>
      </c>
      <c r="Z106">
        <v>1942313560965.9043</v>
      </c>
      <c r="AA106">
        <v>1799363116866.521</v>
      </c>
      <c r="AB106">
        <v>1844800934391.5447</v>
      </c>
    </row>
    <row r="107" spans="1:28" x14ac:dyDescent="0.3">
      <c r="A107" t="s">
        <v>63</v>
      </c>
      <c r="B107" s="5" t="s">
        <v>64</v>
      </c>
      <c r="C107" t="s">
        <v>252</v>
      </c>
      <c r="D107" s="5" t="s">
        <v>253</v>
      </c>
      <c r="E107" t="s">
        <v>73</v>
      </c>
      <c r="F107" t="s">
        <v>73</v>
      </c>
      <c r="G107" t="s">
        <v>73</v>
      </c>
      <c r="H107" t="s">
        <v>73</v>
      </c>
      <c r="I107" t="s">
        <v>73</v>
      </c>
      <c r="J107" t="s">
        <v>73</v>
      </c>
      <c r="K107" t="s">
        <v>73</v>
      </c>
      <c r="L107" t="s">
        <v>73</v>
      </c>
      <c r="M107">
        <v>5181776768.7124653</v>
      </c>
      <c r="N107">
        <v>5015894692.9702692</v>
      </c>
      <c r="O107">
        <v>5343950556.0718489</v>
      </c>
      <c r="P107">
        <v>6341613609.9797611</v>
      </c>
      <c r="Q107">
        <v>6163484244.6340799</v>
      </c>
      <c r="R107">
        <v>6735328609.6594048</v>
      </c>
      <c r="S107">
        <v>7074394734.8843145</v>
      </c>
      <c r="T107">
        <v>6295848422.7157335</v>
      </c>
      <c r="U107">
        <v>6682677289.9899378</v>
      </c>
      <c r="V107">
        <v>7180768692.0151529</v>
      </c>
      <c r="W107">
        <v>7878762812.2768917</v>
      </c>
      <c r="X107">
        <v>7899741278.751976</v>
      </c>
      <c r="Y107">
        <v>7717143395.5473242</v>
      </c>
      <c r="Z107">
        <v>9413408574.4948997</v>
      </c>
      <c r="AA107">
        <v>9354907646.2978477</v>
      </c>
      <c r="AB107">
        <v>10468224574.753883</v>
      </c>
    </row>
    <row r="108" spans="1:28" x14ac:dyDescent="0.3">
      <c r="A108" t="s">
        <v>63</v>
      </c>
      <c r="B108" s="5" t="s">
        <v>64</v>
      </c>
      <c r="C108" t="s">
        <v>254</v>
      </c>
      <c r="D108" s="5" t="s">
        <v>255</v>
      </c>
      <c r="E108">
        <v>37718743480.075104</v>
      </c>
      <c r="F108">
        <v>34889559869.832596</v>
      </c>
      <c r="G108">
        <v>38135788413.827591</v>
      </c>
      <c r="H108">
        <v>47874582231.58799</v>
      </c>
      <c r="I108">
        <v>59439090600.610786</v>
      </c>
      <c r="J108">
        <v>80798630136.986313</v>
      </c>
      <c r="K108">
        <v>101557330723.42303</v>
      </c>
      <c r="L108">
        <v>114634043361.69223</v>
      </c>
      <c r="M108">
        <v>147379737229.75284</v>
      </c>
      <c r="N108">
        <v>105968691905.4155</v>
      </c>
      <c r="O108">
        <v>115416245241.74216</v>
      </c>
      <c r="P108">
        <v>154039231245.85568</v>
      </c>
      <c r="Q108">
        <v>174047662680.04114</v>
      </c>
      <c r="R108">
        <v>174168116534.84445</v>
      </c>
      <c r="S108">
        <v>162650450684.72452</v>
      </c>
      <c r="T108">
        <v>114585555688.51129</v>
      </c>
      <c r="U108">
        <v>109406674124.65208</v>
      </c>
      <c r="V108">
        <v>120687539805.50519</v>
      </c>
      <c r="W108">
        <v>138646316350.72659</v>
      </c>
      <c r="X108">
        <v>140856394860.52875</v>
      </c>
      <c r="Y108">
        <v>111045470605.71527</v>
      </c>
      <c r="Z108">
        <v>148350671489.14444</v>
      </c>
      <c r="AA108">
        <v>183502046693.87753</v>
      </c>
      <c r="AB108">
        <v>165384407116.23291</v>
      </c>
    </row>
    <row r="109" spans="1:28" x14ac:dyDescent="0.3">
      <c r="A109" t="s">
        <v>63</v>
      </c>
      <c r="B109" s="5" t="s">
        <v>64</v>
      </c>
      <c r="C109" t="s">
        <v>256</v>
      </c>
      <c r="D109" s="5" t="s">
        <v>257</v>
      </c>
      <c r="E109">
        <v>1369688498.0677826</v>
      </c>
      <c r="F109">
        <v>1525116370.279392</v>
      </c>
      <c r="G109">
        <v>1605643104.730212</v>
      </c>
      <c r="H109">
        <v>1919008090.4964125</v>
      </c>
      <c r="I109">
        <v>2211534585.0033989</v>
      </c>
      <c r="J109">
        <v>2460246766.4140053</v>
      </c>
      <c r="K109">
        <v>2834168889.4201913</v>
      </c>
      <c r="L109">
        <v>3802570552.5610461</v>
      </c>
      <c r="M109">
        <v>5139958909.1793556</v>
      </c>
      <c r="N109">
        <v>4690061380.6025286</v>
      </c>
      <c r="O109">
        <v>4794361863.0135269</v>
      </c>
      <c r="P109">
        <v>6197765984.2846842</v>
      </c>
      <c r="Q109">
        <v>6605142884.3621473</v>
      </c>
      <c r="R109">
        <v>7335033800.5905638</v>
      </c>
      <c r="S109">
        <v>7468102412.682374</v>
      </c>
      <c r="T109">
        <v>6678177511.6631308</v>
      </c>
      <c r="U109">
        <v>6813095379.1187019</v>
      </c>
      <c r="V109">
        <v>7702938379.4203596</v>
      </c>
      <c r="W109">
        <v>8271106235.4155235</v>
      </c>
      <c r="X109">
        <v>9371275264.3673458</v>
      </c>
      <c r="Y109">
        <v>8270468614.2405109</v>
      </c>
      <c r="Z109">
        <v>9249133946.2653141</v>
      </c>
      <c r="AA109">
        <v>12134931017.946526</v>
      </c>
      <c r="AB109">
        <v>15180842369.489408</v>
      </c>
    </row>
    <row r="110" spans="1:28" x14ac:dyDescent="0.3">
      <c r="A110" t="s">
        <v>63</v>
      </c>
      <c r="B110" s="5" t="s">
        <v>64</v>
      </c>
      <c r="C110" t="s">
        <v>258</v>
      </c>
      <c r="D110" s="5" t="s">
        <v>259</v>
      </c>
      <c r="E110">
        <v>1731198022.4676313</v>
      </c>
      <c r="F110">
        <v>1768619058.3464744</v>
      </c>
      <c r="G110">
        <v>1758176653.0774584</v>
      </c>
      <c r="H110">
        <v>2023324407.2841384</v>
      </c>
      <c r="I110">
        <v>2366398119.8632078</v>
      </c>
      <c r="J110">
        <v>2735558734.7379031</v>
      </c>
      <c r="K110">
        <v>3455030060.978498</v>
      </c>
      <c r="L110">
        <v>4223152739.0405164</v>
      </c>
      <c r="M110">
        <v>5446433157.4011383</v>
      </c>
      <c r="N110">
        <v>5836137329.6330538</v>
      </c>
      <c r="O110">
        <v>7131771014.7045641</v>
      </c>
      <c r="P110">
        <v>8750104617.1730289</v>
      </c>
      <c r="Q110">
        <v>10192846339.40287</v>
      </c>
      <c r="R110">
        <v>11983252626.545183</v>
      </c>
      <c r="S110">
        <v>13279245886.385435</v>
      </c>
      <c r="T110">
        <v>14426380125.648829</v>
      </c>
      <c r="U110">
        <v>15912501722.614256</v>
      </c>
      <c r="V110">
        <v>17071155481.499359</v>
      </c>
      <c r="W110">
        <v>18141641089.796326</v>
      </c>
      <c r="X110">
        <v>18740561512.555496</v>
      </c>
      <c r="Y110">
        <v>18981805250.242397</v>
      </c>
      <c r="Z110">
        <v>18827148530.934723</v>
      </c>
      <c r="AA110">
        <v>15468785203.753174</v>
      </c>
      <c r="AB110">
        <v>15843155731.25518</v>
      </c>
    </row>
    <row r="111" spans="1:28" x14ac:dyDescent="0.3">
      <c r="A111" t="s">
        <v>63</v>
      </c>
      <c r="B111" s="5" t="s">
        <v>64</v>
      </c>
      <c r="C111" t="s">
        <v>28</v>
      </c>
      <c r="D111" s="5" t="s">
        <v>260</v>
      </c>
      <c r="E111">
        <v>7761252607.1842413</v>
      </c>
      <c r="F111">
        <v>8190888739.6462955</v>
      </c>
      <c r="G111">
        <v>9249030241.0186443</v>
      </c>
      <c r="H111">
        <v>11244337719.837658</v>
      </c>
      <c r="I111">
        <v>13827070378.561207</v>
      </c>
      <c r="J111">
        <v>16306935905.413815</v>
      </c>
      <c r="K111">
        <v>20434922247.303738</v>
      </c>
      <c r="L111">
        <v>29420499247.708931</v>
      </c>
      <c r="M111">
        <v>34135200994.006721</v>
      </c>
      <c r="N111">
        <v>25691530442.035027</v>
      </c>
      <c r="O111">
        <v>23468324572.334278</v>
      </c>
      <c r="P111">
        <v>26575547900.824738</v>
      </c>
      <c r="Q111">
        <v>27116149948.668335</v>
      </c>
      <c r="R111">
        <v>29152128167.843811</v>
      </c>
      <c r="S111">
        <v>30277203767.405777</v>
      </c>
      <c r="T111">
        <v>26344565876.890221</v>
      </c>
      <c r="U111">
        <v>27117105059.507458</v>
      </c>
      <c r="V111">
        <v>29391059767.425934</v>
      </c>
      <c r="W111">
        <v>33247935477.357624</v>
      </c>
      <c r="X111">
        <v>33099503950.847004</v>
      </c>
      <c r="Y111">
        <v>33379927434.61488</v>
      </c>
      <c r="Z111">
        <v>38183326784.933495</v>
      </c>
      <c r="AA111">
        <v>38003198508.910652</v>
      </c>
      <c r="AB111">
        <v>42779550936.838013</v>
      </c>
    </row>
    <row r="112" spans="1:28" x14ac:dyDescent="0.3">
      <c r="A112" t="s">
        <v>63</v>
      </c>
      <c r="B112" s="5" t="s">
        <v>64</v>
      </c>
      <c r="C112" t="s">
        <v>261</v>
      </c>
      <c r="D112" s="5" t="s">
        <v>262</v>
      </c>
      <c r="E112">
        <v>17260364842.454395</v>
      </c>
      <c r="F112">
        <v>17649751243.781094</v>
      </c>
      <c r="G112">
        <v>19152238805.97015</v>
      </c>
      <c r="H112">
        <v>20082918739.635159</v>
      </c>
      <c r="I112">
        <v>21159827992.039803</v>
      </c>
      <c r="J112">
        <v>21497336498.839138</v>
      </c>
      <c r="K112">
        <v>22022709851.409618</v>
      </c>
      <c r="L112">
        <v>24827355014.925373</v>
      </c>
      <c r="M112">
        <v>29118916105.472637</v>
      </c>
      <c r="N112">
        <v>35399582928.68988</v>
      </c>
      <c r="O112">
        <v>38443907042.122719</v>
      </c>
      <c r="P112">
        <v>39927125961.525703</v>
      </c>
      <c r="Q112">
        <v>44016799515.754562</v>
      </c>
      <c r="R112">
        <v>46880103080.597015</v>
      </c>
      <c r="S112">
        <v>48095213746.600334</v>
      </c>
      <c r="T112">
        <v>49929337836.815918</v>
      </c>
      <c r="U112">
        <v>51147308774.129356</v>
      </c>
      <c r="V112">
        <v>53027680685.903816</v>
      </c>
      <c r="W112">
        <v>54901519155.555557</v>
      </c>
      <c r="X112">
        <v>51605959131.274132</v>
      </c>
      <c r="Y112">
        <v>31712128253.796097</v>
      </c>
      <c r="Z112">
        <v>23131941556.784348</v>
      </c>
      <c r="AA112">
        <v>20992421948.808086</v>
      </c>
      <c r="AB112">
        <v>20078620356.993057</v>
      </c>
    </row>
    <row r="113" spans="1:28" x14ac:dyDescent="0.3">
      <c r="A113" t="s">
        <v>63</v>
      </c>
      <c r="B113" s="5" t="s">
        <v>64</v>
      </c>
      <c r="C113" t="s">
        <v>263</v>
      </c>
      <c r="D113" s="5" t="s">
        <v>264</v>
      </c>
      <c r="E113">
        <v>887291687.92079568</v>
      </c>
      <c r="F113">
        <v>825706961.2386893</v>
      </c>
      <c r="G113">
        <v>775777238.55814016</v>
      </c>
      <c r="H113">
        <v>1157825434.7897069</v>
      </c>
      <c r="I113">
        <v>1511236655.5204656</v>
      </c>
      <c r="J113">
        <v>1682343527.492213</v>
      </c>
      <c r="K113">
        <v>1800092563.7546151</v>
      </c>
      <c r="L113">
        <v>1682131784.5136483</v>
      </c>
      <c r="M113">
        <v>1766902709.1993523</v>
      </c>
      <c r="N113">
        <v>1740894964.8051126</v>
      </c>
      <c r="O113">
        <v>2234754241.919178</v>
      </c>
      <c r="P113">
        <v>2579409619.967217</v>
      </c>
      <c r="Q113">
        <v>2477702216.2688751</v>
      </c>
      <c r="R113">
        <v>2367112931.6420012</v>
      </c>
      <c r="S113">
        <v>2441063054.057919</v>
      </c>
      <c r="T113">
        <v>2359686724.5382862</v>
      </c>
      <c r="U113">
        <v>2114426452.2018969</v>
      </c>
      <c r="V113">
        <v>2306741672.290062</v>
      </c>
      <c r="W113">
        <v>2556247291.9978547</v>
      </c>
      <c r="X113">
        <v>2390702295.827774</v>
      </c>
      <c r="Y113">
        <v>2053699863.9962499</v>
      </c>
      <c r="Z113">
        <v>2412130056.5585098</v>
      </c>
      <c r="AA113">
        <v>2354980960.0269704</v>
      </c>
      <c r="AB113">
        <v>2117962445.374706</v>
      </c>
    </row>
    <row r="114" spans="1:28" x14ac:dyDescent="0.3">
      <c r="A114" t="s">
        <v>63</v>
      </c>
      <c r="B114" s="5" t="s">
        <v>64</v>
      </c>
      <c r="C114" t="s">
        <v>265</v>
      </c>
      <c r="D114" s="5" t="s">
        <v>266</v>
      </c>
      <c r="E114">
        <v>874000000</v>
      </c>
      <c r="F114">
        <v>906000000</v>
      </c>
      <c r="G114">
        <v>927000000</v>
      </c>
      <c r="H114">
        <v>748000000</v>
      </c>
      <c r="I114">
        <v>897000000</v>
      </c>
      <c r="J114">
        <v>949000000</v>
      </c>
      <c r="K114">
        <v>1119000000</v>
      </c>
      <c r="L114">
        <v>1373000000</v>
      </c>
      <c r="M114">
        <v>1726000000</v>
      </c>
      <c r="N114">
        <v>1768000000</v>
      </c>
      <c r="O114">
        <v>1998000000</v>
      </c>
      <c r="P114">
        <v>2398000000</v>
      </c>
      <c r="Q114">
        <v>2791614000</v>
      </c>
      <c r="R114">
        <v>3177198100</v>
      </c>
      <c r="S114">
        <v>3225652000</v>
      </c>
      <c r="T114">
        <v>3227075700</v>
      </c>
      <c r="U114">
        <v>3398419600</v>
      </c>
      <c r="V114">
        <v>3390703400</v>
      </c>
      <c r="W114">
        <v>3422754800</v>
      </c>
      <c r="X114">
        <v>3319596500</v>
      </c>
      <c r="Y114">
        <v>3176126300</v>
      </c>
      <c r="Z114">
        <v>3513049500</v>
      </c>
      <c r="AA114">
        <v>4001047000</v>
      </c>
      <c r="AB114">
        <v>4390000000</v>
      </c>
    </row>
    <row r="115" spans="1:28" x14ac:dyDescent="0.3">
      <c r="A115" t="s">
        <v>63</v>
      </c>
      <c r="B115" s="5" t="s">
        <v>64</v>
      </c>
      <c r="C115" t="s">
        <v>267</v>
      </c>
      <c r="D115" s="5" t="s">
        <v>268</v>
      </c>
      <c r="E115">
        <v>38270954138.112808</v>
      </c>
      <c r="F115">
        <v>34112093927.253975</v>
      </c>
      <c r="G115">
        <v>20481889763.779526</v>
      </c>
      <c r="H115">
        <v>26265625000</v>
      </c>
      <c r="I115">
        <v>33122307692.30769</v>
      </c>
      <c r="J115">
        <v>47334691241.492378</v>
      </c>
      <c r="K115">
        <v>60094231606.642044</v>
      </c>
      <c r="L115">
        <v>68032978390.600685</v>
      </c>
      <c r="M115">
        <v>86710767415.137115</v>
      </c>
      <c r="N115">
        <v>60808562033.419121</v>
      </c>
      <c r="O115">
        <v>75380825062.4216</v>
      </c>
      <c r="P115">
        <v>48169263294.100739</v>
      </c>
      <c r="Q115">
        <v>92540938129.131454</v>
      </c>
      <c r="R115">
        <v>75351107029.060486</v>
      </c>
      <c r="S115">
        <v>57372355592.022018</v>
      </c>
      <c r="T115">
        <v>48717501321.305237</v>
      </c>
      <c r="U115">
        <v>49912073701.298004</v>
      </c>
      <c r="V115">
        <v>67157452181.773827</v>
      </c>
      <c r="W115">
        <v>76686029772.148331</v>
      </c>
      <c r="X115">
        <v>69254496471.693802</v>
      </c>
      <c r="Y115">
        <v>46854285440.641991</v>
      </c>
      <c r="Z115">
        <v>35217995647.286201</v>
      </c>
      <c r="AA115">
        <v>43246297921.849922</v>
      </c>
      <c r="AB115">
        <v>44027664915.187004</v>
      </c>
    </row>
    <row r="116" spans="1:28" x14ac:dyDescent="0.3">
      <c r="A116" t="s">
        <v>63</v>
      </c>
      <c r="B116" s="5" t="s">
        <v>64</v>
      </c>
      <c r="C116" t="s">
        <v>269</v>
      </c>
      <c r="D116" s="5" t="s">
        <v>270</v>
      </c>
      <c r="E116">
        <v>2483889858.3231239</v>
      </c>
      <c r="F116">
        <v>2491800558.7767353</v>
      </c>
      <c r="G116">
        <v>2688618747.3814759</v>
      </c>
      <c r="H116">
        <v>3070803051.4216375</v>
      </c>
      <c r="I116">
        <v>3454373797.7444239</v>
      </c>
      <c r="J116">
        <v>3659319116.8805718</v>
      </c>
      <c r="K116">
        <v>4000102086.1463513</v>
      </c>
      <c r="L116">
        <v>4601429897.2146826</v>
      </c>
      <c r="M116">
        <v>5081479840.0871572</v>
      </c>
      <c r="N116">
        <v>4504375348.0703812</v>
      </c>
      <c r="O116">
        <v>5082337238.4471846</v>
      </c>
      <c r="P116">
        <v>5739706004.8961649</v>
      </c>
      <c r="Q116">
        <v>5456102482.2861433</v>
      </c>
      <c r="R116">
        <v>6391708310.6772661</v>
      </c>
      <c r="S116">
        <v>6657526979.7227745</v>
      </c>
      <c r="T116">
        <v>6268515276.1744051</v>
      </c>
      <c r="U116">
        <v>6237302033.5013199</v>
      </c>
      <c r="V116">
        <v>6474308717.8528919</v>
      </c>
      <c r="W116">
        <v>6692620691.8414583</v>
      </c>
      <c r="X116">
        <v>6436467007.119318</v>
      </c>
      <c r="Y116">
        <v>6405870210.3229303</v>
      </c>
      <c r="Z116">
        <v>7912602342.1889458</v>
      </c>
      <c r="AA116">
        <v>7426856242.7735977</v>
      </c>
      <c r="AB116">
        <v>8239379403.2209597</v>
      </c>
    </row>
    <row r="117" spans="1:28" x14ac:dyDescent="0.3">
      <c r="A117" t="s">
        <v>63</v>
      </c>
      <c r="B117" s="5" t="s">
        <v>64</v>
      </c>
      <c r="C117" t="s">
        <v>271</v>
      </c>
      <c r="D117" s="5" t="s">
        <v>272</v>
      </c>
      <c r="E117">
        <v>11550695727.23349</v>
      </c>
      <c r="F117">
        <v>12260761329.305136</v>
      </c>
      <c r="G117">
        <v>14282292664.600357</v>
      </c>
      <c r="H117">
        <v>18809197969.543148</v>
      </c>
      <c r="I117">
        <v>22743164431.197216</v>
      </c>
      <c r="J117">
        <v>26105207115.312851</v>
      </c>
      <c r="K117">
        <v>30116192746.894215</v>
      </c>
      <c r="L117">
        <v>39729151614.668854</v>
      </c>
      <c r="M117">
        <v>47831254207.522316</v>
      </c>
      <c r="N117">
        <v>37494380038.921318</v>
      </c>
      <c r="O117">
        <v>36638128534.064323</v>
      </c>
      <c r="P117">
        <v>43186501862.790695</v>
      </c>
      <c r="Q117">
        <v>42709372066.862656</v>
      </c>
      <c r="R117">
        <v>46303660422.043365</v>
      </c>
      <c r="S117">
        <v>48306546656.928139</v>
      </c>
      <c r="T117">
        <v>41540954817.203888</v>
      </c>
      <c r="U117">
        <v>42970749245.033569</v>
      </c>
      <c r="V117">
        <v>47756764508.445961</v>
      </c>
      <c r="W117">
        <v>54261795148.537216</v>
      </c>
      <c r="X117">
        <v>55122066225.79599</v>
      </c>
      <c r="Y117">
        <v>57412038533.271751</v>
      </c>
      <c r="Z117">
        <v>67037321008.967918</v>
      </c>
      <c r="AA117">
        <v>71033884499.782379</v>
      </c>
      <c r="AB117">
        <v>79789877416.168076</v>
      </c>
    </row>
    <row r="118" spans="1:28" x14ac:dyDescent="0.3">
      <c r="A118" t="s">
        <v>63</v>
      </c>
      <c r="B118" s="5" t="s">
        <v>64</v>
      </c>
      <c r="C118" t="s">
        <v>273</v>
      </c>
      <c r="D118" s="5" t="s">
        <v>274</v>
      </c>
      <c r="E118">
        <v>21230182989.303574</v>
      </c>
      <c r="F118">
        <v>21387533703.232704</v>
      </c>
      <c r="G118">
        <v>23649833332.165531</v>
      </c>
      <c r="H118">
        <v>29667268248.130527</v>
      </c>
      <c r="I118">
        <v>35064843792.899323</v>
      </c>
      <c r="J118">
        <v>37672280120.479362</v>
      </c>
      <c r="K118">
        <v>42910146296.064644</v>
      </c>
      <c r="L118">
        <v>51587401415.787224</v>
      </c>
      <c r="M118">
        <v>58844277701.525764</v>
      </c>
      <c r="N118">
        <v>54467289897.558167</v>
      </c>
      <c r="O118">
        <v>56213985987.416779</v>
      </c>
      <c r="P118">
        <v>61696281326.245255</v>
      </c>
      <c r="Q118">
        <v>59776383527.360168</v>
      </c>
      <c r="R118">
        <v>65203276466.976265</v>
      </c>
      <c r="S118">
        <v>68804811897.64447</v>
      </c>
      <c r="T118">
        <v>60071584216.137466</v>
      </c>
      <c r="U118">
        <v>62216885435.948792</v>
      </c>
      <c r="V118">
        <v>65712180342.983643</v>
      </c>
      <c r="W118">
        <v>71085623495.114456</v>
      </c>
      <c r="X118">
        <v>69872035113.646942</v>
      </c>
      <c r="Y118">
        <v>73670782100.390869</v>
      </c>
      <c r="Z118">
        <v>86386759695.165283</v>
      </c>
      <c r="AA118">
        <v>80801680397.013931</v>
      </c>
      <c r="AB118">
        <v>88788881539.393723</v>
      </c>
    </row>
    <row r="119" spans="1:28" x14ac:dyDescent="0.3">
      <c r="A119" t="s">
        <v>63</v>
      </c>
      <c r="B119" s="5" t="s">
        <v>64</v>
      </c>
      <c r="C119" t="s">
        <v>275</v>
      </c>
      <c r="D119" s="5" t="s">
        <v>276</v>
      </c>
      <c r="E119">
        <v>6773944355.1502008</v>
      </c>
      <c r="F119">
        <v>6860272608.4521065</v>
      </c>
      <c r="G119">
        <v>7371692774.4340429</v>
      </c>
      <c r="H119">
        <v>8246479565.9424772</v>
      </c>
      <c r="I119">
        <v>10643253553.184044</v>
      </c>
      <c r="J119">
        <v>12160056122.375738</v>
      </c>
      <c r="K119">
        <v>14874098691.908167</v>
      </c>
      <c r="L119">
        <v>18439981612.408588</v>
      </c>
      <c r="M119">
        <v>21027018332.66626</v>
      </c>
      <c r="N119">
        <v>21589540350.711517</v>
      </c>
      <c r="O119">
        <v>28244172833.603489</v>
      </c>
      <c r="P119">
        <v>36848881944.693878</v>
      </c>
      <c r="Q119">
        <v>43193350975.686195</v>
      </c>
      <c r="R119">
        <v>51559125350.236038</v>
      </c>
      <c r="S119">
        <v>54930501310.295601</v>
      </c>
      <c r="T119">
        <v>44940613353.103836</v>
      </c>
      <c r="U119">
        <v>44964868323.755753</v>
      </c>
      <c r="V119">
        <v>50297028370.666779</v>
      </c>
      <c r="W119">
        <v>55076322634.343956</v>
      </c>
      <c r="X119">
        <v>55025172016.004021</v>
      </c>
      <c r="Y119">
        <v>25280064167.733334</v>
      </c>
      <c r="Z119">
        <v>30633941629.363293</v>
      </c>
      <c r="AA119">
        <v>24929307447.323727</v>
      </c>
      <c r="AB119">
        <v>45626467279.890961</v>
      </c>
    </row>
    <row r="120" spans="1:28" x14ac:dyDescent="0.3">
      <c r="A120" t="s">
        <v>63</v>
      </c>
      <c r="B120" s="5" t="s">
        <v>64</v>
      </c>
      <c r="C120" t="s">
        <v>277</v>
      </c>
      <c r="D120" s="5" t="s">
        <v>278</v>
      </c>
      <c r="E120">
        <v>4629247203.8452396</v>
      </c>
      <c r="F120">
        <v>5438332601.9079809</v>
      </c>
      <c r="G120">
        <v>5351701663.4080744</v>
      </c>
      <c r="H120">
        <v>6372498889.6658478</v>
      </c>
      <c r="I120">
        <v>5064732626.293891</v>
      </c>
      <c r="J120">
        <v>5859269752.6133204</v>
      </c>
      <c r="K120">
        <v>6395712490.9430408</v>
      </c>
      <c r="L120">
        <v>8524620889.5774679</v>
      </c>
      <c r="M120">
        <v>10725137723.654873</v>
      </c>
      <c r="N120">
        <v>9616879409.4378929</v>
      </c>
      <c r="O120">
        <v>9982711338.0702896</v>
      </c>
      <c r="P120">
        <v>11551819617.874023</v>
      </c>
      <c r="Q120">
        <v>11578975061.947945</v>
      </c>
      <c r="R120">
        <v>12423555455.385321</v>
      </c>
      <c r="S120">
        <v>12522957399.228104</v>
      </c>
      <c r="T120">
        <v>11323020701.301685</v>
      </c>
      <c r="U120">
        <v>11848613858.441998</v>
      </c>
      <c r="V120">
        <v>13176313593.550934</v>
      </c>
      <c r="W120">
        <v>13760033282.292511</v>
      </c>
      <c r="X120">
        <v>14104664678.506332</v>
      </c>
      <c r="Y120">
        <v>13051441203.947355</v>
      </c>
      <c r="Z120">
        <v>14354731964.325781</v>
      </c>
      <c r="AA120">
        <v>15325603272.609709</v>
      </c>
      <c r="AB120">
        <v>15869945477.850527</v>
      </c>
    </row>
    <row r="121" spans="1:28" x14ac:dyDescent="0.3">
      <c r="A121" t="s">
        <v>63</v>
      </c>
      <c r="B121" s="5" t="s">
        <v>64</v>
      </c>
      <c r="C121" t="s">
        <v>279</v>
      </c>
      <c r="D121" s="5" t="s">
        <v>280</v>
      </c>
      <c r="E121">
        <v>2537307580.328084</v>
      </c>
      <c r="F121">
        <v>2498008664.669095</v>
      </c>
      <c r="G121">
        <v>5087328437.8736963</v>
      </c>
      <c r="H121">
        <v>4669789300.3566208</v>
      </c>
      <c r="I121">
        <v>5058726350.4889584</v>
      </c>
      <c r="J121">
        <v>5320409651.4754362</v>
      </c>
      <c r="K121">
        <v>5818279739.1435413</v>
      </c>
      <c r="L121">
        <v>6451210219.1168308</v>
      </c>
      <c r="M121">
        <v>7743617352.2142696</v>
      </c>
      <c r="N121">
        <v>9009887946.8203945</v>
      </c>
      <c r="O121">
        <v>10128323010.604923</v>
      </c>
      <c r="P121">
        <v>11648142958.365147</v>
      </c>
      <c r="Q121">
        <v>8773203178.1651192</v>
      </c>
      <c r="R121">
        <v>8031571927.6205492</v>
      </c>
      <c r="S121">
        <v>8801326169.1454697</v>
      </c>
      <c r="T121">
        <v>9219474379.3153419</v>
      </c>
      <c r="U121">
        <v>7909868618.4636602</v>
      </c>
      <c r="V121">
        <v>8943543793.5839024</v>
      </c>
      <c r="W121">
        <v>9879220354.2918606</v>
      </c>
      <c r="X121">
        <v>11051852712.614197</v>
      </c>
      <c r="Y121">
        <v>11769313597.85449</v>
      </c>
      <c r="Z121">
        <v>12378119199.083906</v>
      </c>
      <c r="AA121">
        <v>12429059928.101988</v>
      </c>
      <c r="AB121">
        <v>13363669672.940546</v>
      </c>
    </row>
    <row r="122" spans="1:28" x14ac:dyDescent="0.3">
      <c r="A122" t="s">
        <v>63</v>
      </c>
      <c r="B122" s="5" t="s">
        <v>64</v>
      </c>
      <c r="C122" t="s">
        <v>281</v>
      </c>
      <c r="D122" s="5" t="s">
        <v>282</v>
      </c>
      <c r="E122">
        <v>93789736842.10527</v>
      </c>
      <c r="F122">
        <v>92783947368.421051</v>
      </c>
      <c r="G122">
        <v>100845526315.78947</v>
      </c>
      <c r="H122">
        <v>110202368421.05264</v>
      </c>
      <c r="I122">
        <v>124749473684.21053</v>
      </c>
      <c r="J122">
        <v>143534405818.50137</v>
      </c>
      <c r="K122">
        <v>162692258307.05551</v>
      </c>
      <c r="L122">
        <v>193549569477.73267</v>
      </c>
      <c r="M122">
        <v>230811614370.38364</v>
      </c>
      <c r="N122">
        <v>202257453036.6409</v>
      </c>
      <c r="O122">
        <v>255017638455.58969</v>
      </c>
      <c r="P122">
        <v>297951668674.83466</v>
      </c>
      <c r="Q122">
        <v>314443047642.11096</v>
      </c>
      <c r="R122">
        <v>323276235524.41534</v>
      </c>
      <c r="S122">
        <v>338066095097.25439</v>
      </c>
      <c r="T122">
        <v>301355266964.94733</v>
      </c>
      <c r="U122">
        <v>301256033870.33356</v>
      </c>
      <c r="V122">
        <v>319109094160.34308</v>
      </c>
      <c r="W122">
        <v>358788845712.52972</v>
      </c>
      <c r="X122">
        <v>365177721021.51611</v>
      </c>
      <c r="Y122">
        <v>337456163961.21118</v>
      </c>
      <c r="Z122">
        <v>373784553029.9776</v>
      </c>
      <c r="AA122">
        <v>407830525989.55347</v>
      </c>
      <c r="AB122">
        <v>399949418752.65729</v>
      </c>
    </row>
    <row r="123" spans="1:28" x14ac:dyDescent="0.3">
      <c r="A123" t="s">
        <v>63</v>
      </c>
      <c r="B123" s="5" t="s">
        <v>64</v>
      </c>
      <c r="C123" t="s">
        <v>283</v>
      </c>
      <c r="D123" s="5" t="s">
        <v>284</v>
      </c>
      <c r="E123">
        <v>624337145.28462195</v>
      </c>
      <c r="F123">
        <v>870031676.7987932</v>
      </c>
      <c r="G123">
        <v>897031250</v>
      </c>
      <c r="H123">
        <v>1052121054.6875</v>
      </c>
      <c r="I123">
        <v>1226829562.5</v>
      </c>
      <c r="J123">
        <v>1163362437.5</v>
      </c>
      <c r="K123">
        <v>1575200390.625</v>
      </c>
      <c r="L123">
        <v>1868383460.9375</v>
      </c>
      <c r="M123">
        <v>2271646187.5</v>
      </c>
      <c r="N123">
        <v>2345294875</v>
      </c>
      <c r="O123">
        <v>2588176054.6875</v>
      </c>
      <c r="P123">
        <v>2774350240.0491767</v>
      </c>
      <c r="Q123">
        <v>2886163997.205307</v>
      </c>
      <c r="R123">
        <v>3295009237.5010657</v>
      </c>
      <c r="S123">
        <v>3697353039.2004261</v>
      </c>
      <c r="T123">
        <v>4129505319.1292052</v>
      </c>
      <c r="U123">
        <v>4409942623.8553791</v>
      </c>
      <c r="V123">
        <v>4816426256.5291443</v>
      </c>
      <c r="W123">
        <v>5404344162.698884</v>
      </c>
      <c r="X123">
        <v>5726094799.3770914</v>
      </c>
      <c r="Y123">
        <v>3712604583.366653</v>
      </c>
      <c r="Z123">
        <v>5252457369.5521765</v>
      </c>
      <c r="AA123">
        <v>6177123352.2621107</v>
      </c>
      <c r="AB123">
        <v>6621008703.9574327</v>
      </c>
    </row>
    <row r="124" spans="1:28" x14ac:dyDescent="0.3">
      <c r="A124" t="s">
        <v>63</v>
      </c>
      <c r="B124" s="5" t="s">
        <v>64</v>
      </c>
      <c r="C124" t="s">
        <v>285</v>
      </c>
      <c r="D124" s="5" t="s">
        <v>286</v>
      </c>
      <c r="E124">
        <v>3521570875.9079313</v>
      </c>
      <c r="F124">
        <v>4124281593.7177448</v>
      </c>
      <c r="G124">
        <v>4647238256.5683012</v>
      </c>
      <c r="H124">
        <v>5605613011.2904482</v>
      </c>
      <c r="I124">
        <v>6485774930.480341</v>
      </c>
      <c r="J124">
        <v>7429066951.4825115</v>
      </c>
      <c r="K124">
        <v>8212007554.0312948</v>
      </c>
      <c r="L124">
        <v>9699047442.5126915</v>
      </c>
      <c r="M124">
        <v>11462490840.278399</v>
      </c>
      <c r="N124">
        <v>12155217832.878136</v>
      </c>
      <c r="O124">
        <v>12710739159.404459</v>
      </c>
      <c r="P124">
        <v>15452791789.003117</v>
      </c>
      <c r="Q124">
        <v>14795114602.639622</v>
      </c>
      <c r="R124">
        <v>15747192680.910059</v>
      </c>
      <c r="S124">
        <v>17081681993.169497</v>
      </c>
      <c r="T124">
        <v>15583181170.410469</v>
      </c>
      <c r="U124">
        <v>16743796799.83289</v>
      </c>
      <c r="V124">
        <v>18308362040.052063</v>
      </c>
      <c r="W124">
        <v>20368015381.241299</v>
      </c>
      <c r="X124">
        <v>20477421884.541363</v>
      </c>
      <c r="Y124">
        <v>20698560938.777515</v>
      </c>
      <c r="Z124">
        <v>22999245262.671898</v>
      </c>
      <c r="AA124">
        <v>22539987718.764156</v>
      </c>
      <c r="AB124">
        <v>24813860598.530674</v>
      </c>
    </row>
    <row r="125" spans="1:28" x14ac:dyDescent="0.3">
      <c r="A125" t="s">
        <v>63</v>
      </c>
      <c r="B125" s="5" t="s">
        <v>64</v>
      </c>
      <c r="C125" t="s">
        <v>287</v>
      </c>
      <c r="D125" s="5" t="s">
        <v>288</v>
      </c>
      <c r="E125">
        <v>4036809815.4661651</v>
      </c>
      <c r="F125">
        <v>4070867133.2175059</v>
      </c>
      <c r="G125">
        <v>4455127414.4596672</v>
      </c>
      <c r="H125">
        <v>5418315224.4086208</v>
      </c>
      <c r="I125">
        <v>6104141520.0839014</v>
      </c>
      <c r="J125">
        <v>6393234992.5514107</v>
      </c>
      <c r="K125">
        <v>6749838805.5897884</v>
      </c>
      <c r="L125">
        <v>7908412305.6280823</v>
      </c>
      <c r="M125">
        <v>9135419464.9608822</v>
      </c>
      <c r="N125">
        <v>8734745697.9332294</v>
      </c>
      <c r="O125">
        <v>9097044159.2691193</v>
      </c>
      <c r="P125">
        <v>9789361703.0720444</v>
      </c>
      <c r="Q125">
        <v>9609532089.1603146</v>
      </c>
      <c r="R125">
        <v>10796782636.108097</v>
      </c>
      <c r="S125">
        <v>11888032873.829456</v>
      </c>
      <c r="T125">
        <v>11340795042.088058</v>
      </c>
      <c r="U125">
        <v>12025782834.1534</v>
      </c>
      <c r="V125">
        <v>14161366724.195496</v>
      </c>
      <c r="W125">
        <v>16153779510.99279</v>
      </c>
      <c r="X125">
        <v>16337793530.732161</v>
      </c>
      <c r="Y125">
        <v>16404663226.459784</v>
      </c>
      <c r="Z125">
        <v>19739875611.490204</v>
      </c>
      <c r="AA125">
        <v>18928276162.413124</v>
      </c>
      <c r="AB125">
        <v>22610561526.146145</v>
      </c>
    </row>
    <row r="126" spans="1:28" x14ac:dyDescent="0.3">
      <c r="A126" t="s">
        <v>63</v>
      </c>
      <c r="B126" s="5" t="s">
        <v>64</v>
      </c>
      <c r="C126" t="s">
        <v>289</v>
      </c>
      <c r="D126" s="5" t="s">
        <v>290</v>
      </c>
      <c r="E126">
        <v>114838500</v>
      </c>
      <c r="F126">
        <v>122406100</v>
      </c>
      <c r="G126">
        <v>131960000.00000001</v>
      </c>
      <c r="H126">
        <v>131128500</v>
      </c>
      <c r="I126">
        <v>132900000</v>
      </c>
      <c r="J126">
        <v>138000000</v>
      </c>
      <c r="K126">
        <v>143200000</v>
      </c>
      <c r="L126">
        <v>150500000</v>
      </c>
      <c r="M126">
        <v>146600000</v>
      </c>
      <c r="N126">
        <v>151200000</v>
      </c>
      <c r="O126">
        <v>161100000</v>
      </c>
      <c r="P126">
        <v>172300000</v>
      </c>
      <c r="Q126">
        <v>180700000</v>
      </c>
      <c r="R126">
        <v>186400000</v>
      </c>
      <c r="S126">
        <v>186000000</v>
      </c>
      <c r="T126">
        <v>183700000</v>
      </c>
      <c r="U126">
        <v>201800000</v>
      </c>
      <c r="V126">
        <v>213700000</v>
      </c>
      <c r="W126">
        <v>220000000</v>
      </c>
      <c r="X126">
        <v>232900000</v>
      </c>
      <c r="Y126">
        <v>241800000</v>
      </c>
      <c r="Z126">
        <v>261245544.43359399</v>
      </c>
      <c r="AA126">
        <v>258723510.74218801</v>
      </c>
      <c r="AB126">
        <v>263761322.02148399</v>
      </c>
    </row>
    <row r="127" spans="1:28" x14ac:dyDescent="0.3">
      <c r="A127" t="s">
        <v>63</v>
      </c>
      <c r="B127" s="5" t="s">
        <v>64</v>
      </c>
      <c r="C127" t="s">
        <v>291</v>
      </c>
      <c r="D127" s="5" t="s">
        <v>292</v>
      </c>
      <c r="E127">
        <v>1779520886.4701493</v>
      </c>
      <c r="F127">
        <v>1746063557.6135542</v>
      </c>
      <c r="G127">
        <v>1777057481.2604308</v>
      </c>
      <c r="H127">
        <v>2051147606.7368741</v>
      </c>
      <c r="I127">
        <v>2362501023.2424912</v>
      </c>
      <c r="J127">
        <v>2936019525.6024098</v>
      </c>
      <c r="K127">
        <v>3919577285.9270291</v>
      </c>
      <c r="L127">
        <v>4346212355.029747</v>
      </c>
      <c r="M127">
        <v>5206437193.8041334</v>
      </c>
      <c r="N127">
        <v>4714595547.7510166</v>
      </c>
      <c r="O127">
        <v>5628878797.9825745</v>
      </c>
      <c r="P127">
        <v>6764627745.9032993</v>
      </c>
      <c r="Q127">
        <v>6728208836.2214279</v>
      </c>
      <c r="R127">
        <v>7223071097.0841694</v>
      </c>
      <c r="S127">
        <v>6592537781.8151789</v>
      </c>
      <c r="T127">
        <v>6166863896.6867657</v>
      </c>
      <c r="U127">
        <v>6398747592.1318464</v>
      </c>
      <c r="V127">
        <v>6800135898.2882719</v>
      </c>
      <c r="W127">
        <v>7473550557.0737848</v>
      </c>
      <c r="X127">
        <v>7894764885.8231163</v>
      </c>
      <c r="Y127">
        <v>8260752385.2308931</v>
      </c>
      <c r="Z127">
        <v>9222536364.012722</v>
      </c>
      <c r="AA127">
        <v>9557966698.2536888</v>
      </c>
      <c r="AB127">
        <v>10726838461.398693</v>
      </c>
    </row>
    <row r="128" spans="1:28" x14ac:dyDescent="0.3">
      <c r="A128" t="s">
        <v>63</v>
      </c>
      <c r="B128" s="5" t="s">
        <v>64</v>
      </c>
      <c r="C128" t="s">
        <v>293</v>
      </c>
      <c r="D128" s="5" t="s">
        <v>294</v>
      </c>
      <c r="E128">
        <v>4726108622.476615</v>
      </c>
      <c r="F128">
        <v>4675755867.176569</v>
      </c>
      <c r="G128">
        <v>4906494249.3825512</v>
      </c>
      <c r="H128">
        <v>5894873919.7479696</v>
      </c>
      <c r="I128">
        <v>6667418752.0730667</v>
      </c>
      <c r="J128">
        <v>6576108447.4753094</v>
      </c>
      <c r="K128">
        <v>7137710412.9368715</v>
      </c>
      <c r="L128">
        <v>8277442915.0016842</v>
      </c>
      <c r="M128">
        <v>10127777060.411337</v>
      </c>
      <c r="N128">
        <v>9264513545.1410828</v>
      </c>
      <c r="O128">
        <v>10144716154.935616</v>
      </c>
      <c r="P128">
        <v>11677718382.425943</v>
      </c>
      <c r="Q128">
        <v>11832323837.107069</v>
      </c>
      <c r="R128">
        <v>12434596541.299574</v>
      </c>
      <c r="S128">
        <v>13230490081.565582</v>
      </c>
      <c r="T128">
        <v>12162211503.079298</v>
      </c>
      <c r="U128">
        <v>12757680846.56629</v>
      </c>
      <c r="V128">
        <v>13896938315.279932</v>
      </c>
      <c r="W128">
        <v>14957535715.969637</v>
      </c>
      <c r="X128">
        <v>14645235204.617575</v>
      </c>
      <c r="Y128">
        <v>11566111137.55677</v>
      </c>
      <c r="Z128">
        <v>11622048696.812899</v>
      </c>
      <c r="AA128">
        <v>12936444123.303709</v>
      </c>
      <c r="AB128">
        <v>14072212290.459597</v>
      </c>
    </row>
    <row r="129" spans="1:28" x14ac:dyDescent="0.3">
      <c r="A129" t="s">
        <v>63</v>
      </c>
      <c r="B129" s="5" t="s">
        <v>64</v>
      </c>
      <c r="C129" t="s">
        <v>29</v>
      </c>
      <c r="D129" s="5" t="s">
        <v>295</v>
      </c>
      <c r="E129">
        <v>742061329749.12744</v>
      </c>
      <c r="F129">
        <v>796064590549.13635</v>
      </c>
      <c r="G129">
        <v>810666116401.91479</v>
      </c>
      <c r="H129">
        <v>765549967703.27319</v>
      </c>
      <c r="I129">
        <v>819459227375.02246</v>
      </c>
      <c r="J129">
        <v>917571853529.10449</v>
      </c>
      <c r="K129">
        <v>1020265057882.007</v>
      </c>
      <c r="L129">
        <v>1102355554971.9478</v>
      </c>
      <c r="M129">
        <v>1161553459715.1033</v>
      </c>
      <c r="N129">
        <v>943437415024.63281</v>
      </c>
      <c r="O129">
        <v>1105424238731.0928</v>
      </c>
      <c r="P129">
        <v>1229013703416.7583</v>
      </c>
      <c r="Q129">
        <v>1255110424817.7866</v>
      </c>
      <c r="R129">
        <v>1327436290282.6748</v>
      </c>
      <c r="S129">
        <v>1364507717614.1343</v>
      </c>
      <c r="T129">
        <v>1213294467716.8804</v>
      </c>
      <c r="U129">
        <v>1112233497452.6975</v>
      </c>
      <c r="V129">
        <v>1190721475906</v>
      </c>
      <c r="W129">
        <v>1256300182879.7263</v>
      </c>
      <c r="X129">
        <v>1304106203902.4519</v>
      </c>
      <c r="Y129">
        <v>1121064767308.4233</v>
      </c>
      <c r="Z129">
        <v>1316569466685.9507</v>
      </c>
      <c r="AA129">
        <v>1466934724293.064</v>
      </c>
      <c r="AB129">
        <v>1798317581486.8833</v>
      </c>
    </row>
    <row r="130" spans="1:28" x14ac:dyDescent="0.3">
      <c r="A130" t="s">
        <v>63</v>
      </c>
      <c r="B130" s="5" t="s">
        <v>64</v>
      </c>
      <c r="C130" t="s">
        <v>296</v>
      </c>
      <c r="D130" s="5" t="s">
        <v>297</v>
      </c>
      <c r="E130">
        <v>229616847.55682099</v>
      </c>
      <c r="F130">
        <v>236387710.83325601</v>
      </c>
      <c r="G130">
        <v>237654335.83563298</v>
      </c>
      <c r="H130">
        <v>240949861.080731</v>
      </c>
      <c r="I130">
        <v>235538109.21653101</v>
      </c>
      <c r="J130">
        <v>245905050.83208099</v>
      </c>
      <c r="K130">
        <v>248583534.788766</v>
      </c>
      <c r="L130">
        <v>252011254.24246201</v>
      </c>
      <c r="M130">
        <v>258124736.27852198</v>
      </c>
      <c r="N130">
        <v>274654606.935781</v>
      </c>
      <c r="O130">
        <v>290638857.061212</v>
      </c>
      <c r="P130">
        <v>306799375.53080404</v>
      </c>
      <c r="Q130">
        <v>322838077.57929403</v>
      </c>
      <c r="R130">
        <v>312808581.66295797</v>
      </c>
      <c r="S130">
        <v>313994033.96766198</v>
      </c>
      <c r="T130">
        <v>310175057.802073</v>
      </c>
      <c r="U130">
        <v>325000000</v>
      </c>
      <c r="V130">
        <v>359000000</v>
      </c>
      <c r="W130">
        <v>392000000</v>
      </c>
      <c r="X130">
        <v>394000000</v>
      </c>
      <c r="Y130">
        <v>372902700</v>
      </c>
      <c r="Z130">
        <v>391601900</v>
      </c>
      <c r="AA130">
        <v>415956900</v>
      </c>
      <c r="AB130">
        <v>441469400</v>
      </c>
    </row>
    <row r="131" spans="1:28" x14ac:dyDescent="0.3">
      <c r="A131" t="s">
        <v>63</v>
      </c>
      <c r="B131" s="5" t="s">
        <v>64</v>
      </c>
      <c r="C131" t="s">
        <v>298</v>
      </c>
      <c r="D131" s="5" t="s">
        <v>299</v>
      </c>
      <c r="E131">
        <v>1288429391.7995076</v>
      </c>
      <c r="F131">
        <v>1480673594.0560203</v>
      </c>
      <c r="G131">
        <v>1661818168.4226036</v>
      </c>
      <c r="H131">
        <v>1980907434.7682641</v>
      </c>
      <c r="I131">
        <v>2598249555.8998399</v>
      </c>
      <c r="J131">
        <v>2988342907.0309634</v>
      </c>
      <c r="K131">
        <v>3408255450.5509</v>
      </c>
      <c r="L131">
        <v>4401173151.9376736</v>
      </c>
      <c r="M131">
        <v>6054824248.2422132</v>
      </c>
      <c r="N131">
        <v>5439434271.7880745</v>
      </c>
      <c r="O131">
        <v>6974982369.6015472</v>
      </c>
      <c r="P131">
        <v>8414352020.4944162</v>
      </c>
      <c r="Q131">
        <v>8709138634.8292103</v>
      </c>
      <c r="R131">
        <v>9496717875.5193157</v>
      </c>
      <c r="S131">
        <v>9402090137.7423019</v>
      </c>
      <c r="T131">
        <v>7797667196.7308722</v>
      </c>
      <c r="U131">
        <v>7980917075.7747955</v>
      </c>
      <c r="V131">
        <v>9514404016.2094936</v>
      </c>
      <c r="W131">
        <v>11252353420.879784</v>
      </c>
      <c r="X131">
        <v>11736797054.696486</v>
      </c>
      <c r="Y131">
        <v>11530746234.449179</v>
      </c>
      <c r="Z131">
        <v>13691869264.079353</v>
      </c>
      <c r="AA131">
        <v>14525337523.727076</v>
      </c>
      <c r="AB131">
        <v>16711906746.213291</v>
      </c>
    </row>
    <row r="132" spans="1:28" x14ac:dyDescent="0.3">
      <c r="A132" t="s">
        <v>63</v>
      </c>
      <c r="B132" s="5" t="s">
        <v>64</v>
      </c>
      <c r="C132" t="s">
        <v>300</v>
      </c>
      <c r="D132" s="5" t="s">
        <v>301</v>
      </c>
      <c r="E132">
        <v>2654462665.2689328</v>
      </c>
      <c r="F132">
        <v>2673723033.7123938</v>
      </c>
      <c r="G132">
        <v>2919647981.8147264</v>
      </c>
      <c r="H132">
        <v>3597089750.782763</v>
      </c>
      <c r="I132">
        <v>4043551488.8260303</v>
      </c>
      <c r="J132">
        <v>4204652898.7310276</v>
      </c>
      <c r="K132">
        <v>4586826512.713562</v>
      </c>
      <c r="L132">
        <v>5875790766.2621012</v>
      </c>
      <c r="M132">
        <v>6502942244.9306755</v>
      </c>
      <c r="N132">
        <v>5474379252.3411417</v>
      </c>
      <c r="O132">
        <v>5367561569.5954838</v>
      </c>
      <c r="P132">
        <v>6088689808.3834667</v>
      </c>
      <c r="Q132">
        <v>5742749294.0085154</v>
      </c>
      <c r="R132">
        <v>6555591709.885848</v>
      </c>
      <c r="S132">
        <v>7070017323.6547604</v>
      </c>
      <c r="T132">
        <v>6264756528.376915</v>
      </c>
      <c r="U132">
        <v>6471290793.5502939</v>
      </c>
      <c r="V132">
        <v>6430254652.5893402</v>
      </c>
      <c r="W132">
        <v>7184333936.0135479</v>
      </c>
      <c r="X132">
        <v>7383496254.2372122</v>
      </c>
      <c r="Y132">
        <v>6730736282.7896099</v>
      </c>
      <c r="Z132">
        <v>8623242743.2956352</v>
      </c>
      <c r="AA132">
        <v>8800430486.1713696</v>
      </c>
      <c r="AB132">
        <v>10003892565.200468</v>
      </c>
    </row>
    <row r="133" spans="1:28" x14ac:dyDescent="0.3">
      <c r="A133" t="s">
        <v>63</v>
      </c>
      <c r="B133" s="5" t="s">
        <v>64</v>
      </c>
      <c r="C133" t="s">
        <v>302</v>
      </c>
      <c r="D133" s="5" t="s">
        <v>303</v>
      </c>
      <c r="E133">
        <v>1136896123.6129804</v>
      </c>
      <c r="F133">
        <v>1267997934.3125041</v>
      </c>
      <c r="G133">
        <v>1396555719.9740865</v>
      </c>
      <c r="H133">
        <v>1595297355.7834878</v>
      </c>
      <c r="I133">
        <v>1992066808.0959773</v>
      </c>
      <c r="J133">
        <v>2523471601.104208</v>
      </c>
      <c r="K133">
        <v>3414055661.6159754</v>
      </c>
      <c r="L133">
        <v>4234999703.9005871</v>
      </c>
      <c r="M133">
        <v>5623216608.0428839</v>
      </c>
      <c r="N133">
        <v>4583850367.88972</v>
      </c>
      <c r="O133">
        <v>7189481998.9009409</v>
      </c>
      <c r="P133">
        <v>10409797377.857065</v>
      </c>
      <c r="Q133">
        <v>12292770631.564991</v>
      </c>
      <c r="R133">
        <v>12582122604.257748</v>
      </c>
      <c r="S133">
        <v>12226514668.062176</v>
      </c>
      <c r="T133">
        <v>11619892590.694118</v>
      </c>
      <c r="U133">
        <v>11181350649.357347</v>
      </c>
      <c r="V133">
        <v>11480847740.735979</v>
      </c>
      <c r="W133">
        <v>13178094720.498564</v>
      </c>
      <c r="X133">
        <v>14206359017.514322</v>
      </c>
      <c r="Y133">
        <v>13312981429.08905</v>
      </c>
      <c r="Z133">
        <v>15286441737.668615</v>
      </c>
      <c r="AA133">
        <v>17146471713.748024</v>
      </c>
      <c r="AB133">
        <v>20325121393.907364</v>
      </c>
    </row>
    <row r="134" spans="1:28" x14ac:dyDescent="0.3">
      <c r="A134" t="s">
        <v>63</v>
      </c>
      <c r="B134" s="5" t="s">
        <v>64</v>
      </c>
      <c r="C134" t="s">
        <v>304</v>
      </c>
      <c r="D134" s="5" t="s">
        <v>305</v>
      </c>
      <c r="E134">
        <v>984293043.81156468</v>
      </c>
      <c r="F134">
        <v>1159869245.9251299</v>
      </c>
      <c r="G134">
        <v>1284685050.5241289</v>
      </c>
      <c r="H134">
        <v>1707710053.1493838</v>
      </c>
      <c r="I134">
        <v>2073234417.6806555</v>
      </c>
      <c r="J134">
        <v>2257174480.7859716</v>
      </c>
      <c r="K134">
        <v>2717702923.0962238</v>
      </c>
      <c r="L134">
        <v>3677910895.1546674</v>
      </c>
      <c r="M134">
        <v>4540861725.5016842</v>
      </c>
      <c r="N134">
        <v>4142640316.7546539</v>
      </c>
      <c r="O134">
        <v>4136936189.2805204</v>
      </c>
      <c r="P134">
        <v>4507126949.0850677</v>
      </c>
      <c r="Q134">
        <v>4071829462.2644663</v>
      </c>
      <c r="R134">
        <v>4422097762.7847986</v>
      </c>
      <c r="S134">
        <v>4579636601.8003855</v>
      </c>
      <c r="T134">
        <v>4010885990.8398571</v>
      </c>
      <c r="U134">
        <v>4357469330.4671907</v>
      </c>
      <c r="V134">
        <v>4803962015.6212225</v>
      </c>
      <c r="W134">
        <v>5433467174.7918272</v>
      </c>
      <c r="X134">
        <v>5483476883.4658012</v>
      </c>
      <c r="Y134">
        <v>4723571497.7634687</v>
      </c>
      <c r="Z134">
        <v>5823715809.6328621</v>
      </c>
      <c r="AA134">
        <v>6251215144.1347084</v>
      </c>
      <c r="AB134">
        <v>7644389159.8447075</v>
      </c>
    </row>
    <row r="135" spans="1:28" x14ac:dyDescent="0.3">
      <c r="A135" t="s">
        <v>63</v>
      </c>
      <c r="B135" s="5" t="s">
        <v>64</v>
      </c>
      <c r="C135" t="s">
        <v>306</v>
      </c>
      <c r="D135" s="5" t="s">
        <v>307</v>
      </c>
      <c r="E135">
        <v>43017455401.844536</v>
      </c>
      <c r="F135">
        <v>43831480207.644447</v>
      </c>
      <c r="G135">
        <v>47077192187.641769</v>
      </c>
      <c r="H135">
        <v>58029363354.275681</v>
      </c>
      <c r="I135">
        <v>66114145451.006691</v>
      </c>
      <c r="J135">
        <v>68852658068.667282</v>
      </c>
      <c r="K135">
        <v>75883823300.854523</v>
      </c>
      <c r="L135">
        <v>86947913286.727966</v>
      </c>
      <c r="M135">
        <v>101822906949.06343</v>
      </c>
      <c r="N135">
        <v>101154952240.88071</v>
      </c>
      <c r="O135">
        <v>100865329473.43983</v>
      </c>
      <c r="P135">
        <v>110080631332.37535</v>
      </c>
      <c r="Q135">
        <v>106937392311.12907</v>
      </c>
      <c r="R135">
        <v>115739287305.08009</v>
      </c>
      <c r="S135">
        <v>119130841411.66359</v>
      </c>
      <c r="T135">
        <v>110413823841.59187</v>
      </c>
      <c r="U135">
        <v>111572947004.91748</v>
      </c>
      <c r="V135">
        <v>118540573367.84428</v>
      </c>
      <c r="W135">
        <v>127341147581.81831</v>
      </c>
      <c r="X135">
        <v>128920266409.4575</v>
      </c>
      <c r="Y135">
        <v>121353645057.14369</v>
      </c>
      <c r="Z135">
        <v>142022058447.23093</v>
      </c>
      <c r="AA135">
        <v>131245312804.48317</v>
      </c>
      <c r="AB135">
        <v>146036093666.76212</v>
      </c>
    </row>
    <row r="136" spans="1:28" x14ac:dyDescent="0.3">
      <c r="A136" t="s">
        <v>63</v>
      </c>
      <c r="B136" s="5" t="s">
        <v>64</v>
      </c>
      <c r="C136" t="s">
        <v>308</v>
      </c>
      <c r="D136" s="5" t="s">
        <v>309</v>
      </c>
      <c r="E136">
        <v>5930685214.6159506</v>
      </c>
      <c r="F136">
        <v>5650154067.1034622</v>
      </c>
      <c r="G136">
        <v>5950769426.6021347</v>
      </c>
      <c r="H136">
        <v>6583526860.580616</v>
      </c>
      <c r="I136">
        <v>7937255565.3576488</v>
      </c>
      <c r="J136">
        <v>8868504899.9467278</v>
      </c>
      <c r="K136">
        <v>9509835536.9337292</v>
      </c>
      <c r="L136">
        <v>10811456005.940479</v>
      </c>
      <c r="M136">
        <v>12920340964.65435</v>
      </c>
      <c r="N136">
        <v>12263894790.012465</v>
      </c>
      <c r="O136">
        <v>11411894723.864027</v>
      </c>
      <c r="P136">
        <v>14619279988.71596</v>
      </c>
      <c r="Q136">
        <v>16688114144.074518</v>
      </c>
      <c r="R136">
        <v>17198073057.198067</v>
      </c>
      <c r="S136">
        <v>17978246586.066242</v>
      </c>
      <c r="T136">
        <v>16208985769.614956</v>
      </c>
      <c r="U136">
        <v>12069051237.171114</v>
      </c>
      <c r="V136">
        <v>13264640645.776791</v>
      </c>
      <c r="W136">
        <v>15017358952.845171</v>
      </c>
      <c r="X136">
        <v>15512759046.671955</v>
      </c>
      <c r="Y136">
        <v>14235420174.18844</v>
      </c>
      <c r="Z136">
        <v>16168055475.444891</v>
      </c>
      <c r="AA136">
        <v>18883528581.373402</v>
      </c>
      <c r="AB136">
        <v>20921079532.609367</v>
      </c>
    </row>
    <row r="137" spans="1:28" x14ac:dyDescent="0.3">
      <c r="A137" t="s">
        <v>63</v>
      </c>
      <c r="B137" s="5" t="s">
        <v>64</v>
      </c>
      <c r="C137" t="s">
        <v>310</v>
      </c>
      <c r="D137" s="5" t="s">
        <v>311</v>
      </c>
      <c r="E137">
        <v>8905066163.5864277</v>
      </c>
      <c r="F137">
        <v>6477790688.2284384</v>
      </c>
      <c r="G137">
        <v>6777632512.0780983</v>
      </c>
      <c r="H137">
        <v>10467109977.671677</v>
      </c>
      <c r="I137">
        <v>10567354056.404905</v>
      </c>
      <c r="J137">
        <v>11986972418.5103</v>
      </c>
      <c r="K137">
        <v>14502553709.830305</v>
      </c>
      <c r="L137">
        <v>20182477480.551235</v>
      </c>
      <c r="M137">
        <v>31862554101.937805</v>
      </c>
      <c r="N137">
        <v>36906181380.812683</v>
      </c>
      <c r="O137">
        <v>49540813342.483398</v>
      </c>
      <c r="P137">
        <v>59977326085.990768</v>
      </c>
      <c r="Q137">
        <v>59937796648.215759</v>
      </c>
      <c r="R137">
        <v>60269732854.827026</v>
      </c>
      <c r="S137">
        <v>65531374210.322403</v>
      </c>
      <c r="T137">
        <v>59607290408.435867</v>
      </c>
      <c r="U137">
        <v>63298361983.565315</v>
      </c>
      <c r="V137">
        <v>66053040475.025749</v>
      </c>
      <c r="W137">
        <v>67860515993.118607</v>
      </c>
      <c r="X137">
        <v>75065106243.357819</v>
      </c>
      <c r="Y137">
        <v>79006113670.283142</v>
      </c>
      <c r="Z137">
        <v>66345291149.443298</v>
      </c>
      <c r="AA137">
        <v>62253049903.280022</v>
      </c>
      <c r="AB137">
        <v>66757619000</v>
      </c>
    </row>
    <row r="138" spans="1:28" x14ac:dyDescent="0.3">
      <c r="A138" t="s">
        <v>63</v>
      </c>
      <c r="B138" s="5" t="s">
        <v>64</v>
      </c>
      <c r="C138" t="s">
        <v>312</v>
      </c>
      <c r="D138" s="5" t="s">
        <v>313</v>
      </c>
      <c r="E138">
        <v>3922232164.8317509</v>
      </c>
      <c r="F138">
        <v>3557341215.1515923</v>
      </c>
      <c r="G138">
        <v>3349169826.3889647</v>
      </c>
      <c r="H138">
        <v>4926439383.514245</v>
      </c>
      <c r="I138">
        <v>6609205994.7740555</v>
      </c>
      <c r="J138">
        <v>7248374837.7205563</v>
      </c>
      <c r="K138">
        <v>8001779551.0632324</v>
      </c>
      <c r="L138">
        <v>8839536475.9996319</v>
      </c>
      <c r="M138">
        <v>8607431497.4947109</v>
      </c>
      <c r="N138">
        <v>8938847189.0759163</v>
      </c>
      <c r="O138">
        <v>11431412421.131611</v>
      </c>
      <c r="P138">
        <v>12523359440.549862</v>
      </c>
      <c r="Q138">
        <v>13042053591.685684</v>
      </c>
      <c r="R138">
        <v>12043307277.123508</v>
      </c>
      <c r="S138">
        <v>12435430969.630136</v>
      </c>
      <c r="T138">
        <v>11335161083.506102</v>
      </c>
      <c r="U138">
        <v>10722018732.093588</v>
      </c>
      <c r="V138">
        <v>12895153370.913191</v>
      </c>
      <c r="W138">
        <v>13682019076.402178</v>
      </c>
      <c r="X138">
        <v>12541928303.479971</v>
      </c>
      <c r="Y138">
        <v>10583748541.525812</v>
      </c>
      <c r="Z138">
        <v>12402486183.639603</v>
      </c>
      <c r="AA138">
        <v>12569449123.366074</v>
      </c>
      <c r="AB138">
        <v>12408271449.224421</v>
      </c>
    </row>
    <row r="139" spans="1:28" x14ac:dyDescent="0.3">
      <c r="A139" t="s">
        <v>63</v>
      </c>
      <c r="B139" s="5" t="s">
        <v>64</v>
      </c>
      <c r="C139" t="s">
        <v>314</v>
      </c>
      <c r="D139" s="5" t="s">
        <v>315</v>
      </c>
      <c r="E139">
        <v>26930980.342900205</v>
      </c>
      <c r="F139">
        <v>22613287.538907375</v>
      </c>
      <c r="G139">
        <v>21017423.608204268</v>
      </c>
      <c r="H139">
        <v>24778159.580663949</v>
      </c>
      <c r="I139">
        <v>30587565.798833407</v>
      </c>
      <c r="J139">
        <v>30070666.065253343</v>
      </c>
      <c r="K139">
        <v>29200359.389038637</v>
      </c>
      <c r="L139">
        <v>22766972.188965868</v>
      </c>
      <c r="M139">
        <v>37602264.730687208</v>
      </c>
      <c r="N139">
        <v>44176245.549243264</v>
      </c>
      <c r="O139">
        <v>47562844.61042507</v>
      </c>
      <c r="P139">
        <v>65071879.778716177</v>
      </c>
      <c r="Q139">
        <v>101055722.95057963</v>
      </c>
      <c r="R139">
        <v>94385014.942584157</v>
      </c>
      <c r="S139">
        <v>99149244.400133297</v>
      </c>
      <c r="T139">
        <v>84863440.580199689</v>
      </c>
      <c r="U139">
        <v>97541943.035505265</v>
      </c>
      <c r="V139">
        <v>109355638.86695491</v>
      </c>
      <c r="W139">
        <v>130995566.30390972</v>
      </c>
      <c r="X139">
        <v>125160115.54781868</v>
      </c>
      <c r="Y139">
        <v>124685688.16109391</v>
      </c>
      <c r="Z139">
        <v>175390280.69161984</v>
      </c>
      <c r="AA139">
        <v>152373433.90947422</v>
      </c>
      <c r="AB139">
        <v>151435609.57880709</v>
      </c>
    </row>
    <row r="140" spans="1:28" x14ac:dyDescent="0.3">
      <c r="A140" t="s">
        <v>63</v>
      </c>
      <c r="B140" s="5" t="s">
        <v>64</v>
      </c>
      <c r="C140" t="s">
        <v>316</v>
      </c>
      <c r="D140" s="5" t="s">
        <v>317</v>
      </c>
      <c r="E140">
        <v>5494252207.9050245</v>
      </c>
      <c r="F140">
        <v>6007055042.1768703</v>
      </c>
      <c r="G140">
        <v>6050875806.664032</v>
      </c>
      <c r="H140">
        <v>6330473096.5407085</v>
      </c>
      <c r="I140">
        <v>7273938314.7198763</v>
      </c>
      <c r="J140">
        <v>8130258377.9096403</v>
      </c>
      <c r="K140">
        <v>9043715355.8880978</v>
      </c>
      <c r="L140">
        <v>10325618017.378969</v>
      </c>
      <c r="M140">
        <v>12545438605.395878</v>
      </c>
      <c r="N140">
        <v>12854985464.076431</v>
      </c>
      <c r="O140">
        <v>16002656434.474615</v>
      </c>
      <c r="P140">
        <v>21573872420.700806</v>
      </c>
      <c r="Q140">
        <v>21703100877.13089</v>
      </c>
      <c r="R140">
        <v>22162204924.572582</v>
      </c>
      <c r="S140">
        <v>22731612922.190636</v>
      </c>
      <c r="T140">
        <v>24360801286.763809</v>
      </c>
      <c r="U140">
        <v>24524109483.529346</v>
      </c>
      <c r="V140">
        <v>28971588940.363995</v>
      </c>
      <c r="W140">
        <v>33111525237.148972</v>
      </c>
      <c r="X140">
        <v>34186180699.025478</v>
      </c>
      <c r="Y140">
        <v>33433659301.246552</v>
      </c>
      <c r="Z140">
        <v>36924841394.26049</v>
      </c>
      <c r="AA140">
        <v>41182939600.620857</v>
      </c>
      <c r="AB140">
        <v>41047772331.099426</v>
      </c>
    </row>
    <row r="141" spans="1:28" x14ac:dyDescent="0.3">
      <c r="A141" t="s">
        <v>63</v>
      </c>
      <c r="B141" s="5" t="s">
        <v>64</v>
      </c>
      <c r="C141" t="s">
        <v>30</v>
      </c>
      <c r="D141" s="5" t="s">
        <v>318</v>
      </c>
      <c r="E141">
        <v>417649282153.72638</v>
      </c>
      <c r="F141">
        <v>432536219668.89819</v>
      </c>
      <c r="G141">
        <v>475529972122.74597</v>
      </c>
      <c r="H141">
        <v>582435617081.95959</v>
      </c>
      <c r="I141">
        <v>661224886143.245</v>
      </c>
      <c r="J141">
        <v>688133699635.79736</v>
      </c>
      <c r="K141">
        <v>737593995289.41077</v>
      </c>
      <c r="L141">
        <v>853499460872.55176</v>
      </c>
      <c r="M141">
        <v>957901566041.40601</v>
      </c>
      <c r="N141">
        <v>878954223140.23376</v>
      </c>
      <c r="O141">
        <v>852464982433.33496</v>
      </c>
      <c r="P141">
        <v>913140741332.68665</v>
      </c>
      <c r="Q141">
        <v>845689017065.62524</v>
      </c>
      <c r="R141">
        <v>883951539006.66919</v>
      </c>
      <c r="S141">
        <v>901556501756.46741</v>
      </c>
      <c r="T141">
        <v>775743675302.73401</v>
      </c>
      <c r="U141">
        <v>797163949289.88525</v>
      </c>
      <c r="V141">
        <v>848233537845.88379</v>
      </c>
      <c r="W141">
        <v>929733599796.86206</v>
      </c>
      <c r="X141">
        <v>928903005576.46912</v>
      </c>
      <c r="Y141">
        <v>932560861701.16992</v>
      </c>
      <c r="Z141">
        <v>1054472123449.5955</v>
      </c>
      <c r="AA141">
        <v>1046540797548.6422</v>
      </c>
      <c r="AB141">
        <v>1135475867551.0005</v>
      </c>
    </row>
    <row r="142" spans="1:28" x14ac:dyDescent="0.3">
      <c r="A142" t="s">
        <v>63</v>
      </c>
      <c r="B142" s="5" t="s">
        <v>64</v>
      </c>
      <c r="C142" t="s">
        <v>319</v>
      </c>
      <c r="D142" s="5" t="s">
        <v>320</v>
      </c>
      <c r="E142">
        <v>3420032041.0738492</v>
      </c>
      <c r="F142">
        <v>3297734891.1466122</v>
      </c>
      <c r="G142">
        <v>3740056747.7197938</v>
      </c>
      <c r="H142">
        <v>4915353827.1057587</v>
      </c>
      <c r="I142">
        <v>5895008977.9530973</v>
      </c>
      <c r="J142">
        <v>6238629487.0133076</v>
      </c>
      <c r="K142">
        <v>6979155387.8679218</v>
      </c>
      <c r="L142">
        <v>8819917180.3426476</v>
      </c>
      <c r="M142">
        <v>9067619760.0707321</v>
      </c>
      <c r="N142">
        <v>8704438102.201416</v>
      </c>
      <c r="O142">
        <v>9364350076.9122467</v>
      </c>
      <c r="P142">
        <v>10351448004.767365</v>
      </c>
      <c r="Q142">
        <v>9659151917.4048443</v>
      </c>
      <c r="R142">
        <v>10151382933.159395</v>
      </c>
      <c r="S142">
        <v>10635035594.752802</v>
      </c>
      <c r="T142">
        <v>8738203074.3956985</v>
      </c>
      <c r="U142">
        <v>8724568954.8979912</v>
      </c>
      <c r="V142">
        <v>9174048681.9857693</v>
      </c>
      <c r="W142">
        <v>9896402283.685873</v>
      </c>
      <c r="X142">
        <v>9475655324.5949535</v>
      </c>
      <c r="Y142">
        <v>9454629467.9140816</v>
      </c>
      <c r="Z142">
        <v>10071349663.848383</v>
      </c>
      <c r="AA142">
        <v>9623318718.3145943</v>
      </c>
      <c r="AB142">
        <v>9769167530.357439</v>
      </c>
    </row>
    <row r="143" spans="1:28" x14ac:dyDescent="0.3">
      <c r="A143" t="s">
        <v>63</v>
      </c>
      <c r="B143" s="5" t="s">
        <v>64</v>
      </c>
      <c r="C143" t="s">
        <v>51</v>
      </c>
      <c r="D143" s="5" t="s">
        <v>321</v>
      </c>
      <c r="E143">
        <v>52623281956.703117</v>
      </c>
      <c r="F143">
        <v>53872425916.624809</v>
      </c>
      <c r="G143">
        <v>66627729311.449547</v>
      </c>
      <c r="H143">
        <v>88250885550.262619</v>
      </c>
      <c r="I143">
        <v>103905210084.03362</v>
      </c>
      <c r="J143">
        <v>114720129550.09506</v>
      </c>
      <c r="K143">
        <v>111538810712.66455</v>
      </c>
      <c r="L143">
        <v>137188946865.58389</v>
      </c>
      <c r="M143">
        <v>133437126590.28607</v>
      </c>
      <c r="N143">
        <v>121663439315.3851</v>
      </c>
      <c r="O143">
        <v>146887902524.05167</v>
      </c>
      <c r="P143">
        <v>168484908960.07794</v>
      </c>
      <c r="Q143">
        <v>176560711239.14664</v>
      </c>
      <c r="R143">
        <v>191012364176.87823</v>
      </c>
      <c r="S143">
        <v>201518402787.37991</v>
      </c>
      <c r="T143">
        <v>178224167087.98969</v>
      </c>
      <c r="U143">
        <v>189100085275.23016</v>
      </c>
      <c r="V143">
        <v>206745969246.07333</v>
      </c>
      <c r="W143">
        <v>211985631173.20483</v>
      </c>
      <c r="X143">
        <v>213006341101.86938</v>
      </c>
      <c r="Y143">
        <v>213029554653.68719</v>
      </c>
      <c r="Z143">
        <v>253977931814.96677</v>
      </c>
      <c r="AA143">
        <v>249509991440.43759</v>
      </c>
      <c r="AB143">
        <v>255194972673.12192</v>
      </c>
    </row>
    <row r="144" spans="1:28" x14ac:dyDescent="0.3">
      <c r="A144" t="s">
        <v>63</v>
      </c>
      <c r="B144" s="5" t="s">
        <v>64</v>
      </c>
      <c r="C144" t="s">
        <v>322</v>
      </c>
      <c r="D144" s="5" t="s">
        <v>323</v>
      </c>
      <c r="E144">
        <v>5109587049.9744883</v>
      </c>
      <c r="F144">
        <v>5351752034.2221041</v>
      </c>
      <c r="G144">
        <v>5223727302.5490618</v>
      </c>
      <c r="H144">
        <v>5322228350.5806789</v>
      </c>
      <c r="I144">
        <v>5792932838.4005098</v>
      </c>
      <c r="J144">
        <v>6321324279.148263</v>
      </c>
      <c r="K144">
        <v>6763672380.6115408</v>
      </c>
      <c r="L144">
        <v>7423375014.7572937</v>
      </c>
      <c r="M144">
        <v>8496967596.7700844</v>
      </c>
      <c r="N144">
        <v>8298702489.0801048</v>
      </c>
      <c r="O144">
        <v>8758602232.9835815</v>
      </c>
      <c r="P144">
        <v>9774329332.7127552</v>
      </c>
      <c r="Q144">
        <v>10532017231.825281</v>
      </c>
      <c r="R144">
        <v>10982988249.210323</v>
      </c>
      <c r="S144">
        <v>11880438824.449419</v>
      </c>
      <c r="T144">
        <v>12756696261.067633</v>
      </c>
      <c r="U144">
        <v>13286093388.475203</v>
      </c>
      <c r="V144">
        <v>13785893007.47687</v>
      </c>
      <c r="W144">
        <v>13025221974.231974</v>
      </c>
      <c r="X144">
        <v>12699023614.244963</v>
      </c>
      <c r="Y144">
        <v>12726422432.486843</v>
      </c>
      <c r="Z144">
        <v>14209020361.850782</v>
      </c>
      <c r="AA144">
        <v>15634572502.229374</v>
      </c>
      <c r="AB144">
        <v>17805842283.872475</v>
      </c>
    </row>
    <row r="145" spans="1:28" x14ac:dyDescent="0.3">
      <c r="A145" t="s">
        <v>63</v>
      </c>
      <c r="B145" s="5" t="s">
        <v>64</v>
      </c>
      <c r="C145" t="s">
        <v>324</v>
      </c>
      <c r="D145" s="5" t="s">
        <v>325</v>
      </c>
      <c r="E145">
        <v>2241753192.8115754</v>
      </c>
      <c r="F145">
        <v>2448714703.9661689</v>
      </c>
      <c r="G145">
        <v>2782192878.6720395</v>
      </c>
      <c r="H145">
        <v>3394084732.4954329</v>
      </c>
      <c r="I145">
        <v>3760443737.5379744</v>
      </c>
      <c r="J145">
        <v>4383315964.5871754</v>
      </c>
      <c r="K145">
        <v>4756361252.3792267</v>
      </c>
      <c r="L145">
        <v>5731485051.7906895</v>
      </c>
      <c r="M145">
        <v>7297600226.0053606</v>
      </c>
      <c r="N145">
        <v>7352131309.7334127</v>
      </c>
      <c r="O145">
        <v>7851192502.3091717</v>
      </c>
      <c r="P145">
        <v>8772950777.7917633</v>
      </c>
      <c r="Q145">
        <v>9426912647.5911064</v>
      </c>
      <c r="R145">
        <v>10224897437.864824</v>
      </c>
      <c r="S145">
        <v>10862943543.541925</v>
      </c>
      <c r="T145">
        <v>9683867926.4428234</v>
      </c>
      <c r="U145">
        <v>10398861981.758308</v>
      </c>
      <c r="V145">
        <v>11185104251.694309</v>
      </c>
      <c r="W145">
        <v>12837307496.882084</v>
      </c>
      <c r="X145">
        <v>12889555561.22991</v>
      </c>
      <c r="Y145">
        <v>13744653103.057987</v>
      </c>
      <c r="Z145">
        <v>14915002436.069025</v>
      </c>
      <c r="AA145">
        <v>15433852712.296335</v>
      </c>
      <c r="AB145">
        <v>16698786977.589964</v>
      </c>
    </row>
    <row r="146" spans="1:28" x14ac:dyDescent="0.3">
      <c r="A146" t="s">
        <v>63</v>
      </c>
      <c r="B146" s="5" t="s">
        <v>64</v>
      </c>
      <c r="C146" t="s">
        <v>326</v>
      </c>
      <c r="D146" s="5" t="s">
        <v>327</v>
      </c>
      <c r="E146">
        <v>69171451627.24646</v>
      </c>
      <c r="F146">
        <v>73557840064.489044</v>
      </c>
      <c r="G146">
        <v>95054059302.699463</v>
      </c>
      <c r="H146">
        <v>104738954264.22569</v>
      </c>
      <c r="I146">
        <v>135764731645.61142</v>
      </c>
      <c r="J146">
        <v>175670569969.34561</v>
      </c>
      <c r="K146">
        <v>238454997161.47983</v>
      </c>
      <c r="L146">
        <v>278260846800.10303</v>
      </c>
      <c r="M146">
        <v>339476276257.79291</v>
      </c>
      <c r="N146">
        <v>295008835380.99658</v>
      </c>
      <c r="O146">
        <v>366990417129.03961</v>
      </c>
      <c r="P146">
        <v>414466676831.15967</v>
      </c>
      <c r="Q146">
        <v>463971018239.28052</v>
      </c>
      <c r="R146">
        <v>520117180313.90601</v>
      </c>
      <c r="S146">
        <v>574183763411.50757</v>
      </c>
      <c r="T146">
        <v>493026682800.62952</v>
      </c>
      <c r="U146">
        <v>404649125252.15955</v>
      </c>
      <c r="V146">
        <v>375745731053.42682</v>
      </c>
      <c r="W146">
        <v>421739251509.07959</v>
      </c>
      <c r="X146">
        <v>668219992691.46216</v>
      </c>
      <c r="Y146">
        <v>598586817819.07336</v>
      </c>
      <c r="Z146">
        <v>609147716972.85876</v>
      </c>
      <c r="AA146">
        <v>646950257577.81396</v>
      </c>
      <c r="AB146">
        <v>487387801880.59674</v>
      </c>
    </row>
    <row r="147" spans="1:28" x14ac:dyDescent="0.3">
      <c r="A147" t="s">
        <v>63</v>
      </c>
      <c r="B147" s="5" t="s">
        <v>64</v>
      </c>
      <c r="C147" t="s">
        <v>328</v>
      </c>
      <c r="D147" s="5" t="s">
        <v>329</v>
      </c>
      <c r="E147">
        <v>3772859034.2050791</v>
      </c>
      <c r="F147">
        <v>3709636030.6657839</v>
      </c>
      <c r="G147">
        <v>4018365747.0097189</v>
      </c>
      <c r="H147">
        <v>4946296599.0846701</v>
      </c>
      <c r="I147">
        <v>5682784471.6972189</v>
      </c>
      <c r="J147">
        <v>6258602872.6789751</v>
      </c>
      <c r="K147">
        <v>6861226971.5561733</v>
      </c>
      <c r="L147">
        <v>8336474973.7294931</v>
      </c>
      <c r="M147">
        <v>9909552434.5113621</v>
      </c>
      <c r="N147">
        <v>9401736825.4268799</v>
      </c>
      <c r="O147">
        <v>9407170321.3775215</v>
      </c>
      <c r="P147">
        <v>10494626767.64451</v>
      </c>
      <c r="Q147">
        <v>9745261300.5778828</v>
      </c>
      <c r="R147">
        <v>10817702346.067413</v>
      </c>
      <c r="S147">
        <v>11362265252.777998</v>
      </c>
      <c r="T147">
        <v>10064519962.565548</v>
      </c>
      <c r="U147">
        <v>10672467073.287252</v>
      </c>
      <c r="V147">
        <v>11307067069.665821</v>
      </c>
      <c r="W147">
        <v>12683068114.23885</v>
      </c>
      <c r="X147">
        <v>12606338448.546968</v>
      </c>
      <c r="Y147">
        <v>12361036913.840923</v>
      </c>
      <c r="Z147">
        <v>14000283827.015379</v>
      </c>
      <c r="AA147">
        <v>13932436550.088305</v>
      </c>
      <c r="AB147">
        <v>15855131188.909191</v>
      </c>
    </row>
    <row r="148" spans="1:28" x14ac:dyDescent="0.3">
      <c r="A148" t="s">
        <v>63</v>
      </c>
      <c r="B148" s="5" t="s">
        <v>64</v>
      </c>
      <c r="C148" t="s">
        <v>330</v>
      </c>
      <c r="D148" s="5" t="s">
        <v>331</v>
      </c>
      <c r="E148" t="s">
        <v>73</v>
      </c>
      <c r="F148" t="s">
        <v>73</v>
      </c>
      <c r="G148">
        <v>1284000000</v>
      </c>
      <c r="H148">
        <v>1239000000</v>
      </c>
      <c r="I148">
        <v>1210000000</v>
      </c>
      <c r="J148">
        <v>1061000000</v>
      </c>
      <c r="K148">
        <v>990000000</v>
      </c>
      <c r="L148">
        <v>938000000</v>
      </c>
      <c r="M148">
        <v>939000000</v>
      </c>
      <c r="N148">
        <v>795000000</v>
      </c>
      <c r="O148">
        <v>799000000</v>
      </c>
      <c r="P148">
        <v>729000000</v>
      </c>
      <c r="Q148">
        <v>746000000</v>
      </c>
      <c r="R148">
        <v>772000000</v>
      </c>
      <c r="S148">
        <v>832000000</v>
      </c>
      <c r="T148">
        <v>910000000</v>
      </c>
      <c r="U148">
        <v>1230000000</v>
      </c>
      <c r="V148">
        <v>1560000000</v>
      </c>
      <c r="W148">
        <v>1301000000</v>
      </c>
      <c r="X148">
        <v>1179000000</v>
      </c>
      <c r="Y148">
        <v>866000000</v>
      </c>
      <c r="Z148">
        <v>914000000</v>
      </c>
      <c r="AA148">
        <v>1096000000</v>
      </c>
      <c r="AB148" t="s">
        <v>73</v>
      </c>
    </row>
    <row r="149" spans="1:28" x14ac:dyDescent="0.3">
      <c r="A149" t="s">
        <v>63</v>
      </c>
      <c r="B149" s="5" t="s">
        <v>64</v>
      </c>
      <c r="C149" t="s">
        <v>31</v>
      </c>
      <c r="D149" s="5" t="s">
        <v>332</v>
      </c>
      <c r="E149">
        <v>171457201935.96765</v>
      </c>
      <c r="F149">
        <v>174239354070.97656</v>
      </c>
      <c r="G149">
        <v>195914852576.46735</v>
      </c>
      <c r="H149">
        <v>229385469337.02438</v>
      </c>
      <c r="I149">
        <v>265268662473.29694</v>
      </c>
      <c r="J149">
        <v>309978579743.88824</v>
      </c>
      <c r="K149">
        <v>346915160681.70837</v>
      </c>
      <c r="L149">
        <v>402643260487.5719</v>
      </c>
      <c r="M149">
        <v>464917553191.48938</v>
      </c>
      <c r="N149">
        <v>387976400617.01892</v>
      </c>
      <c r="O149">
        <v>431052143940.43817</v>
      </c>
      <c r="P149">
        <v>501360549669.40381</v>
      </c>
      <c r="Q149">
        <v>512777309840.99701</v>
      </c>
      <c r="R149">
        <v>526014468085.10638</v>
      </c>
      <c r="S149">
        <v>501736471832.84814</v>
      </c>
      <c r="T149">
        <v>388159512245.53046</v>
      </c>
      <c r="U149">
        <v>370956547619.04761</v>
      </c>
      <c r="V149">
        <v>401745275035.26074</v>
      </c>
      <c r="W149">
        <v>439788625883.79956</v>
      </c>
      <c r="X149">
        <v>408742840909.09088</v>
      </c>
      <c r="Y149">
        <v>367633418886.62726</v>
      </c>
      <c r="Z149">
        <v>503367986030.26776</v>
      </c>
      <c r="AA149">
        <v>596297651035.79773</v>
      </c>
      <c r="AB149">
        <v>482949731776.58716</v>
      </c>
    </row>
    <row r="150" spans="1:28" x14ac:dyDescent="0.3">
      <c r="A150" t="s">
        <v>63</v>
      </c>
      <c r="B150" s="5" t="s">
        <v>64</v>
      </c>
      <c r="C150" t="s">
        <v>333</v>
      </c>
      <c r="D150" s="5" t="s">
        <v>334</v>
      </c>
      <c r="E150">
        <v>22259557867.360207</v>
      </c>
      <c r="F150">
        <v>22205721716.514954</v>
      </c>
      <c r="G150">
        <v>23065539661.898567</v>
      </c>
      <c r="H150">
        <v>24733680104.031208</v>
      </c>
      <c r="I150">
        <v>28378933680.104031</v>
      </c>
      <c r="J150">
        <v>35506892067.620285</v>
      </c>
      <c r="K150">
        <v>42577633289.986992</v>
      </c>
      <c r="L150">
        <v>48300390117.03511</v>
      </c>
      <c r="M150">
        <v>69804681404.421326</v>
      </c>
      <c r="N150">
        <v>55454096228.86866</v>
      </c>
      <c r="O150">
        <v>64993498049.414825</v>
      </c>
      <c r="P150">
        <v>77497529258.777634</v>
      </c>
      <c r="Q150">
        <v>87408842652.795822</v>
      </c>
      <c r="R150">
        <v>89936020806.241867</v>
      </c>
      <c r="S150">
        <v>92699089726.918076</v>
      </c>
      <c r="T150">
        <v>78710793237.97139</v>
      </c>
      <c r="U150">
        <v>75128738621.586472</v>
      </c>
      <c r="V150">
        <v>80856697009.102722</v>
      </c>
      <c r="W150">
        <v>91505851755.526657</v>
      </c>
      <c r="X150">
        <v>88060858257.477234</v>
      </c>
      <c r="Y150">
        <v>75909492847.854355</v>
      </c>
      <c r="Z150">
        <v>87323797139.141739</v>
      </c>
      <c r="AA150">
        <v>109852795838.75162</v>
      </c>
      <c r="AB150">
        <v>106174708036.51027</v>
      </c>
    </row>
    <row r="151" spans="1:28" x14ac:dyDescent="0.3">
      <c r="A151" t="s">
        <v>63</v>
      </c>
      <c r="B151" s="5" t="s">
        <v>64</v>
      </c>
      <c r="C151" t="s">
        <v>335</v>
      </c>
      <c r="D151" s="5" t="s">
        <v>336</v>
      </c>
      <c r="E151">
        <v>99484802344.527664</v>
      </c>
      <c r="F151">
        <v>97145618479.903809</v>
      </c>
      <c r="G151">
        <v>97923302809.353683</v>
      </c>
      <c r="H151">
        <v>112371913740.82295</v>
      </c>
      <c r="I151">
        <v>132216048339.41289</v>
      </c>
      <c r="J151">
        <v>145208562960.76663</v>
      </c>
      <c r="K151">
        <v>161871385506.3602</v>
      </c>
      <c r="L151">
        <v>184140869997.46017</v>
      </c>
      <c r="M151">
        <v>202203748583.85361</v>
      </c>
      <c r="N151">
        <v>187337783856.46567</v>
      </c>
      <c r="O151">
        <v>196709621849.58618</v>
      </c>
      <c r="P151">
        <v>230586581059.66541</v>
      </c>
      <c r="Q151">
        <v>250106966104.70358</v>
      </c>
      <c r="R151">
        <v>258657231672.41232</v>
      </c>
      <c r="S151">
        <v>271390474857.63217</v>
      </c>
      <c r="T151">
        <v>299963590534.7735</v>
      </c>
      <c r="U151">
        <v>313630000130.43536</v>
      </c>
      <c r="V151">
        <v>339205534861.1001</v>
      </c>
      <c r="W151">
        <v>356128166704.92102</v>
      </c>
      <c r="X151">
        <v>320909472770.6687</v>
      </c>
      <c r="Y151">
        <v>300425609817.9812</v>
      </c>
      <c r="Z151">
        <v>348516647445.14844</v>
      </c>
      <c r="AA151">
        <v>374890295666.69366</v>
      </c>
      <c r="AB151">
        <v>336686348609.26593</v>
      </c>
    </row>
    <row r="152" spans="1:28" x14ac:dyDescent="0.3">
      <c r="A152" t="s">
        <v>63</v>
      </c>
      <c r="B152" s="5" t="s">
        <v>64</v>
      </c>
      <c r="C152" t="s">
        <v>337</v>
      </c>
      <c r="D152" s="5" t="s">
        <v>338</v>
      </c>
      <c r="E152">
        <v>149551483.15429699</v>
      </c>
      <c r="F152">
        <v>159446228.02734402</v>
      </c>
      <c r="G152">
        <v>162658721.92382801</v>
      </c>
      <c r="H152">
        <v>154566787.71972698</v>
      </c>
      <c r="I152">
        <v>166363739.01367199</v>
      </c>
      <c r="J152">
        <v>190961685.180664</v>
      </c>
      <c r="K152">
        <v>193611358.64257801</v>
      </c>
      <c r="L152">
        <v>200789764.40429699</v>
      </c>
      <c r="M152">
        <v>201067733.76464802</v>
      </c>
      <c r="N152">
        <v>189854705.81054699</v>
      </c>
      <c r="O152">
        <v>188042373.65722698</v>
      </c>
      <c r="P152">
        <v>198742370.60546902</v>
      </c>
      <c r="Q152">
        <v>215616882.32421902</v>
      </c>
      <c r="R152">
        <v>224110610.961914</v>
      </c>
      <c r="S152">
        <v>245591094.97070301</v>
      </c>
      <c r="T152">
        <v>287057525.63476604</v>
      </c>
      <c r="U152">
        <v>305227020.26367199</v>
      </c>
      <c r="V152">
        <v>292148590.08789104</v>
      </c>
      <c r="W152">
        <v>287998352.05078101</v>
      </c>
      <c r="X152">
        <v>282041290.28320301</v>
      </c>
      <c r="Y152">
        <v>261688507.08007801</v>
      </c>
      <c r="Z152">
        <v>231343460.08300802</v>
      </c>
      <c r="AA152">
        <v>243826812.74414098</v>
      </c>
      <c r="AB152">
        <v>276733062.74414104</v>
      </c>
    </row>
    <row r="153" spans="1:28" x14ac:dyDescent="0.3">
      <c r="A153" t="s">
        <v>63</v>
      </c>
      <c r="B153" s="5" t="s">
        <v>64</v>
      </c>
      <c r="C153" t="s">
        <v>339</v>
      </c>
      <c r="D153" s="5" t="s">
        <v>340</v>
      </c>
      <c r="E153">
        <v>11966497048.6488</v>
      </c>
      <c r="F153">
        <v>12252906340.684099</v>
      </c>
      <c r="G153">
        <v>12800851270.551401</v>
      </c>
      <c r="H153">
        <v>13603456003.285101</v>
      </c>
      <c r="I153">
        <v>15100203361.784</v>
      </c>
      <c r="J153">
        <v>16623906739.312099</v>
      </c>
      <c r="K153">
        <v>18659721513.012299</v>
      </c>
      <c r="L153">
        <v>21717433808.268402</v>
      </c>
      <c r="M153">
        <v>25721327955.277199</v>
      </c>
      <c r="N153">
        <v>27791215547.348701</v>
      </c>
      <c r="O153">
        <v>30231009532.950699</v>
      </c>
      <c r="P153">
        <v>35687738251.813499</v>
      </c>
      <c r="Q153">
        <v>41595439720.9767</v>
      </c>
      <c r="R153">
        <v>46949496479.400795</v>
      </c>
      <c r="S153">
        <v>51427104881.9655</v>
      </c>
      <c r="T153">
        <v>55767806073.178101</v>
      </c>
      <c r="U153">
        <v>59760858717.835899</v>
      </c>
      <c r="V153">
        <v>64327688826.313698</v>
      </c>
      <c r="W153">
        <v>67316471181.248795</v>
      </c>
      <c r="X153">
        <v>69778991192.557114</v>
      </c>
      <c r="Y153">
        <v>57059846521.5327</v>
      </c>
      <c r="Z153">
        <v>67396392506.237793</v>
      </c>
      <c r="AA153">
        <v>76479304470.9375</v>
      </c>
      <c r="AB153">
        <v>83812155244.335205</v>
      </c>
    </row>
    <row r="154" spans="1:28" x14ac:dyDescent="0.3">
      <c r="A154" t="s">
        <v>63</v>
      </c>
      <c r="B154" s="5" t="s">
        <v>64</v>
      </c>
      <c r="C154" t="s">
        <v>341</v>
      </c>
      <c r="D154" s="5" t="s">
        <v>342</v>
      </c>
      <c r="E154">
        <v>3521339699.0740738</v>
      </c>
      <c r="F154">
        <v>3081024212.4292445</v>
      </c>
      <c r="G154">
        <v>2999511040.1976428</v>
      </c>
      <c r="H154">
        <v>3536411824.2958045</v>
      </c>
      <c r="I154">
        <v>3927157866.9646463</v>
      </c>
      <c r="J154">
        <v>4865892972.2759514</v>
      </c>
      <c r="K154">
        <v>8354911040.7019253</v>
      </c>
      <c r="L154">
        <v>9545028944.345787</v>
      </c>
      <c r="M154">
        <v>11670892800.530945</v>
      </c>
      <c r="N154">
        <v>11619456449.265974</v>
      </c>
      <c r="O154">
        <v>14250786674.776615</v>
      </c>
      <c r="P154">
        <v>17985138065.854904</v>
      </c>
      <c r="Q154">
        <v>21295168665.724728</v>
      </c>
      <c r="R154">
        <v>21261338064.878304</v>
      </c>
      <c r="S154">
        <v>23210823987.307961</v>
      </c>
      <c r="T154">
        <v>21723437010.098206</v>
      </c>
      <c r="U154">
        <v>20758876952.623165</v>
      </c>
      <c r="V154">
        <v>22742699138.356014</v>
      </c>
      <c r="W154">
        <v>24109780708.026779</v>
      </c>
      <c r="X154">
        <v>24750626029.877747</v>
      </c>
      <c r="Y154">
        <v>23848447849.60812</v>
      </c>
      <c r="Z154">
        <v>26109413521.311729</v>
      </c>
      <c r="AA154">
        <v>31653185952.608952</v>
      </c>
      <c r="AB154">
        <v>30816367066.9594</v>
      </c>
    </row>
    <row r="155" spans="1:28" x14ac:dyDescent="0.3">
      <c r="A155" t="s">
        <v>63</v>
      </c>
      <c r="B155" s="5" t="s">
        <v>64</v>
      </c>
      <c r="C155" t="s">
        <v>343</v>
      </c>
      <c r="D155" s="5" t="s">
        <v>344</v>
      </c>
      <c r="E155">
        <v>8855705139.5585651</v>
      </c>
      <c r="F155">
        <v>8495806432.1846695</v>
      </c>
      <c r="G155">
        <v>7196260656.8455591</v>
      </c>
      <c r="H155">
        <v>7691367471.1799183</v>
      </c>
      <c r="I155">
        <v>9624440836.2930946</v>
      </c>
      <c r="J155">
        <v>10737500188.112309</v>
      </c>
      <c r="K155">
        <v>13429430050.260954</v>
      </c>
      <c r="L155">
        <v>17856393235.433792</v>
      </c>
      <c r="M155">
        <v>24615267663.538464</v>
      </c>
      <c r="N155">
        <v>22355151162.003052</v>
      </c>
      <c r="O155">
        <v>27260886405.23415</v>
      </c>
      <c r="P155">
        <v>33756238766.493084</v>
      </c>
      <c r="Q155">
        <v>33271921136.307064</v>
      </c>
      <c r="R155">
        <v>38501122141.413483</v>
      </c>
      <c r="S155">
        <v>40377929295.652176</v>
      </c>
      <c r="T155">
        <v>36211447840.102715</v>
      </c>
      <c r="U155">
        <v>36089700222.954613</v>
      </c>
      <c r="V155">
        <v>38997129473.56131</v>
      </c>
      <c r="W155">
        <v>40225448340.634087</v>
      </c>
      <c r="X155">
        <v>37925338329.156013</v>
      </c>
      <c r="Y155">
        <v>35432178068.175629</v>
      </c>
      <c r="Z155">
        <v>39950899938.747414</v>
      </c>
      <c r="AA155">
        <v>41952910858.084557</v>
      </c>
      <c r="AB155">
        <v>43118053174.546089</v>
      </c>
    </row>
    <row r="156" spans="1:28" x14ac:dyDescent="0.3">
      <c r="A156" t="s">
        <v>63</v>
      </c>
      <c r="B156" s="5" t="s">
        <v>64</v>
      </c>
      <c r="C156" t="s">
        <v>345</v>
      </c>
      <c r="D156" s="5" t="s">
        <v>346</v>
      </c>
      <c r="E156">
        <v>51744749133.21299</v>
      </c>
      <c r="F156">
        <v>52030158775.405487</v>
      </c>
      <c r="G156">
        <v>54777553515.080879</v>
      </c>
      <c r="H156">
        <v>58731030121.867096</v>
      </c>
      <c r="I156">
        <v>66768703497.568687</v>
      </c>
      <c r="J156">
        <v>76060606060.606064</v>
      </c>
      <c r="K156">
        <v>88643193061.748001</v>
      </c>
      <c r="L156">
        <v>102170981144.13551</v>
      </c>
      <c r="M156">
        <v>120550599815.44141</v>
      </c>
      <c r="N156">
        <v>120822986521.47932</v>
      </c>
      <c r="O156">
        <v>147527631520.72919</v>
      </c>
      <c r="P156">
        <v>171761737046.58508</v>
      </c>
      <c r="Q156">
        <v>192650021648.58319</v>
      </c>
      <c r="R156">
        <v>201175543571.39182</v>
      </c>
      <c r="S156">
        <v>200786250582.94272</v>
      </c>
      <c r="T156">
        <v>189802976285.61893</v>
      </c>
      <c r="U156">
        <v>191898104390.37863</v>
      </c>
      <c r="V156">
        <v>211007984080.91058</v>
      </c>
      <c r="W156">
        <v>222597009739.23532</v>
      </c>
      <c r="X156">
        <v>228346006003.64822</v>
      </c>
      <c r="Y156">
        <v>201409694755.93436</v>
      </c>
      <c r="Z156">
        <v>226328766459.63437</v>
      </c>
      <c r="AA156">
        <v>246065570308.15494</v>
      </c>
      <c r="AB156">
        <v>266958720837.98767</v>
      </c>
    </row>
    <row r="157" spans="1:28" x14ac:dyDescent="0.3">
      <c r="A157" t="s">
        <v>63</v>
      </c>
      <c r="B157" s="5" t="s">
        <v>64</v>
      </c>
      <c r="C157" t="s">
        <v>347</v>
      </c>
      <c r="D157" s="5" t="s">
        <v>348</v>
      </c>
      <c r="E157">
        <v>83669788376.921295</v>
      </c>
      <c r="F157">
        <v>78921234457.548737</v>
      </c>
      <c r="G157">
        <v>84307345887.542999</v>
      </c>
      <c r="H157">
        <v>87039092974.227249</v>
      </c>
      <c r="I157">
        <v>95001999685.331436</v>
      </c>
      <c r="J157">
        <v>107419977318.16573</v>
      </c>
      <c r="K157">
        <v>127652926368.06917</v>
      </c>
      <c r="L157">
        <v>155980408673.40317</v>
      </c>
      <c r="M157">
        <v>181624626327.36093</v>
      </c>
      <c r="N157">
        <v>175974755881.37238</v>
      </c>
      <c r="O157">
        <v>208368893151.14383</v>
      </c>
      <c r="P157">
        <v>234216730291.32016</v>
      </c>
      <c r="Q157">
        <v>261920540962.62988</v>
      </c>
      <c r="R157">
        <v>283902828588.71771</v>
      </c>
      <c r="S157">
        <v>297483555338.04431</v>
      </c>
      <c r="T157">
        <v>306445871242.32245</v>
      </c>
      <c r="U157">
        <v>318627003016.73126</v>
      </c>
      <c r="V157">
        <v>328480736802.75983</v>
      </c>
      <c r="W157">
        <v>346841896587.31256</v>
      </c>
      <c r="X157">
        <v>376823402239.13593</v>
      </c>
      <c r="Y157">
        <v>361751145451.59674</v>
      </c>
      <c r="Z157">
        <v>394087359848.10999</v>
      </c>
      <c r="AA157">
        <v>404353369604.6311</v>
      </c>
      <c r="AB157">
        <v>437055627244.42401</v>
      </c>
    </row>
    <row r="158" spans="1:28" x14ac:dyDescent="0.3">
      <c r="A158" t="s">
        <v>63</v>
      </c>
      <c r="B158" s="5" t="s">
        <v>64</v>
      </c>
      <c r="C158" t="s">
        <v>32</v>
      </c>
      <c r="D158" s="5" t="s">
        <v>349</v>
      </c>
      <c r="E158">
        <v>172953527033.01254</v>
      </c>
      <c r="F158">
        <v>191823200371.28412</v>
      </c>
      <c r="G158">
        <v>199694463255.5668</v>
      </c>
      <c r="H158">
        <v>218561225998.47006</v>
      </c>
      <c r="I158">
        <v>256268656145.13394</v>
      </c>
      <c r="J158">
        <v>306999913150.52496</v>
      </c>
      <c r="K158">
        <v>345897630736.17261</v>
      </c>
      <c r="L158">
        <v>429715132137.5025</v>
      </c>
      <c r="M158">
        <v>535612030671.8877</v>
      </c>
      <c r="N158">
        <v>440891472247.09644</v>
      </c>
      <c r="O158">
        <v>478111630683.5141</v>
      </c>
      <c r="P158">
        <v>527848543023.4693</v>
      </c>
      <c r="Q158">
        <v>498148649702.66003</v>
      </c>
      <c r="R158">
        <v>518179836405.36011</v>
      </c>
      <c r="S158">
        <v>542134167178.62683</v>
      </c>
      <c r="T158">
        <v>480054118583.36652</v>
      </c>
      <c r="U158">
        <v>473259583969.64294</v>
      </c>
      <c r="V158">
        <v>528356676667.21075</v>
      </c>
      <c r="W158">
        <v>594616687350.01709</v>
      </c>
      <c r="X158">
        <v>602683770144.88037</v>
      </c>
      <c r="Y158">
        <v>605914237903.74219</v>
      </c>
      <c r="Z158">
        <v>689170230665.35034</v>
      </c>
      <c r="AA158">
        <v>695607470875.27625</v>
      </c>
      <c r="AB158">
        <v>812451193396.14258</v>
      </c>
    </row>
    <row r="159" spans="1:28" x14ac:dyDescent="0.3">
      <c r="A159" t="s">
        <v>63</v>
      </c>
      <c r="B159" s="5" t="s">
        <v>64</v>
      </c>
      <c r="C159" t="s">
        <v>33</v>
      </c>
      <c r="D159" s="5" t="s">
        <v>350</v>
      </c>
      <c r="E159">
        <v>118605192877.38849</v>
      </c>
      <c r="F159">
        <v>121604107164.9966</v>
      </c>
      <c r="G159">
        <v>134795565549.41945</v>
      </c>
      <c r="H159">
        <v>165226175536.7926</v>
      </c>
      <c r="I159">
        <v>189382122532.16882</v>
      </c>
      <c r="J159">
        <v>197253876704.9213</v>
      </c>
      <c r="K159">
        <v>208756449275.84793</v>
      </c>
      <c r="L159">
        <v>240496147317.38077</v>
      </c>
      <c r="M159">
        <v>263416394624.08353</v>
      </c>
      <c r="N159">
        <v>244667762835.54318</v>
      </c>
      <c r="O159">
        <v>238443864993.21713</v>
      </c>
      <c r="P159">
        <v>245426767676.00244</v>
      </c>
      <c r="Q159">
        <v>216536676771.97272</v>
      </c>
      <c r="R159">
        <v>226677408291.74533</v>
      </c>
      <c r="S159">
        <v>230078616299.67526</v>
      </c>
      <c r="T159">
        <v>199038523119.63934</v>
      </c>
      <c r="U159">
        <v>206305431241.63824</v>
      </c>
      <c r="V159">
        <v>220862990767.22861</v>
      </c>
      <c r="W159">
        <v>242092894542.88766</v>
      </c>
      <c r="X159">
        <v>240115970063.01923</v>
      </c>
      <c r="Y159">
        <v>229618773422.57651</v>
      </c>
      <c r="Z159">
        <v>256055879091.13928</v>
      </c>
      <c r="AA159">
        <v>256898677175.02435</v>
      </c>
      <c r="AB159">
        <v>292323800948.8385</v>
      </c>
    </row>
    <row r="160" spans="1:28" x14ac:dyDescent="0.3">
      <c r="A160" t="s">
        <v>63</v>
      </c>
      <c r="B160" s="5" t="s">
        <v>64</v>
      </c>
      <c r="C160" t="s">
        <v>351</v>
      </c>
      <c r="D160" s="5" t="s">
        <v>352</v>
      </c>
      <c r="E160">
        <v>61701800000</v>
      </c>
      <c r="F160">
        <v>69208400000</v>
      </c>
      <c r="G160">
        <v>71623500000</v>
      </c>
      <c r="H160">
        <v>74827400000</v>
      </c>
      <c r="I160">
        <v>80322313000</v>
      </c>
      <c r="J160">
        <v>83914521300</v>
      </c>
      <c r="K160">
        <v>87276164400</v>
      </c>
      <c r="L160">
        <v>89524131600</v>
      </c>
      <c r="M160">
        <v>93639300000</v>
      </c>
      <c r="N160">
        <v>96385600000</v>
      </c>
      <c r="O160">
        <v>98381300000</v>
      </c>
      <c r="P160">
        <v>100351700000</v>
      </c>
      <c r="Q160">
        <v>101564800000</v>
      </c>
      <c r="R160">
        <v>102450000000</v>
      </c>
      <c r="S160">
        <v>102445800000</v>
      </c>
      <c r="T160">
        <v>103375500000</v>
      </c>
      <c r="U160">
        <v>104336700000</v>
      </c>
      <c r="V160">
        <v>103445500000</v>
      </c>
      <c r="W160">
        <v>100958100000</v>
      </c>
      <c r="X160">
        <v>105126400000</v>
      </c>
      <c r="Y160">
        <v>103130900000</v>
      </c>
      <c r="Z160">
        <v>106426600000</v>
      </c>
      <c r="AA160">
        <v>113843700000</v>
      </c>
      <c r="AB160">
        <v>118478754280.882</v>
      </c>
    </row>
    <row r="161" spans="1:28" x14ac:dyDescent="0.3">
      <c r="A161" t="s">
        <v>63</v>
      </c>
      <c r="B161" s="5" t="s">
        <v>64</v>
      </c>
      <c r="C161" t="s">
        <v>353</v>
      </c>
      <c r="D161" s="5" t="s">
        <v>354</v>
      </c>
      <c r="E161">
        <v>17759890109.89011</v>
      </c>
      <c r="F161">
        <v>17538461538.461536</v>
      </c>
      <c r="G161">
        <v>19363736263.736263</v>
      </c>
      <c r="H161">
        <v>23533791208.791206</v>
      </c>
      <c r="I161">
        <v>31734065934.065933</v>
      </c>
      <c r="J161">
        <v>44530494505.494507</v>
      </c>
      <c r="K161">
        <v>60882142857.142853</v>
      </c>
      <c r="L161">
        <v>79712087912.087906</v>
      </c>
      <c r="M161">
        <v>115270054945.05495</v>
      </c>
      <c r="N161">
        <v>97798351648.351639</v>
      </c>
      <c r="O161">
        <v>123627197802.1978</v>
      </c>
      <c r="P161">
        <v>167775274725.27472</v>
      </c>
      <c r="Q161">
        <v>186833516483.51648</v>
      </c>
      <c r="R161">
        <v>198727747252.74725</v>
      </c>
      <c r="S161">
        <v>206224725274.72528</v>
      </c>
      <c r="T161">
        <v>161739835164.83517</v>
      </c>
      <c r="U161">
        <v>151732142857.14285</v>
      </c>
      <c r="V161">
        <v>161099175824.17581</v>
      </c>
      <c r="W161">
        <v>183335164835.16483</v>
      </c>
      <c r="X161">
        <v>176371428571.42856</v>
      </c>
      <c r="Y161">
        <v>144411538461.53845</v>
      </c>
      <c r="Z161">
        <v>179732142857.14285</v>
      </c>
      <c r="AA161">
        <v>235709340659.34064</v>
      </c>
      <c r="AB161">
        <v>217308516483.51648</v>
      </c>
    </row>
    <row r="162" spans="1:28" x14ac:dyDescent="0.3">
      <c r="A162" t="s">
        <v>63</v>
      </c>
      <c r="B162" s="5" t="s">
        <v>64</v>
      </c>
      <c r="C162" t="s">
        <v>355</v>
      </c>
      <c r="D162" s="5" t="s">
        <v>356</v>
      </c>
      <c r="E162">
        <v>37253739511.127327</v>
      </c>
      <c r="F162">
        <v>40395116581.483162</v>
      </c>
      <c r="G162">
        <v>46065502702.581696</v>
      </c>
      <c r="H162">
        <v>57806384143.165962</v>
      </c>
      <c r="I162">
        <v>74973656851.807648</v>
      </c>
      <c r="J162">
        <v>98454380120.076065</v>
      </c>
      <c r="K162">
        <v>122023735992.70625</v>
      </c>
      <c r="L162">
        <v>174588782938.58301</v>
      </c>
      <c r="M162">
        <v>214315932061.27539</v>
      </c>
      <c r="N162">
        <v>174110532658.86713</v>
      </c>
      <c r="O162">
        <v>170064350671.8273</v>
      </c>
      <c r="P162">
        <v>192623977894.17334</v>
      </c>
      <c r="Q162">
        <v>179117323107.08725</v>
      </c>
      <c r="R162">
        <v>189798603751.23538</v>
      </c>
      <c r="S162">
        <v>199722319675.74106</v>
      </c>
      <c r="T162">
        <v>177885131240.31528</v>
      </c>
      <c r="U162">
        <v>185290759248.84393</v>
      </c>
      <c r="V162">
        <v>210147385855.41934</v>
      </c>
      <c r="W162">
        <v>241791427223.90329</v>
      </c>
      <c r="X162">
        <v>250080428511.59476</v>
      </c>
      <c r="Y162">
        <v>250625048303.57831</v>
      </c>
      <c r="Z162">
        <v>285071280114.4693</v>
      </c>
      <c r="AA162">
        <v>295319437556.9881</v>
      </c>
      <c r="AB162">
        <v>347757995758.91394</v>
      </c>
    </row>
    <row r="163" spans="1:28" x14ac:dyDescent="0.3">
      <c r="A163" t="s">
        <v>63</v>
      </c>
      <c r="B163" s="5" t="s">
        <v>64</v>
      </c>
      <c r="C163" t="s">
        <v>35</v>
      </c>
      <c r="D163" s="5" t="s">
        <v>357</v>
      </c>
      <c r="E163">
        <v>259710142196.94278</v>
      </c>
      <c r="F163">
        <v>306602070620.50049</v>
      </c>
      <c r="G163">
        <v>345470494417.86279</v>
      </c>
      <c r="H163">
        <v>430347420184.88513</v>
      </c>
      <c r="I163">
        <v>591016690732.38464</v>
      </c>
      <c r="J163">
        <v>764015973481.11023</v>
      </c>
      <c r="K163">
        <v>989932071352.54309</v>
      </c>
      <c r="L163">
        <v>1299703478481.6531</v>
      </c>
      <c r="M163">
        <v>1660848058303.1138</v>
      </c>
      <c r="N163">
        <v>1222645900055.6956</v>
      </c>
      <c r="O163">
        <v>1524916715223.946</v>
      </c>
      <c r="P163">
        <v>2045922753398.0359</v>
      </c>
      <c r="Q163">
        <v>2208293553878.4243</v>
      </c>
      <c r="R163">
        <v>2292470078346.2236</v>
      </c>
      <c r="S163">
        <v>2059241589895.0149</v>
      </c>
      <c r="T163">
        <v>1363482182197.7053</v>
      </c>
      <c r="U163">
        <v>1276786350881.137</v>
      </c>
      <c r="V163">
        <v>1574199360089.0022</v>
      </c>
      <c r="W163">
        <v>1657328773461.3062</v>
      </c>
      <c r="X163">
        <v>1693115002708.3157</v>
      </c>
      <c r="Y163">
        <v>1493075894362.1426</v>
      </c>
      <c r="Z163">
        <v>1829186719575.0959</v>
      </c>
      <c r="AA163">
        <v>2291612121334.6431</v>
      </c>
      <c r="AB163">
        <v>2071505725030.5793</v>
      </c>
    </row>
    <row r="164" spans="1:28" x14ac:dyDescent="0.3">
      <c r="A164" t="s">
        <v>63</v>
      </c>
      <c r="B164" s="5" t="s">
        <v>64</v>
      </c>
      <c r="C164" t="s">
        <v>358</v>
      </c>
      <c r="D164" s="5" t="s">
        <v>359</v>
      </c>
      <c r="E164">
        <v>2068836754.374305</v>
      </c>
      <c r="F164">
        <v>1966600715.4984097</v>
      </c>
      <c r="G164">
        <v>1966003468.4911726</v>
      </c>
      <c r="H164">
        <v>2138237278.7382245</v>
      </c>
      <c r="I164">
        <v>2376496067.0119786</v>
      </c>
      <c r="J164">
        <v>2933819766.176559</v>
      </c>
      <c r="K164">
        <v>3319784538.7334623</v>
      </c>
      <c r="L164">
        <v>4070507894.6165586</v>
      </c>
      <c r="M164">
        <v>5179854064.5703278</v>
      </c>
      <c r="N164">
        <v>5674476969.0644407</v>
      </c>
      <c r="O164">
        <v>6124756654.123457</v>
      </c>
      <c r="P164">
        <v>6884913658.1063166</v>
      </c>
      <c r="Q164">
        <v>7654761050.1858721</v>
      </c>
      <c r="R164">
        <v>7819964030.1793661</v>
      </c>
      <c r="S164">
        <v>8238966124.2311468</v>
      </c>
      <c r="T164">
        <v>8543760199.8020849</v>
      </c>
      <c r="U164">
        <v>8695272057.9179764</v>
      </c>
      <c r="V164">
        <v>9252833891.4087086</v>
      </c>
      <c r="W164">
        <v>9637904520.8628311</v>
      </c>
      <c r="X164">
        <v>10349300276.762283</v>
      </c>
      <c r="Y164">
        <v>10174386856.610067</v>
      </c>
      <c r="Z164">
        <v>11078787090.156437</v>
      </c>
      <c r="AA164">
        <v>13316161002.391228</v>
      </c>
      <c r="AB164">
        <v>14331722703.41337</v>
      </c>
    </row>
    <row r="165" spans="1:28" x14ac:dyDescent="0.3">
      <c r="A165" t="s">
        <v>63</v>
      </c>
      <c r="B165" s="5" t="s">
        <v>64</v>
      </c>
      <c r="C165" t="s">
        <v>360</v>
      </c>
      <c r="D165" s="5" t="s">
        <v>361</v>
      </c>
      <c r="E165">
        <v>258856139.79848865</v>
      </c>
      <c r="F165">
        <v>266299591.47942805</v>
      </c>
      <c r="G165">
        <v>281790134.21197158</v>
      </c>
      <c r="H165">
        <v>333426188.41876</v>
      </c>
      <c r="I165">
        <v>407747565.09695876</v>
      </c>
      <c r="J165">
        <v>476801793.15942883</v>
      </c>
      <c r="K165">
        <v>499923757.78073615</v>
      </c>
      <c r="L165">
        <v>573548459.83337152</v>
      </c>
      <c r="M165">
        <v>641346191.66477573</v>
      </c>
      <c r="N165">
        <v>628006115.42405164</v>
      </c>
      <c r="O165">
        <v>680260907.15398335</v>
      </c>
      <c r="P165">
        <v>744097050.1691153</v>
      </c>
      <c r="Q165">
        <v>773141661.16554761</v>
      </c>
      <c r="R165">
        <v>797736334.28130519</v>
      </c>
      <c r="S165">
        <v>796683519.59384203</v>
      </c>
      <c r="T165">
        <v>824150498.65353644</v>
      </c>
      <c r="U165">
        <v>843924796.69742107</v>
      </c>
      <c r="V165">
        <v>884844384.46321356</v>
      </c>
      <c r="W165">
        <v>878448433.4043417</v>
      </c>
      <c r="X165">
        <v>912950466.06490564</v>
      </c>
      <c r="Y165">
        <v>868884902.95308912</v>
      </c>
      <c r="Z165">
        <v>859724936.05765021</v>
      </c>
      <c r="AA165">
        <v>889554711.84234059</v>
      </c>
      <c r="AB165">
        <v>1044909500.0252702</v>
      </c>
    </row>
    <row r="166" spans="1:28" x14ac:dyDescent="0.3">
      <c r="A166" t="s">
        <v>63</v>
      </c>
      <c r="B166" s="5" t="s">
        <v>64</v>
      </c>
      <c r="C166" t="s">
        <v>362</v>
      </c>
      <c r="D166" s="5" t="s">
        <v>363</v>
      </c>
      <c r="E166">
        <v>1007661366.6695914</v>
      </c>
      <c r="F166">
        <v>1059529812.3745558</v>
      </c>
      <c r="G166">
        <v>1148872072.3855596</v>
      </c>
      <c r="H166">
        <v>1462590266.5918593</v>
      </c>
      <c r="I166">
        <v>1715340542.9880013</v>
      </c>
      <c r="J166">
        <v>1786514058.2234387</v>
      </c>
      <c r="K166">
        <v>1909765165.4313672</v>
      </c>
      <c r="L166">
        <v>2188654628.3809714</v>
      </c>
      <c r="M166">
        <v>2403213305.0360112</v>
      </c>
      <c r="N166">
        <v>2064277126.4146576</v>
      </c>
      <c r="O166">
        <v>1881191925.3250325</v>
      </c>
      <c r="P166">
        <v>1813717438.6913395</v>
      </c>
      <c r="Q166">
        <v>1604701299.4354639</v>
      </c>
      <c r="R166">
        <v>1678741475.1409466</v>
      </c>
      <c r="S166">
        <v>1673911426.1725352</v>
      </c>
      <c r="T166">
        <v>1419401070.5604265</v>
      </c>
      <c r="U166">
        <v>1468343139.7432647</v>
      </c>
      <c r="V166">
        <v>1528620346.3116832</v>
      </c>
      <c r="W166">
        <v>1655353653.0593441</v>
      </c>
      <c r="X166">
        <v>1616340692.2893679</v>
      </c>
      <c r="Y166">
        <v>1541248248.8072708</v>
      </c>
      <c r="Z166">
        <v>1855652786.1836789</v>
      </c>
      <c r="AA166">
        <v>1829211863.9476042</v>
      </c>
      <c r="AB166">
        <v>2027527227.8309956</v>
      </c>
    </row>
    <row r="167" spans="1:28" x14ac:dyDescent="0.3">
      <c r="A167" t="s">
        <v>63</v>
      </c>
      <c r="B167" s="5" t="s">
        <v>64</v>
      </c>
      <c r="C167" t="s">
        <v>364</v>
      </c>
      <c r="D167" s="5" t="s">
        <v>365</v>
      </c>
      <c r="E167">
        <v>76198394.820267096</v>
      </c>
      <c r="F167">
        <v>75951133.377794817</v>
      </c>
      <c r="G167">
        <v>85171073.877749756</v>
      </c>
      <c r="H167">
        <v>102085769.12341939</v>
      </c>
      <c r="I167">
        <v>114582283.91638164</v>
      </c>
      <c r="J167">
        <v>136450662.39059213</v>
      </c>
      <c r="K167">
        <v>142775104.08162561</v>
      </c>
      <c r="L167">
        <v>149146918.88861105</v>
      </c>
      <c r="M167">
        <v>188021165.00338</v>
      </c>
      <c r="N167">
        <v>200668065.03175008</v>
      </c>
      <c r="O167">
        <v>190021192.48953635</v>
      </c>
      <c r="P167">
        <v>226455001.24308294</v>
      </c>
      <c r="Q167">
        <v>225815131.92927337</v>
      </c>
      <c r="R167">
        <v>267041747.58435395</v>
      </c>
      <c r="S167">
        <v>293119143.24682474</v>
      </c>
      <c r="T167">
        <v>259999643.04738805</v>
      </c>
      <c r="U167">
        <v>292267272.19692522</v>
      </c>
      <c r="V167">
        <v>322002845.22933531</v>
      </c>
      <c r="W167">
        <v>383717327.83050781</v>
      </c>
      <c r="X167">
        <v>412976082.62070531</v>
      </c>
      <c r="Y167">
        <v>471229484.6071443</v>
      </c>
      <c r="Z167">
        <v>524402455.54816008</v>
      </c>
      <c r="AA167">
        <v>540809499.18934846</v>
      </c>
      <c r="AB167">
        <v>690456806.69640589</v>
      </c>
    </row>
    <row r="168" spans="1:28" x14ac:dyDescent="0.3">
      <c r="A168" t="s">
        <v>63</v>
      </c>
      <c r="B168" s="5" t="s">
        <v>64</v>
      </c>
      <c r="C168" t="s">
        <v>50</v>
      </c>
      <c r="D168" s="5" t="s">
        <v>366</v>
      </c>
      <c r="E168">
        <v>189514933333.33334</v>
      </c>
      <c r="F168">
        <v>184137600000</v>
      </c>
      <c r="G168">
        <v>189605866666.66666</v>
      </c>
      <c r="H168">
        <v>215807733333.33334</v>
      </c>
      <c r="I168">
        <v>258742133333.33334</v>
      </c>
      <c r="J168">
        <v>328459608764.1109</v>
      </c>
      <c r="K168">
        <v>376900133511.34845</v>
      </c>
      <c r="L168">
        <v>415964509673.11542</v>
      </c>
      <c r="M168">
        <v>519796800000</v>
      </c>
      <c r="N168">
        <v>429097866666.66669</v>
      </c>
      <c r="O168">
        <v>528207466666.66669</v>
      </c>
      <c r="P168">
        <v>680660800000</v>
      </c>
      <c r="Q168">
        <v>751921333333.33337</v>
      </c>
      <c r="R168">
        <v>769755733333.33337</v>
      </c>
      <c r="S168">
        <v>787153066666.66663</v>
      </c>
      <c r="T168">
        <v>693414400000</v>
      </c>
      <c r="U168">
        <v>689279466666.66663</v>
      </c>
      <c r="V168">
        <v>741266133333.33337</v>
      </c>
      <c r="W168">
        <v>886564800000</v>
      </c>
      <c r="X168">
        <v>888890133333.33337</v>
      </c>
      <c r="Y168">
        <v>767951200000</v>
      </c>
      <c r="Z168">
        <v>982661066666.66663</v>
      </c>
      <c r="AA168">
        <v>1239075200000</v>
      </c>
      <c r="AB168">
        <v>1218584533333.3333</v>
      </c>
    </row>
    <row r="169" spans="1:28" x14ac:dyDescent="0.3">
      <c r="A169" t="s">
        <v>63</v>
      </c>
      <c r="B169" s="5" t="s">
        <v>64</v>
      </c>
      <c r="C169" t="s">
        <v>367</v>
      </c>
      <c r="D169" s="5" t="s">
        <v>368</v>
      </c>
      <c r="E169">
        <v>6013185003.9752512</v>
      </c>
      <c r="F169">
        <v>6507824829.262536</v>
      </c>
      <c r="G169">
        <v>7006402319.7585649</v>
      </c>
      <c r="H169">
        <v>8768721563.182106</v>
      </c>
      <c r="I169">
        <v>10076816666.619638</v>
      </c>
      <c r="J169">
        <v>11009033437.939039</v>
      </c>
      <c r="K169">
        <v>11697918243.00349</v>
      </c>
      <c r="L169">
        <v>13994218412.961872</v>
      </c>
      <c r="M169">
        <v>16853989627.548038</v>
      </c>
      <c r="N169">
        <v>16145867494.940493</v>
      </c>
      <c r="O169">
        <v>16121315909.07576</v>
      </c>
      <c r="P169">
        <v>17814283639.311874</v>
      </c>
      <c r="Q169">
        <v>17660870411.523518</v>
      </c>
      <c r="R169">
        <v>18918667724.881683</v>
      </c>
      <c r="S169">
        <v>19797253440.267914</v>
      </c>
      <c r="T169">
        <v>17774766696.175896</v>
      </c>
      <c r="U169">
        <v>19040312333.186382</v>
      </c>
      <c r="V169">
        <v>20996562943.597919</v>
      </c>
      <c r="W169">
        <v>23116701556.138107</v>
      </c>
      <c r="X169">
        <v>23403995992.135414</v>
      </c>
      <c r="Y169">
        <v>24530513037.751846</v>
      </c>
      <c r="Z169">
        <v>27520784129.750805</v>
      </c>
      <c r="AA169">
        <v>27783332222.675926</v>
      </c>
      <c r="AB169">
        <v>30696331295.782555</v>
      </c>
    </row>
    <row r="170" spans="1:28" x14ac:dyDescent="0.3">
      <c r="A170" t="s">
        <v>63</v>
      </c>
      <c r="B170" s="5" t="s">
        <v>64</v>
      </c>
      <c r="C170" t="s">
        <v>369</v>
      </c>
      <c r="D170" s="5" t="s">
        <v>370</v>
      </c>
      <c r="E170">
        <v>7326373882.1104422</v>
      </c>
      <c r="F170">
        <v>13599378661.995176</v>
      </c>
      <c r="G170">
        <v>17930583571.30545</v>
      </c>
      <c r="H170">
        <v>23593044417.508606</v>
      </c>
      <c r="I170">
        <v>26845632341.807495</v>
      </c>
      <c r="J170">
        <v>28334256180.880116</v>
      </c>
      <c r="K170">
        <v>33298057361.741169</v>
      </c>
      <c r="L170">
        <v>44888028946.08535</v>
      </c>
      <c r="M170">
        <v>54220641201.647415</v>
      </c>
      <c r="N170">
        <v>46955984409.727051</v>
      </c>
      <c r="O170">
        <v>43536629233.142372</v>
      </c>
      <c r="P170">
        <v>51251098408.092361</v>
      </c>
      <c r="Q170">
        <v>45103269969.411179</v>
      </c>
      <c r="R170">
        <v>50455529604.069572</v>
      </c>
      <c r="S170">
        <v>49114321280.346649</v>
      </c>
      <c r="T170">
        <v>41297410634.958603</v>
      </c>
      <c r="U170">
        <v>42225495909.563316</v>
      </c>
      <c r="V170">
        <v>45972834713.807732</v>
      </c>
      <c r="W170">
        <v>52787520248.924194</v>
      </c>
      <c r="X170">
        <v>53864693664.55677</v>
      </c>
      <c r="Y170">
        <v>55874017668.998001</v>
      </c>
      <c r="Z170">
        <v>66159884072.530846</v>
      </c>
      <c r="AA170">
        <v>66809895701.215157</v>
      </c>
      <c r="AB170">
        <v>81343999280.017883</v>
      </c>
    </row>
    <row r="171" spans="1:28" x14ac:dyDescent="0.3">
      <c r="A171" t="s">
        <v>63</v>
      </c>
      <c r="B171" s="5" t="s">
        <v>64</v>
      </c>
      <c r="C171" t="s">
        <v>371</v>
      </c>
      <c r="D171" s="5" t="s">
        <v>372</v>
      </c>
      <c r="E171">
        <v>654212394.27164018</v>
      </c>
      <c r="F171">
        <v>662064155.92069173</v>
      </c>
      <c r="G171">
        <v>742134837.5091902</v>
      </c>
      <c r="H171">
        <v>750847230.09926271</v>
      </c>
      <c r="I171">
        <v>893012218.18181813</v>
      </c>
      <c r="J171">
        <v>977899381.81818187</v>
      </c>
      <c r="K171">
        <v>1081441283.3179822</v>
      </c>
      <c r="L171">
        <v>1077308813.8294539</v>
      </c>
      <c r="M171">
        <v>979597394.29345322</v>
      </c>
      <c r="N171">
        <v>850901620.43330097</v>
      </c>
      <c r="O171">
        <v>981616542.32845426</v>
      </c>
      <c r="P171">
        <v>1058918707.2612364</v>
      </c>
      <c r="Q171">
        <v>1089407839.1970947</v>
      </c>
      <c r="R171">
        <v>1333160407.3851607</v>
      </c>
      <c r="S171">
        <v>1387577870.0816104</v>
      </c>
      <c r="T171">
        <v>1432403352.1294434</v>
      </c>
      <c r="U171">
        <v>1568513348.1446254</v>
      </c>
      <c r="V171">
        <v>1675370641.0141618</v>
      </c>
      <c r="W171">
        <v>1784313926.7680659</v>
      </c>
      <c r="X171">
        <v>1868690096.7345412</v>
      </c>
      <c r="Y171">
        <v>1382551751.5690813</v>
      </c>
      <c r="Z171">
        <v>1487173794.8052788</v>
      </c>
      <c r="AA171">
        <v>2018346588.7375247</v>
      </c>
      <c r="AB171">
        <v>2187379754.6616659</v>
      </c>
    </row>
    <row r="172" spans="1:28" x14ac:dyDescent="0.3">
      <c r="A172" t="s">
        <v>63</v>
      </c>
      <c r="B172" s="5" t="s">
        <v>64</v>
      </c>
      <c r="C172" t="s">
        <v>373</v>
      </c>
      <c r="D172" s="5" t="s">
        <v>374</v>
      </c>
      <c r="E172">
        <v>635866403.77606511</v>
      </c>
      <c r="F172">
        <v>1681473893.7665458</v>
      </c>
      <c r="G172">
        <v>1933863910.73227</v>
      </c>
      <c r="H172">
        <v>2142618045.9312878</v>
      </c>
      <c r="I172">
        <v>2237350687.4660583</v>
      </c>
      <c r="J172">
        <v>2545275312.6051188</v>
      </c>
      <c r="K172">
        <v>3263697466.735136</v>
      </c>
      <c r="L172">
        <v>3632957611.3515205</v>
      </c>
      <c r="M172">
        <v>4157895298.1957159</v>
      </c>
      <c r="N172">
        <v>3953403098.3710661</v>
      </c>
      <c r="O172">
        <v>4262805966.7875533</v>
      </c>
      <c r="P172">
        <v>4861632884.6798534</v>
      </c>
      <c r="Q172">
        <v>6141666509.3629475</v>
      </c>
      <c r="R172">
        <v>7502762862.7265692</v>
      </c>
      <c r="S172">
        <v>7686138790.9087172</v>
      </c>
      <c r="T172">
        <v>6788352974.7832947</v>
      </c>
      <c r="U172">
        <v>6084297211.1021729</v>
      </c>
      <c r="V172">
        <v>5749846528.4804573</v>
      </c>
      <c r="W172">
        <v>6390514688.528162</v>
      </c>
      <c r="X172">
        <v>6523577594.2940798</v>
      </c>
      <c r="Y172">
        <v>6688307703.1447029</v>
      </c>
      <c r="Z172">
        <v>7166931485.4943256</v>
      </c>
      <c r="AA172">
        <v>7121125277.5254221</v>
      </c>
      <c r="AB172">
        <v>6415852766.7383165</v>
      </c>
    </row>
    <row r="173" spans="1:28" x14ac:dyDescent="0.3">
      <c r="A173" t="s">
        <v>63</v>
      </c>
      <c r="B173" s="5" t="s">
        <v>64</v>
      </c>
      <c r="C173" t="s">
        <v>375</v>
      </c>
      <c r="D173" s="5" t="s">
        <v>376</v>
      </c>
      <c r="E173">
        <v>96076539925.740875</v>
      </c>
      <c r="F173">
        <v>89793790669.651505</v>
      </c>
      <c r="G173">
        <v>92538372869.694199</v>
      </c>
      <c r="H173">
        <v>97646401095.636902</v>
      </c>
      <c r="I173">
        <v>115033593101.04909</v>
      </c>
      <c r="J173">
        <v>127807848728.39835</v>
      </c>
      <c r="K173">
        <v>148627286361.35068</v>
      </c>
      <c r="L173">
        <v>180941701357.97046</v>
      </c>
      <c r="M173">
        <v>193617323539.20279</v>
      </c>
      <c r="N173">
        <v>194150283771.56647</v>
      </c>
      <c r="O173">
        <v>239807980591.23965</v>
      </c>
      <c r="P173">
        <v>279356499090.45807</v>
      </c>
      <c r="Q173">
        <v>295092888076.58948</v>
      </c>
      <c r="R173">
        <v>307576360584.99158</v>
      </c>
      <c r="S173">
        <v>314863580758.45465</v>
      </c>
      <c r="T173">
        <v>307998545269.39795</v>
      </c>
      <c r="U173">
        <v>319646468521.49695</v>
      </c>
      <c r="V173">
        <v>343673334902.32996</v>
      </c>
      <c r="W173">
        <v>377123710560.6142</v>
      </c>
      <c r="X173">
        <v>376161998830.04755</v>
      </c>
      <c r="Y173">
        <v>349165858544.56848</v>
      </c>
      <c r="Z173">
        <v>436591382250.46393</v>
      </c>
      <c r="AA173">
        <v>509017841146.55676</v>
      </c>
      <c r="AB173">
        <v>505439514078.01947</v>
      </c>
    </row>
    <row r="174" spans="1:28" x14ac:dyDescent="0.3">
      <c r="A174" t="s">
        <v>63</v>
      </c>
      <c r="B174" s="5" t="s">
        <v>64</v>
      </c>
      <c r="C174" t="s">
        <v>377</v>
      </c>
      <c r="D174" s="5" t="s">
        <v>378</v>
      </c>
      <c r="E174" t="s">
        <v>73</v>
      </c>
      <c r="F174" t="s">
        <v>73</v>
      </c>
      <c r="G174" t="s">
        <v>73</v>
      </c>
      <c r="H174" t="s">
        <v>73</v>
      </c>
      <c r="I174" t="s">
        <v>73</v>
      </c>
      <c r="J174" t="s">
        <v>73</v>
      </c>
      <c r="K174" t="s">
        <v>73</v>
      </c>
      <c r="L174" t="s">
        <v>73</v>
      </c>
      <c r="M174" t="s">
        <v>73</v>
      </c>
      <c r="N174">
        <v>854972067.03910613</v>
      </c>
      <c r="O174">
        <v>892290502.7932961</v>
      </c>
      <c r="P174">
        <v>936089385.47486031</v>
      </c>
      <c r="Q174">
        <v>985865921.78770947</v>
      </c>
      <c r="R174">
        <v>1022905027.9329609</v>
      </c>
      <c r="S174">
        <v>1361811508.3798883</v>
      </c>
      <c r="T174">
        <v>1417888715.0837989</v>
      </c>
      <c r="U174">
        <v>1427017206.7039106</v>
      </c>
      <c r="V174">
        <v>1353212122.9050279</v>
      </c>
      <c r="W174">
        <v>1259200446.9273744</v>
      </c>
      <c r="X174">
        <v>1407880446.9273744</v>
      </c>
      <c r="Y174">
        <v>1236428100.5586591</v>
      </c>
      <c r="Z174">
        <v>1353071061.4525139</v>
      </c>
      <c r="AA174">
        <v>1592564639.3296089</v>
      </c>
      <c r="AB174">
        <v>1686525953.0500557</v>
      </c>
    </row>
    <row r="175" spans="1:28" x14ac:dyDescent="0.3">
      <c r="A175" t="s">
        <v>63</v>
      </c>
      <c r="B175" s="5" t="s">
        <v>64</v>
      </c>
      <c r="C175" t="s">
        <v>36</v>
      </c>
      <c r="D175" s="5" t="s">
        <v>379</v>
      </c>
      <c r="E175">
        <v>29215726004.776531</v>
      </c>
      <c r="F175">
        <v>30726659550.971695</v>
      </c>
      <c r="G175">
        <v>35243658398.75457</v>
      </c>
      <c r="H175">
        <v>46616149116.741081</v>
      </c>
      <c r="I175">
        <v>57215475076.298607</v>
      </c>
      <c r="J175">
        <v>62547753148.463783</v>
      </c>
      <c r="K175">
        <v>70751813442.988129</v>
      </c>
      <c r="L175">
        <v>86587749517.972427</v>
      </c>
      <c r="M175">
        <v>100830060552.90233</v>
      </c>
      <c r="N175">
        <v>89342984697.524551</v>
      </c>
      <c r="O175">
        <v>91112160800.766846</v>
      </c>
      <c r="P175">
        <v>99705104723.434052</v>
      </c>
      <c r="Q175">
        <v>94724394278.051971</v>
      </c>
      <c r="R175">
        <v>99134277850.341843</v>
      </c>
      <c r="S175">
        <v>101713075598.86238</v>
      </c>
      <c r="T175">
        <v>89178548717.332382</v>
      </c>
      <c r="U175">
        <v>90347173228.635635</v>
      </c>
      <c r="V175">
        <v>95978130734.976639</v>
      </c>
      <c r="W175">
        <v>106611673364.83679</v>
      </c>
      <c r="X175">
        <v>105843498304.09395</v>
      </c>
      <c r="Y175">
        <v>107732602896.44077</v>
      </c>
      <c r="Z175">
        <v>120511265913.34302</v>
      </c>
      <c r="AA175">
        <v>115792972358.20862</v>
      </c>
      <c r="AB175">
        <v>133578518423.54353</v>
      </c>
    </row>
    <row r="176" spans="1:28" x14ac:dyDescent="0.3">
      <c r="A176" t="s">
        <v>63</v>
      </c>
      <c r="B176" s="5" t="s">
        <v>64</v>
      </c>
      <c r="C176" t="s">
        <v>37</v>
      </c>
      <c r="D176" s="5" t="s">
        <v>380</v>
      </c>
      <c r="E176">
        <v>20159190701.678864</v>
      </c>
      <c r="F176">
        <v>20668868706.811455</v>
      </c>
      <c r="G176">
        <v>23214593516.209476</v>
      </c>
      <c r="H176">
        <v>29360575031.817657</v>
      </c>
      <c r="I176">
        <v>34156553313.403091</v>
      </c>
      <c r="J176">
        <v>35947936823.778137</v>
      </c>
      <c r="K176">
        <v>39260368837.034248</v>
      </c>
      <c r="L176">
        <v>47880266542.577019</v>
      </c>
      <c r="M176">
        <v>55509332322.357803</v>
      </c>
      <c r="N176">
        <v>49975540954.846451</v>
      </c>
      <c r="O176">
        <v>47793117240.900093</v>
      </c>
      <c r="P176">
        <v>51199194599.309441</v>
      </c>
      <c r="Q176">
        <v>46167053954.336731</v>
      </c>
      <c r="R176">
        <v>47867056858.889153</v>
      </c>
      <c r="S176">
        <v>49514466379.605705</v>
      </c>
      <c r="T176">
        <v>42709468274.813652</v>
      </c>
      <c r="U176">
        <v>44290685824.068199</v>
      </c>
      <c r="V176">
        <v>48153200134.661263</v>
      </c>
      <c r="W176">
        <v>53689067639.91761</v>
      </c>
      <c r="X176">
        <v>53909922735.545013</v>
      </c>
      <c r="Y176">
        <v>53384760135.158127</v>
      </c>
      <c r="Z176">
        <v>61540813361.855598</v>
      </c>
      <c r="AA176">
        <v>59899117741.002182</v>
      </c>
      <c r="AB176">
        <v>69255264238.385544</v>
      </c>
    </row>
    <row r="177" spans="1:28" x14ac:dyDescent="0.3">
      <c r="A177" t="s">
        <v>63</v>
      </c>
      <c r="B177" s="5" t="s">
        <v>64</v>
      </c>
      <c r="C177" t="s">
        <v>381</v>
      </c>
      <c r="D177" s="5" t="s">
        <v>382</v>
      </c>
      <c r="E177">
        <v>419842674.22765219</v>
      </c>
      <c r="F177">
        <v>409508552.97997248</v>
      </c>
      <c r="G177">
        <v>346406738.88523722</v>
      </c>
      <c r="H177">
        <v>417666638.60002148</v>
      </c>
      <c r="I177">
        <v>468000121.31343436</v>
      </c>
      <c r="J177">
        <v>552881356.69751668</v>
      </c>
      <c r="K177">
        <v>617257457.75848949</v>
      </c>
      <c r="L177">
        <v>695291217.98222685</v>
      </c>
      <c r="M177">
        <v>776335523.47037268</v>
      </c>
      <c r="N177">
        <v>805557289.45919836</v>
      </c>
      <c r="O177">
        <v>898128551.28916228</v>
      </c>
      <c r="P177">
        <v>1063898226.7189217</v>
      </c>
      <c r="Q177">
        <v>1185217634.3739254</v>
      </c>
      <c r="R177">
        <v>1285905957.6411557</v>
      </c>
      <c r="S177">
        <v>1335576762.8497379</v>
      </c>
      <c r="T177">
        <v>1307908813.5996246</v>
      </c>
      <c r="U177">
        <v>1379486290.7143333</v>
      </c>
      <c r="V177">
        <v>1469790526.3971987</v>
      </c>
      <c r="W177">
        <v>1615473250.2525933</v>
      </c>
      <c r="X177">
        <v>1619150563.9208364</v>
      </c>
      <c r="Y177">
        <v>1536143427.829576</v>
      </c>
      <c r="Z177">
        <v>1558312103.8422544</v>
      </c>
      <c r="AA177">
        <v>1466670929.6233268</v>
      </c>
      <c r="AB177">
        <v>1506124566.4040425</v>
      </c>
    </row>
    <row r="178" spans="1:28" x14ac:dyDescent="0.3">
      <c r="A178" t="s">
        <v>63</v>
      </c>
      <c r="B178" s="5" t="s">
        <v>64</v>
      </c>
      <c r="C178" t="s">
        <v>383</v>
      </c>
      <c r="D178" s="5" t="s">
        <v>384</v>
      </c>
      <c r="E178">
        <v>3412797450.201118</v>
      </c>
      <c r="F178">
        <v>2252847464.6860847</v>
      </c>
      <c r="G178">
        <v>2192684134.5927277</v>
      </c>
      <c r="H178">
        <v>2836724351.5615959</v>
      </c>
      <c r="I178">
        <v>3859592813.1025543</v>
      </c>
      <c r="J178">
        <v>4683246454.1004839</v>
      </c>
      <c r="K178">
        <v>5026743282.0425129</v>
      </c>
      <c r="L178">
        <v>5430713728.8907404</v>
      </c>
      <c r="M178">
        <v>5913620292.9057341</v>
      </c>
      <c r="N178">
        <v>2948594552.4495163</v>
      </c>
      <c r="O178">
        <v>2687807003.7393498</v>
      </c>
      <c r="P178">
        <v>2906000096.9324908</v>
      </c>
      <c r="Q178">
        <v>4364670159.9957771</v>
      </c>
      <c r="R178">
        <v>5062881600.0010376</v>
      </c>
      <c r="S178">
        <v>5728399719.9995842</v>
      </c>
      <c r="T178">
        <v>6152149099.9994154</v>
      </c>
      <c r="U178">
        <v>6613743069.9991236</v>
      </c>
      <c r="V178">
        <v>7621501710.0012035</v>
      </c>
      <c r="W178">
        <v>7873000000</v>
      </c>
      <c r="X178">
        <v>8656000000</v>
      </c>
      <c r="Y178">
        <v>8628000000</v>
      </c>
      <c r="Z178">
        <v>9483000000</v>
      </c>
      <c r="AA178">
        <v>10203000000</v>
      </c>
      <c r="AB178">
        <v>10958000000</v>
      </c>
    </row>
    <row r="179" spans="1:28" x14ac:dyDescent="0.3">
      <c r="A179" t="s">
        <v>63</v>
      </c>
      <c r="B179" s="5" t="s">
        <v>64</v>
      </c>
      <c r="C179" t="s">
        <v>38</v>
      </c>
      <c r="D179" s="5" t="s">
        <v>385</v>
      </c>
      <c r="E179">
        <v>151752757215.3085</v>
      </c>
      <c r="F179">
        <v>135429905922.5262</v>
      </c>
      <c r="G179">
        <v>129087556612.44882</v>
      </c>
      <c r="H179">
        <v>197018965308.69696</v>
      </c>
      <c r="I179">
        <v>255806908594.57254</v>
      </c>
      <c r="J179">
        <v>288867217196.534</v>
      </c>
      <c r="K179">
        <v>303858675363.64276</v>
      </c>
      <c r="L179">
        <v>333077117253.68378</v>
      </c>
      <c r="M179">
        <v>316131258616.30902</v>
      </c>
      <c r="N179">
        <v>329754060647.12897</v>
      </c>
      <c r="O179">
        <v>417363822801.71265</v>
      </c>
      <c r="P179">
        <v>458199494830.83356</v>
      </c>
      <c r="Q179">
        <v>434400545085.8111</v>
      </c>
      <c r="R179">
        <v>400886013595.57318</v>
      </c>
      <c r="S179">
        <v>381198869776.10565</v>
      </c>
      <c r="T179">
        <v>346709790458.56305</v>
      </c>
      <c r="U179">
        <v>323585509674.48059</v>
      </c>
      <c r="V179">
        <v>381448814653.45642</v>
      </c>
      <c r="W179">
        <v>405260723892.51685</v>
      </c>
      <c r="X179">
        <v>389330032224.2691</v>
      </c>
      <c r="Y179">
        <v>337974655408.0553</v>
      </c>
      <c r="Z179">
        <v>419986284375.36835</v>
      </c>
      <c r="AA179">
        <v>407596043067.88525</v>
      </c>
      <c r="AB179">
        <v>381440724491.23163</v>
      </c>
    </row>
    <row r="180" spans="1:28" x14ac:dyDescent="0.3">
      <c r="A180" t="s">
        <v>63</v>
      </c>
      <c r="B180" s="5" t="s">
        <v>64</v>
      </c>
      <c r="C180" t="s">
        <v>386</v>
      </c>
      <c r="D180" s="5" t="s">
        <v>387</v>
      </c>
      <c r="E180" t="s">
        <v>73</v>
      </c>
      <c r="F180" t="s">
        <v>73</v>
      </c>
      <c r="G180" t="s">
        <v>73</v>
      </c>
      <c r="H180" t="s">
        <v>73</v>
      </c>
      <c r="I180" t="s">
        <v>73</v>
      </c>
      <c r="J180" t="s">
        <v>73</v>
      </c>
      <c r="K180" t="s">
        <v>73</v>
      </c>
      <c r="L180" t="s">
        <v>73</v>
      </c>
      <c r="M180">
        <v>14586253383.063168</v>
      </c>
      <c r="N180">
        <v>12231264525.067104</v>
      </c>
      <c r="O180">
        <v>14602072410.950586</v>
      </c>
      <c r="P180">
        <v>14907308932.753429</v>
      </c>
      <c r="Q180">
        <v>11931472169.491526</v>
      </c>
      <c r="R180">
        <v>18426469016.94915</v>
      </c>
      <c r="S180">
        <v>13962212847.457626</v>
      </c>
      <c r="T180">
        <v>11997800760.224182</v>
      </c>
      <c r="U180" t="s">
        <v>73</v>
      </c>
      <c r="V180" t="s">
        <v>73</v>
      </c>
      <c r="W180" t="s">
        <v>73</v>
      </c>
      <c r="X180" t="s">
        <v>73</v>
      </c>
      <c r="Y180" t="s">
        <v>73</v>
      </c>
      <c r="Z180" t="s">
        <v>73</v>
      </c>
      <c r="AA180" t="s">
        <v>73</v>
      </c>
      <c r="AB180" t="s">
        <v>73</v>
      </c>
    </row>
    <row r="181" spans="1:28" x14ac:dyDescent="0.3">
      <c r="A181" t="s">
        <v>63</v>
      </c>
      <c r="B181" s="5" t="s">
        <v>64</v>
      </c>
      <c r="C181" t="s">
        <v>39</v>
      </c>
      <c r="D181" s="5" t="s">
        <v>388</v>
      </c>
      <c r="E181">
        <v>598102854756.07971</v>
      </c>
      <c r="F181">
        <v>627798682378.74097</v>
      </c>
      <c r="G181">
        <v>708938227243.92285</v>
      </c>
      <c r="H181">
        <v>907963217057.64514</v>
      </c>
      <c r="I181">
        <v>1069829382514.6746</v>
      </c>
      <c r="J181">
        <v>1154667551775.875</v>
      </c>
      <c r="K181">
        <v>1261846683275.2922</v>
      </c>
      <c r="L181">
        <v>1476746276854.5144</v>
      </c>
      <c r="M181">
        <v>1636115447612.4995</v>
      </c>
      <c r="N181">
        <v>1496587590847.6553</v>
      </c>
      <c r="O181">
        <v>1427989078916.6694</v>
      </c>
      <c r="P181">
        <v>1487568659241.248</v>
      </c>
      <c r="Q181">
        <v>1330994811670.3127</v>
      </c>
      <c r="R181">
        <v>1362186923157.6509</v>
      </c>
      <c r="S181">
        <v>1380244561361.9561</v>
      </c>
      <c r="T181">
        <v>1206164777553.1243</v>
      </c>
      <c r="U181">
        <v>1243015667917.1238</v>
      </c>
      <c r="V181">
        <v>1321754088818.8259</v>
      </c>
      <c r="W181">
        <v>1431642809327.0579</v>
      </c>
      <c r="X181">
        <v>1403496387686.2722</v>
      </c>
      <c r="Y181">
        <v>1289783836971.2097</v>
      </c>
      <c r="Z181">
        <v>1461244901852.6897</v>
      </c>
      <c r="AA181">
        <v>1448850658406.6204</v>
      </c>
      <c r="AB181">
        <v>1619481980719.6365</v>
      </c>
    </row>
    <row r="182" spans="1:28" x14ac:dyDescent="0.3">
      <c r="A182" t="s">
        <v>63</v>
      </c>
      <c r="B182" s="5" t="s">
        <v>64</v>
      </c>
      <c r="C182" t="s">
        <v>389</v>
      </c>
      <c r="D182" s="5" t="s">
        <v>390</v>
      </c>
      <c r="E182">
        <v>16595882818.685669</v>
      </c>
      <c r="F182">
        <v>15749753804.834377</v>
      </c>
      <c r="G182">
        <v>16536535647.083422</v>
      </c>
      <c r="H182">
        <v>18881765437.215084</v>
      </c>
      <c r="I182">
        <v>20662525941.29855</v>
      </c>
      <c r="J182">
        <v>24405791044.776119</v>
      </c>
      <c r="K182">
        <v>28267410542.516354</v>
      </c>
      <c r="L182">
        <v>32350238760.423862</v>
      </c>
      <c r="M182">
        <v>40713826215.009254</v>
      </c>
      <c r="N182">
        <v>42066224093.006462</v>
      </c>
      <c r="O182">
        <v>58636049434.187103</v>
      </c>
      <c r="P182">
        <v>67753285896.625435</v>
      </c>
      <c r="Q182">
        <v>70447217163.778366</v>
      </c>
      <c r="R182">
        <v>76976203829.476532</v>
      </c>
      <c r="S182">
        <v>82531125190.522446</v>
      </c>
      <c r="T182">
        <v>85090301052.046494</v>
      </c>
      <c r="U182">
        <v>88000211171.595566</v>
      </c>
      <c r="V182">
        <v>94369350285.58136</v>
      </c>
      <c r="W182">
        <v>94450015982.840454</v>
      </c>
      <c r="X182">
        <v>88998706296.578278</v>
      </c>
      <c r="Y182">
        <v>84335574581.507217</v>
      </c>
      <c r="Z182">
        <v>88556698937.703278</v>
      </c>
      <c r="AA182">
        <v>74143020262.807648</v>
      </c>
      <c r="AB182">
        <v>83716142582.194534</v>
      </c>
    </row>
    <row r="183" spans="1:28" x14ac:dyDescent="0.3">
      <c r="A183" t="s">
        <v>63</v>
      </c>
      <c r="B183" s="5" t="s">
        <v>64</v>
      </c>
      <c r="C183" t="s">
        <v>391</v>
      </c>
      <c r="D183" s="5" t="s">
        <v>392</v>
      </c>
      <c r="E183">
        <v>421695769.84391803</v>
      </c>
      <c r="F183">
        <v>458643829.01419944</v>
      </c>
      <c r="G183">
        <v>481077373.66996628</v>
      </c>
      <c r="H183">
        <v>469869869.86986989</v>
      </c>
      <c r="I183">
        <v>506899999.99999994</v>
      </c>
      <c r="J183">
        <v>547203703.70370364</v>
      </c>
      <c r="K183">
        <v>644414814.81481481</v>
      </c>
      <c r="L183">
        <v>689285185.18518519</v>
      </c>
      <c r="M183">
        <v>777692592.5925926</v>
      </c>
      <c r="N183">
        <v>774274074.07407403</v>
      </c>
      <c r="O183">
        <v>778718518.51851845</v>
      </c>
      <c r="P183">
        <v>836092592.5925926</v>
      </c>
      <c r="Q183">
        <v>824585185.18518507</v>
      </c>
      <c r="R183">
        <v>874548148.14814806</v>
      </c>
      <c r="S183">
        <v>952111111.11111104</v>
      </c>
      <c r="T183">
        <v>957222222.22222221</v>
      </c>
      <c r="U183">
        <v>1006818518.5185184</v>
      </c>
      <c r="V183">
        <v>1056977777.7777777</v>
      </c>
      <c r="W183">
        <v>1076548148.1481481</v>
      </c>
      <c r="X183">
        <v>1107855555.5555556</v>
      </c>
      <c r="Y183">
        <v>883922222.22222221</v>
      </c>
      <c r="Z183">
        <v>858622222.22222221</v>
      </c>
      <c r="AA183">
        <v>981429629.62962961</v>
      </c>
      <c r="AB183">
        <v>1055651851.8518518</v>
      </c>
    </row>
    <row r="184" spans="1:28" x14ac:dyDescent="0.3">
      <c r="A184" t="s">
        <v>63</v>
      </c>
      <c r="B184" s="5" t="s">
        <v>64</v>
      </c>
      <c r="C184" t="s">
        <v>393</v>
      </c>
      <c r="D184" s="5" t="s">
        <v>394</v>
      </c>
      <c r="E184">
        <v>932592592.59259248</v>
      </c>
      <c r="F184">
        <v>892592592.59259248</v>
      </c>
      <c r="G184">
        <v>900000000</v>
      </c>
      <c r="H184">
        <v>987407407.40740728</v>
      </c>
      <c r="I184">
        <v>1066666666.6666666</v>
      </c>
      <c r="J184">
        <v>1135555555.5555556</v>
      </c>
      <c r="K184">
        <v>1268319185.1851852</v>
      </c>
      <c r="L184">
        <v>1336088814.8148148</v>
      </c>
      <c r="M184">
        <v>1437731111.1111109</v>
      </c>
      <c r="N184">
        <v>1401507888.8888888</v>
      </c>
      <c r="O184">
        <v>1482385185.1851852</v>
      </c>
      <c r="P184">
        <v>1568370370.3703704</v>
      </c>
      <c r="Q184">
        <v>1598207407.4074073</v>
      </c>
      <c r="R184">
        <v>1660392592.5925925</v>
      </c>
      <c r="S184">
        <v>1749185185.185185</v>
      </c>
      <c r="T184">
        <v>1807640740.7407405</v>
      </c>
      <c r="U184">
        <v>1868544444.4444444</v>
      </c>
      <c r="V184">
        <v>1998503703.7037036</v>
      </c>
      <c r="W184">
        <v>2060955555.5555553</v>
      </c>
      <c r="X184">
        <v>2095344444.4444444</v>
      </c>
      <c r="Y184">
        <v>1499274074.074074</v>
      </c>
      <c r="Z184">
        <v>1867185185.185185</v>
      </c>
      <c r="AA184">
        <v>2342714814.8148146</v>
      </c>
      <c r="AB184">
        <v>2430166666.6666665</v>
      </c>
    </row>
    <row r="185" spans="1:28" x14ac:dyDescent="0.3">
      <c r="A185" t="s">
        <v>63</v>
      </c>
      <c r="B185" s="5" t="s">
        <v>64</v>
      </c>
      <c r="C185" t="s">
        <v>395</v>
      </c>
      <c r="D185" s="5" t="s">
        <v>396</v>
      </c>
      <c r="E185" t="s">
        <v>73</v>
      </c>
      <c r="F185" t="s">
        <v>73</v>
      </c>
      <c r="G185" t="s">
        <v>73</v>
      </c>
      <c r="H185" t="s">
        <v>73</v>
      </c>
      <c r="I185" t="s">
        <v>73</v>
      </c>
      <c r="J185" t="s">
        <v>73</v>
      </c>
      <c r="K185" t="s">
        <v>73</v>
      </c>
      <c r="L185" t="s">
        <v>73</v>
      </c>
      <c r="M185" t="s">
        <v>73</v>
      </c>
      <c r="N185" t="s">
        <v>73</v>
      </c>
      <c r="O185" t="s">
        <v>73</v>
      </c>
      <c r="P185">
        <v>775875748.52383173</v>
      </c>
      <c r="Q185" t="s">
        <v>73</v>
      </c>
      <c r="R185" t="s">
        <v>73</v>
      </c>
      <c r="S185">
        <v>772921958.52950871</v>
      </c>
      <c r="T185" t="s">
        <v>73</v>
      </c>
      <c r="U185" t="s">
        <v>73</v>
      </c>
      <c r="V185" t="s">
        <v>73</v>
      </c>
      <c r="W185" t="s">
        <v>73</v>
      </c>
      <c r="X185">
        <v>652206037.10387385</v>
      </c>
      <c r="Y185" t="s">
        <v>73</v>
      </c>
      <c r="Z185">
        <v>649206262.8475188</v>
      </c>
      <c r="AA185" t="s">
        <v>73</v>
      </c>
      <c r="AB185" t="s">
        <v>73</v>
      </c>
    </row>
    <row r="186" spans="1:28" x14ac:dyDescent="0.3">
      <c r="A186" t="s">
        <v>63</v>
      </c>
      <c r="B186" s="5" t="s">
        <v>64</v>
      </c>
      <c r="C186" t="s">
        <v>397</v>
      </c>
      <c r="D186" s="5" t="s">
        <v>398</v>
      </c>
      <c r="E186">
        <v>427946037.03703701</v>
      </c>
      <c r="F186">
        <v>462072333.33333331</v>
      </c>
      <c r="G186">
        <v>487763851.85185182</v>
      </c>
      <c r="H186">
        <v>509090888.88888884</v>
      </c>
      <c r="I186">
        <v>549900185.18518519</v>
      </c>
      <c r="J186">
        <v>579948925.92592585</v>
      </c>
      <c r="K186">
        <v>643501148.14814806</v>
      </c>
      <c r="L186">
        <v>713596666.66666663</v>
      </c>
      <c r="M186">
        <v>732663259.25925922</v>
      </c>
      <c r="N186">
        <v>714300259.25925922</v>
      </c>
      <c r="O186">
        <v>720447888.88888884</v>
      </c>
      <c r="P186">
        <v>713796370.37037027</v>
      </c>
      <c r="Q186">
        <v>730032592.5925926</v>
      </c>
      <c r="R186">
        <v>764781259.25925922</v>
      </c>
      <c r="S186">
        <v>770899999.99999988</v>
      </c>
      <c r="T186">
        <v>786555555.55555546</v>
      </c>
      <c r="U186">
        <v>814303703.70370364</v>
      </c>
      <c r="V186">
        <v>844040740.74074066</v>
      </c>
      <c r="W186">
        <v>884329629.62962961</v>
      </c>
      <c r="X186">
        <v>910481481.48148143</v>
      </c>
      <c r="Y186">
        <v>864566666.66666663</v>
      </c>
      <c r="Z186">
        <v>888677777.77777767</v>
      </c>
      <c r="AA186">
        <v>989188888.88888884</v>
      </c>
      <c r="AB186">
        <v>1072237037.037037</v>
      </c>
    </row>
    <row r="187" spans="1:28" x14ac:dyDescent="0.3">
      <c r="A187" t="s">
        <v>63</v>
      </c>
      <c r="B187" s="5" t="s">
        <v>64</v>
      </c>
      <c r="C187" t="s">
        <v>399</v>
      </c>
      <c r="D187" s="5" t="s">
        <v>400</v>
      </c>
      <c r="E187">
        <v>12257299147.293604</v>
      </c>
      <c r="F187">
        <v>15716361792.192642</v>
      </c>
      <c r="G187">
        <v>18137128388.360603</v>
      </c>
      <c r="H187">
        <v>21355298459.595512</v>
      </c>
      <c r="I187">
        <v>26646007250.731857</v>
      </c>
      <c r="J187">
        <v>35182711987.974014</v>
      </c>
      <c r="K187">
        <v>45263831634.149696</v>
      </c>
      <c r="L187">
        <v>59440139774.812767</v>
      </c>
      <c r="M187">
        <v>64833083257.143097</v>
      </c>
      <c r="N187">
        <v>51621044076.923073</v>
      </c>
      <c r="O187">
        <v>58962978034.482758</v>
      </c>
      <c r="P187">
        <v>55018567210.526321</v>
      </c>
      <c r="Q187">
        <v>37632919966.666664</v>
      </c>
      <c r="R187">
        <v>43024018082.19178</v>
      </c>
      <c r="S187">
        <v>49516748617.977524</v>
      </c>
      <c r="T187">
        <v>51726758676.767677</v>
      </c>
      <c r="U187">
        <v>42630376000</v>
      </c>
      <c r="V187">
        <v>41283617976.190475</v>
      </c>
      <c r="W187">
        <v>32333780383.292381</v>
      </c>
      <c r="X187">
        <v>32338079165.289257</v>
      </c>
      <c r="Y187">
        <v>27034593750</v>
      </c>
      <c r="Z187">
        <v>34229513774.993607</v>
      </c>
      <c r="AA187">
        <v>51666875363.096298</v>
      </c>
      <c r="AB187">
        <v>39898289820.795052</v>
      </c>
    </row>
    <row r="188" spans="1:28" x14ac:dyDescent="0.3">
      <c r="A188" t="s">
        <v>63</v>
      </c>
      <c r="B188" s="5" t="s">
        <v>64</v>
      </c>
      <c r="C188" t="s">
        <v>401</v>
      </c>
      <c r="D188" s="5" t="s">
        <v>402</v>
      </c>
      <c r="E188">
        <v>947671969.69696963</v>
      </c>
      <c r="F188">
        <v>834279357.79816508</v>
      </c>
      <c r="G188">
        <v>1093574468.0851064</v>
      </c>
      <c r="H188">
        <v>1274190311.4186852</v>
      </c>
      <c r="I188">
        <v>1484092538.405267</v>
      </c>
      <c r="J188">
        <v>1793410397.387383</v>
      </c>
      <c r="K188">
        <v>2626380435.1787729</v>
      </c>
      <c r="L188">
        <v>2936612021.8579235</v>
      </c>
      <c r="M188">
        <v>3532969034.6083789</v>
      </c>
      <c r="N188">
        <v>3875409836.0655737</v>
      </c>
      <c r="O188">
        <v>4368370997.9212627</v>
      </c>
      <c r="P188">
        <v>4422276621.7870264</v>
      </c>
      <c r="Q188">
        <v>4980000000</v>
      </c>
      <c r="R188">
        <v>5145757575.757576</v>
      </c>
      <c r="S188">
        <v>5240606060.606061</v>
      </c>
      <c r="T188">
        <v>5126237646.2207174</v>
      </c>
      <c r="U188">
        <v>3317421648.0991807</v>
      </c>
      <c r="V188">
        <v>3591679430.9998808</v>
      </c>
      <c r="W188">
        <v>3996198866.5745349</v>
      </c>
      <c r="X188">
        <v>4016040575.0879593</v>
      </c>
      <c r="Y188">
        <v>2911807496.2022653</v>
      </c>
      <c r="Z188">
        <v>3107923197.9695435</v>
      </c>
      <c r="AA188">
        <v>3791603200.0259018</v>
      </c>
      <c r="AB188">
        <v>3472693412.0849733</v>
      </c>
    </row>
    <row r="189" spans="1:28" x14ac:dyDescent="0.3">
      <c r="A189" t="s">
        <v>63</v>
      </c>
      <c r="B189" s="5" t="s">
        <v>64</v>
      </c>
      <c r="C189" t="s">
        <v>40</v>
      </c>
      <c r="D189" s="5" t="s">
        <v>403</v>
      </c>
      <c r="E189">
        <v>262903560280.28201</v>
      </c>
      <c r="F189">
        <v>242497797484.776</v>
      </c>
      <c r="G189">
        <v>267371907446.77573</v>
      </c>
      <c r="H189">
        <v>334072443515.57574</v>
      </c>
      <c r="I189">
        <v>384545442175.01935</v>
      </c>
      <c r="J189">
        <v>391688455928.59723</v>
      </c>
      <c r="K189">
        <v>422528394459.35327</v>
      </c>
      <c r="L189">
        <v>490047789548.44055</v>
      </c>
      <c r="M189">
        <v>514614100832.94141</v>
      </c>
      <c r="N189">
        <v>434311714442.49915</v>
      </c>
      <c r="O189">
        <v>492750897239.44708</v>
      </c>
      <c r="P189">
        <v>570538581144.44995</v>
      </c>
      <c r="Q189">
        <v>549739674655.12714</v>
      </c>
      <c r="R189">
        <v>584125353119.17969</v>
      </c>
      <c r="S189">
        <v>577727767303.5957</v>
      </c>
      <c r="T189">
        <v>501602351911.60016</v>
      </c>
      <c r="U189">
        <v>513058312950.93903</v>
      </c>
      <c r="V189">
        <v>535172356784.76868</v>
      </c>
      <c r="W189">
        <v>549649344043.18213</v>
      </c>
      <c r="X189">
        <v>530894124494.41754</v>
      </c>
      <c r="Y189">
        <v>544265668451.6781</v>
      </c>
      <c r="Z189">
        <v>631693331300.77576</v>
      </c>
      <c r="AA189">
        <v>575071237640.92139</v>
      </c>
      <c r="AB189">
        <v>578990915246.07031</v>
      </c>
    </row>
    <row r="190" spans="1:28" x14ac:dyDescent="0.3">
      <c r="A190" t="s">
        <v>63</v>
      </c>
      <c r="B190" s="5" t="s">
        <v>64</v>
      </c>
      <c r="C190" t="s">
        <v>41</v>
      </c>
      <c r="D190" s="5" t="s">
        <v>404</v>
      </c>
      <c r="E190">
        <v>279216033870.20367</v>
      </c>
      <c r="F190">
        <v>286582672434.22614</v>
      </c>
      <c r="G190">
        <v>309301422430.38623</v>
      </c>
      <c r="H190">
        <v>362075086507.7597</v>
      </c>
      <c r="I190">
        <v>403912891033.37354</v>
      </c>
      <c r="J190">
        <v>418284865884.99835</v>
      </c>
      <c r="K190">
        <v>441634672196.52258</v>
      </c>
      <c r="L190">
        <v>490740715594.80176</v>
      </c>
      <c r="M190">
        <v>567267767519.15796</v>
      </c>
      <c r="N190">
        <v>554212916092.27087</v>
      </c>
      <c r="O190">
        <v>598851028906.58032</v>
      </c>
      <c r="P190">
        <v>715888126682.39587</v>
      </c>
      <c r="Q190">
        <v>686420221557.98987</v>
      </c>
      <c r="R190">
        <v>706234937370.96753</v>
      </c>
      <c r="S190">
        <v>726537808338.00049</v>
      </c>
      <c r="T190">
        <v>694118186379.62781</v>
      </c>
      <c r="U190">
        <v>687895460902.71326</v>
      </c>
      <c r="V190">
        <v>695200833086.4989</v>
      </c>
      <c r="W190">
        <v>725568717468.00085</v>
      </c>
      <c r="X190">
        <v>721369112726.72388</v>
      </c>
      <c r="Y190">
        <v>741999406005.6272</v>
      </c>
      <c r="Z190">
        <v>815309330986.71851</v>
      </c>
      <c r="AA190">
        <v>828508926958.39331</v>
      </c>
      <c r="AB190">
        <v>894424821645.20471</v>
      </c>
    </row>
    <row r="191" spans="1:28" x14ac:dyDescent="0.3">
      <c r="A191" t="s">
        <v>63</v>
      </c>
      <c r="B191" s="5" t="s">
        <v>64</v>
      </c>
      <c r="C191" t="s">
        <v>405</v>
      </c>
      <c r="D191" s="5" t="s">
        <v>406</v>
      </c>
      <c r="E191">
        <v>18937052543.437302</v>
      </c>
      <c r="F191">
        <v>20237024724.703926</v>
      </c>
      <c r="G191">
        <v>20669357462.383083</v>
      </c>
      <c r="H191">
        <v>21828144686.039421</v>
      </c>
      <c r="I191">
        <v>25086950495.049503</v>
      </c>
      <c r="J191">
        <v>28858965517.241379</v>
      </c>
      <c r="K191">
        <v>33751788856.304985</v>
      </c>
      <c r="L191">
        <v>40465318382.058472</v>
      </c>
      <c r="M191">
        <v>52557913568.954903</v>
      </c>
      <c r="N191">
        <v>54111735628.706512</v>
      </c>
      <c r="O191">
        <v>61390830874.700714</v>
      </c>
      <c r="P191">
        <v>67539428159.44738</v>
      </c>
      <c r="Q191">
        <v>43190318032.562691</v>
      </c>
      <c r="R191">
        <v>21361254635.051037</v>
      </c>
      <c r="S191">
        <v>21502061465.949757</v>
      </c>
      <c r="T191">
        <v>16466863117.000916</v>
      </c>
      <c r="U191">
        <v>12597854877.425447</v>
      </c>
      <c r="V191">
        <v>16369843352.345343</v>
      </c>
      <c r="W191">
        <v>21497782867.642567</v>
      </c>
      <c r="X191">
        <v>22583045060.082062</v>
      </c>
      <c r="Y191">
        <v>12047752036.091032</v>
      </c>
      <c r="Z191">
        <v>14353205678.499138</v>
      </c>
      <c r="AA191">
        <v>23622827079.50465</v>
      </c>
      <c r="AB191" t="s">
        <v>73</v>
      </c>
    </row>
    <row r="192" spans="1:28" x14ac:dyDescent="0.3">
      <c r="A192" t="s">
        <v>63</v>
      </c>
      <c r="B192" s="5" t="s">
        <v>64</v>
      </c>
      <c r="C192" t="s">
        <v>407</v>
      </c>
      <c r="D192" s="5" t="s">
        <v>408</v>
      </c>
      <c r="E192">
        <v>860541842.26369655</v>
      </c>
      <c r="F192">
        <v>1080772551.2943304</v>
      </c>
      <c r="G192">
        <v>1221106220.2867951</v>
      </c>
      <c r="H192">
        <v>1555318261.4172034</v>
      </c>
      <c r="I192">
        <v>2076176869.4108884</v>
      </c>
      <c r="J192">
        <v>2312352020.6688962</v>
      </c>
      <c r="K192">
        <v>2830213848.6203041</v>
      </c>
      <c r="L192">
        <v>3719524540.8619299</v>
      </c>
      <c r="M192">
        <v>5161299725.2767277</v>
      </c>
      <c r="N192">
        <v>4979472364.4533968</v>
      </c>
      <c r="O192">
        <v>5642221099.177043</v>
      </c>
      <c r="P192">
        <v>6522756255.0120029</v>
      </c>
      <c r="Q192">
        <v>7633036903.0763407</v>
      </c>
      <c r="R192">
        <v>8448411318.2541656</v>
      </c>
      <c r="S192">
        <v>9112605459.3284512</v>
      </c>
      <c r="T192">
        <v>8271431485.0748415</v>
      </c>
      <c r="U192">
        <v>6992416096.8901844</v>
      </c>
      <c r="V192">
        <v>7536402852.858016</v>
      </c>
      <c r="W192">
        <v>7764999999.4536238</v>
      </c>
      <c r="X192">
        <v>8300813599.3084002</v>
      </c>
      <c r="Y192">
        <v>8133963550.6574249</v>
      </c>
      <c r="Z192">
        <v>8937805347.1396294</v>
      </c>
      <c r="AA192">
        <v>10713525200.39978</v>
      </c>
      <c r="AB192">
        <v>12244169292.799822</v>
      </c>
    </row>
    <row r="193" spans="1:28" x14ac:dyDescent="0.3">
      <c r="A193" t="s">
        <v>63</v>
      </c>
      <c r="B193" s="5" t="s">
        <v>64</v>
      </c>
      <c r="C193" t="s">
        <v>409</v>
      </c>
      <c r="D193" s="5" t="s">
        <v>410</v>
      </c>
      <c r="E193">
        <v>13371767081.742813</v>
      </c>
      <c r="F193">
        <v>13563990022.364098</v>
      </c>
      <c r="G193">
        <v>14129651895.691141</v>
      </c>
      <c r="H193">
        <v>15211487708.76844</v>
      </c>
      <c r="I193">
        <v>16673062473.398092</v>
      </c>
      <c r="J193">
        <v>18395383647.497456</v>
      </c>
      <c r="K193">
        <v>18619859795.285236</v>
      </c>
      <c r="L193">
        <v>21860434823.480766</v>
      </c>
      <c r="M193">
        <v>27947821397.927227</v>
      </c>
      <c r="N193">
        <v>29400573553.60746</v>
      </c>
      <c r="O193">
        <v>32012892919.369995</v>
      </c>
      <c r="P193">
        <v>34657140096.483597</v>
      </c>
      <c r="Q193">
        <v>39650394362.928726</v>
      </c>
      <c r="R193">
        <v>45648857242.314995</v>
      </c>
      <c r="S193">
        <v>49986726460.680489</v>
      </c>
      <c r="T193">
        <v>47413919817.124046</v>
      </c>
      <c r="U193">
        <v>49774409374.453766</v>
      </c>
      <c r="V193">
        <v>53274884532.788612</v>
      </c>
      <c r="W193">
        <v>57003712892.085808</v>
      </c>
      <c r="X193">
        <v>61026731925.92128</v>
      </c>
      <c r="Y193">
        <v>66068737786.063919</v>
      </c>
      <c r="Z193">
        <v>70655628147.89859</v>
      </c>
      <c r="AA193">
        <v>75749121842.914871</v>
      </c>
      <c r="AB193">
        <v>79030935627.078125</v>
      </c>
    </row>
    <row r="194" spans="1:28" x14ac:dyDescent="0.3">
      <c r="A194" t="s">
        <v>63</v>
      </c>
      <c r="B194" s="5" t="s">
        <v>64</v>
      </c>
      <c r="C194" t="s">
        <v>411</v>
      </c>
      <c r="D194" s="5" t="s">
        <v>412</v>
      </c>
      <c r="E194">
        <v>126392224253.79382</v>
      </c>
      <c r="F194">
        <v>120296476180.40192</v>
      </c>
      <c r="G194">
        <v>134300904400.02177</v>
      </c>
      <c r="H194">
        <v>152280615245.88742</v>
      </c>
      <c r="I194">
        <v>172895685154.65817</v>
      </c>
      <c r="J194">
        <v>189318408468.59521</v>
      </c>
      <c r="K194">
        <v>221758296021.62064</v>
      </c>
      <c r="L194">
        <v>262942621455.05292</v>
      </c>
      <c r="M194">
        <v>291382982430.95148</v>
      </c>
      <c r="N194">
        <v>281710630187.31909</v>
      </c>
      <c r="O194">
        <v>341104766329.16962</v>
      </c>
      <c r="P194">
        <v>370818739623.62195</v>
      </c>
      <c r="Q194">
        <v>397558325278.5791</v>
      </c>
      <c r="R194">
        <v>420333654592.54706</v>
      </c>
      <c r="S194">
        <v>407339040197.65125</v>
      </c>
      <c r="T194">
        <v>401296238228.08392</v>
      </c>
      <c r="U194">
        <v>413366349747.50812</v>
      </c>
      <c r="V194">
        <v>456356813536.76367</v>
      </c>
      <c r="W194">
        <v>506754208404.48468</v>
      </c>
      <c r="X194">
        <v>543976691793.88586</v>
      </c>
      <c r="Y194">
        <v>500461898480.24554</v>
      </c>
      <c r="Z194">
        <v>506194668789.93658</v>
      </c>
      <c r="AA194">
        <v>495644697587.66052</v>
      </c>
      <c r="AB194">
        <v>515906283940.93262</v>
      </c>
    </row>
    <row r="195" spans="1:28" x14ac:dyDescent="0.3">
      <c r="A195" t="s">
        <v>63</v>
      </c>
      <c r="B195" s="5" t="s">
        <v>64</v>
      </c>
      <c r="C195" t="s">
        <v>413</v>
      </c>
      <c r="D195" s="5" t="s">
        <v>414</v>
      </c>
      <c r="E195">
        <v>366924276.51799601</v>
      </c>
      <c r="F195">
        <v>477359252.61438501</v>
      </c>
      <c r="G195">
        <v>469455490.77523798</v>
      </c>
      <c r="H195">
        <v>490439116.18356496</v>
      </c>
      <c r="I195">
        <v>440771962.23404598</v>
      </c>
      <c r="J195">
        <v>462267954.03055799</v>
      </c>
      <c r="K195">
        <v>453792414.59711397</v>
      </c>
      <c r="L195">
        <v>542795446.50739098</v>
      </c>
      <c r="M195">
        <v>648523571.34201801</v>
      </c>
      <c r="N195">
        <v>726937835.84861207</v>
      </c>
      <c r="O195">
        <v>881909347.09651506</v>
      </c>
      <c r="P195">
        <v>1042534597.52614</v>
      </c>
      <c r="Q195">
        <v>1160555039.5788</v>
      </c>
      <c r="R195">
        <v>1395727420.7126801</v>
      </c>
      <c r="S195">
        <v>1447535182.8616002</v>
      </c>
      <c r="T195">
        <v>1590282371.4644601</v>
      </c>
      <c r="U195">
        <v>1640464612.0808799</v>
      </c>
      <c r="V195">
        <v>1584878439.9359598</v>
      </c>
      <c r="W195">
        <v>1555988614.43594</v>
      </c>
      <c r="X195">
        <v>2032550389.4131601</v>
      </c>
      <c r="Y195">
        <v>2162619240.8692698</v>
      </c>
      <c r="Z195">
        <v>3625024341.2734599</v>
      </c>
      <c r="AA195">
        <v>3208599889.0096498</v>
      </c>
      <c r="AB195">
        <v>2079767170.2265103</v>
      </c>
    </row>
    <row r="196" spans="1:28" x14ac:dyDescent="0.3">
      <c r="A196" t="s">
        <v>63</v>
      </c>
      <c r="B196" s="5" t="s">
        <v>64</v>
      </c>
      <c r="C196" t="s">
        <v>415</v>
      </c>
      <c r="D196" s="5" t="s">
        <v>416</v>
      </c>
      <c r="E196">
        <v>2106848752.2775316</v>
      </c>
      <c r="F196">
        <v>2093498674.4967806</v>
      </c>
      <c r="G196">
        <v>2410199032.4310193</v>
      </c>
      <c r="H196">
        <v>2987984050.9931836</v>
      </c>
      <c r="I196">
        <v>3191561508.6908808</v>
      </c>
      <c r="J196">
        <v>3221910408.4651566</v>
      </c>
      <c r="K196">
        <v>3320907721.7450809</v>
      </c>
      <c r="L196">
        <v>3759962853.2647591</v>
      </c>
      <c r="M196">
        <v>4578847112.7068796</v>
      </c>
      <c r="N196">
        <v>4721888275.2693739</v>
      </c>
      <c r="O196">
        <v>4746386893.2255325</v>
      </c>
      <c r="P196">
        <v>5422439152.1090612</v>
      </c>
      <c r="Q196">
        <v>5413541649.1490116</v>
      </c>
      <c r="R196">
        <v>6021729629.8245411</v>
      </c>
      <c r="S196">
        <v>6393314707.8545647</v>
      </c>
      <c r="T196">
        <v>5755457836.0186644</v>
      </c>
      <c r="U196">
        <v>6071167584.1950979</v>
      </c>
      <c r="V196">
        <v>6387424239.8801012</v>
      </c>
      <c r="W196">
        <v>7029215766.4636688</v>
      </c>
      <c r="X196">
        <v>6992654019.2887611</v>
      </c>
      <c r="Y196">
        <v>7486031561.8688469</v>
      </c>
      <c r="Z196">
        <v>8541668141.2619781</v>
      </c>
      <c r="AA196">
        <v>8646453099.4123974</v>
      </c>
      <c r="AB196">
        <v>9816236302.5851517</v>
      </c>
    </row>
    <row r="197" spans="1:28" x14ac:dyDescent="0.3">
      <c r="A197" t="s">
        <v>63</v>
      </c>
      <c r="B197" s="5" t="s">
        <v>64</v>
      </c>
      <c r="C197" t="s">
        <v>417</v>
      </c>
      <c r="D197" s="5" t="s">
        <v>418</v>
      </c>
      <c r="E197">
        <v>204848487.80648512</v>
      </c>
      <c r="F197">
        <v>181117230.40654567</v>
      </c>
      <c r="G197">
        <v>182764280.82850069</v>
      </c>
      <c r="H197">
        <v>202246591.2155022</v>
      </c>
      <c r="I197">
        <v>230678011.42199039</v>
      </c>
      <c r="J197">
        <v>261823805.43323761</v>
      </c>
      <c r="K197">
        <v>292232703.3067683</v>
      </c>
      <c r="L197">
        <v>298519623.342085</v>
      </c>
      <c r="M197">
        <v>344438844.33351785</v>
      </c>
      <c r="N197">
        <v>312415028.44611257</v>
      </c>
      <c r="O197">
        <v>366887374.98969644</v>
      </c>
      <c r="P197">
        <v>414143828.4944191</v>
      </c>
      <c r="Q197">
        <v>471122971.30504346</v>
      </c>
      <c r="R197">
        <v>451788498.26361352</v>
      </c>
      <c r="S197">
        <v>440997738.0140776</v>
      </c>
      <c r="T197">
        <v>437525514.24072599</v>
      </c>
      <c r="U197">
        <v>420828262.31792223</v>
      </c>
      <c r="V197">
        <v>459976850.26852924</v>
      </c>
      <c r="W197">
        <v>493530783.00463039</v>
      </c>
      <c r="X197">
        <v>506031238.97993684</v>
      </c>
      <c r="Y197">
        <v>506571467.89597797</v>
      </c>
      <c r="Z197">
        <v>519306352.78703988</v>
      </c>
      <c r="AA197">
        <v>556514555.40088236</v>
      </c>
      <c r="AB197">
        <v>591139749.44287026</v>
      </c>
    </row>
    <row r="198" spans="1:28" x14ac:dyDescent="0.3">
      <c r="A198" t="s">
        <v>63</v>
      </c>
      <c r="B198" s="5" t="s">
        <v>64</v>
      </c>
      <c r="C198" t="s">
        <v>419</v>
      </c>
      <c r="D198" s="5" t="s">
        <v>420</v>
      </c>
      <c r="E198">
        <v>8154342116.1031065</v>
      </c>
      <c r="F198">
        <v>8824849191.0357056</v>
      </c>
      <c r="G198">
        <v>9008298228.6027317</v>
      </c>
      <c r="H198">
        <v>11305459802.068275</v>
      </c>
      <c r="I198">
        <v>13280291989.575474</v>
      </c>
      <c r="J198">
        <v>15982389018.404148</v>
      </c>
      <c r="K198">
        <v>18369361094.388645</v>
      </c>
      <c r="L198">
        <v>21641620049.935211</v>
      </c>
      <c r="M198">
        <v>27871587349.541267</v>
      </c>
      <c r="N198">
        <v>19172165225.501511</v>
      </c>
      <c r="O198">
        <v>22157920592.366913</v>
      </c>
      <c r="P198">
        <v>25433007437.160465</v>
      </c>
      <c r="Q198">
        <v>27147349937.468922</v>
      </c>
      <c r="R198">
        <v>28560537057.154774</v>
      </c>
      <c r="S198">
        <v>29474180005.133331</v>
      </c>
      <c r="T198">
        <v>26841141793.214268</v>
      </c>
      <c r="U198">
        <v>23624322192.627434</v>
      </c>
      <c r="V198">
        <v>23830750900.689945</v>
      </c>
      <c r="W198">
        <v>23883058083.217064</v>
      </c>
      <c r="X198">
        <v>23477745791.697678</v>
      </c>
      <c r="Y198">
        <v>20888515184.223854</v>
      </c>
      <c r="Z198">
        <v>24222963262.721329</v>
      </c>
      <c r="AA198">
        <v>28341164301.126022</v>
      </c>
      <c r="AB198">
        <v>25036993423.366383</v>
      </c>
    </row>
    <row r="199" spans="1:28" x14ac:dyDescent="0.3">
      <c r="A199" t="s">
        <v>63</v>
      </c>
      <c r="B199" s="5" t="s">
        <v>64</v>
      </c>
      <c r="C199" t="s">
        <v>421</v>
      </c>
      <c r="D199" s="5" t="s">
        <v>422</v>
      </c>
      <c r="E199">
        <v>21473528160.778236</v>
      </c>
      <c r="F199">
        <v>22065832448.862282</v>
      </c>
      <c r="G199">
        <v>23141616604.524197</v>
      </c>
      <c r="H199">
        <v>27453902261.462925</v>
      </c>
      <c r="I199">
        <v>31183885241.439552</v>
      </c>
      <c r="J199">
        <v>32272186694.804279</v>
      </c>
      <c r="K199">
        <v>34376664600.589775</v>
      </c>
      <c r="L199">
        <v>38915353866.756989</v>
      </c>
      <c r="M199">
        <v>44859439902.219063</v>
      </c>
      <c r="N199">
        <v>43455740497.306107</v>
      </c>
      <c r="O199">
        <v>46206091937.96283</v>
      </c>
      <c r="P199">
        <v>48123325825.073891</v>
      </c>
      <c r="Q199">
        <v>47311401812.673347</v>
      </c>
      <c r="R199">
        <v>48685446413.952972</v>
      </c>
      <c r="S199">
        <v>50271812920.612015</v>
      </c>
      <c r="T199">
        <v>45779494041.929527</v>
      </c>
      <c r="U199">
        <v>44360072680.447647</v>
      </c>
      <c r="V199">
        <v>42163530590.946198</v>
      </c>
      <c r="W199">
        <v>42686504459.800964</v>
      </c>
      <c r="X199">
        <v>41905642418.825035</v>
      </c>
      <c r="Y199">
        <v>42491780918.361031</v>
      </c>
      <c r="Z199">
        <v>47073234359.181908</v>
      </c>
      <c r="AA199">
        <v>44929920092.795464</v>
      </c>
      <c r="AB199">
        <v>48205328303.339775</v>
      </c>
    </row>
    <row r="200" spans="1:28" x14ac:dyDescent="0.3">
      <c r="A200" t="s">
        <v>63</v>
      </c>
      <c r="B200" s="5" t="s">
        <v>64</v>
      </c>
      <c r="C200" t="s">
        <v>423</v>
      </c>
      <c r="D200" s="5" t="s">
        <v>424</v>
      </c>
      <c r="E200">
        <v>274748463178.50226</v>
      </c>
      <c r="F200">
        <v>202195080239.03629</v>
      </c>
      <c r="G200">
        <v>240778008473.84534</v>
      </c>
      <c r="H200">
        <v>315392899922.37915</v>
      </c>
      <c r="I200">
        <v>410156784495.94781</v>
      </c>
      <c r="J200">
        <v>508314210212.54364</v>
      </c>
      <c r="K200">
        <v>559668118237.00183</v>
      </c>
      <c r="L200">
        <v>685228481017.03003</v>
      </c>
      <c r="M200">
        <v>775415944332.8656</v>
      </c>
      <c r="N200">
        <v>653894449921.28833</v>
      </c>
      <c r="O200">
        <v>782545664268.33301</v>
      </c>
      <c r="P200">
        <v>844192507380.79529</v>
      </c>
      <c r="Q200">
        <v>885327622479.05212</v>
      </c>
      <c r="R200">
        <v>962167643588.9248</v>
      </c>
      <c r="S200">
        <v>942343431928.65393</v>
      </c>
      <c r="T200">
        <v>865460050683.65576</v>
      </c>
      <c r="U200">
        <v>870818016909.84021</v>
      </c>
      <c r="V200">
        <v>863874522365.27563</v>
      </c>
      <c r="W200">
        <v>788356985773.66699</v>
      </c>
      <c r="X200">
        <v>775853144222.61267</v>
      </c>
      <c r="Y200">
        <v>733628247119.07715</v>
      </c>
      <c r="Z200">
        <v>839938668172.13403</v>
      </c>
      <c r="AA200">
        <v>926097476913.8175</v>
      </c>
      <c r="AB200">
        <v>1141242864657.4524</v>
      </c>
    </row>
    <row r="201" spans="1:28" x14ac:dyDescent="0.3">
      <c r="A201" t="s">
        <v>63</v>
      </c>
      <c r="B201" s="5" t="s">
        <v>64</v>
      </c>
      <c r="C201" t="s">
        <v>425</v>
      </c>
      <c r="D201" s="5" t="s">
        <v>426</v>
      </c>
      <c r="E201">
        <v>2904663310.9824967</v>
      </c>
      <c r="F201">
        <v>3534772732.3974595</v>
      </c>
      <c r="G201">
        <v>4462029108.7234936</v>
      </c>
      <c r="H201">
        <v>5977440582.8017139</v>
      </c>
      <c r="I201">
        <v>6838351088.4668837</v>
      </c>
      <c r="J201">
        <v>8103901996.3702354</v>
      </c>
      <c r="K201">
        <v>10276674364.896074</v>
      </c>
      <c r="L201">
        <v>12664165103.189493</v>
      </c>
      <c r="M201">
        <v>19271523178.807945</v>
      </c>
      <c r="N201">
        <v>20214385964.912281</v>
      </c>
      <c r="O201">
        <v>22583157894.736843</v>
      </c>
      <c r="P201">
        <v>29233333333.333332</v>
      </c>
      <c r="Q201">
        <v>35164210526.315788</v>
      </c>
      <c r="R201">
        <v>39197543859.649124</v>
      </c>
      <c r="S201">
        <v>43524210526.315788</v>
      </c>
      <c r="T201">
        <v>35799714285.714287</v>
      </c>
      <c r="U201">
        <v>36169428571.428574</v>
      </c>
      <c r="V201">
        <v>37926285714.285713</v>
      </c>
      <c r="W201">
        <v>40765428571.428574</v>
      </c>
      <c r="X201">
        <v>40810067974.50898</v>
      </c>
      <c r="Y201">
        <v>41509903181.723083</v>
      </c>
      <c r="Z201">
        <v>40589905812.036354</v>
      </c>
      <c r="AA201">
        <v>42208726137.719208</v>
      </c>
      <c r="AB201">
        <v>45894538665.553787</v>
      </c>
    </row>
    <row r="202" spans="1:28" x14ac:dyDescent="0.3">
      <c r="A202" t="s">
        <v>63</v>
      </c>
      <c r="B202" s="5" t="s">
        <v>64</v>
      </c>
      <c r="C202" t="s">
        <v>427</v>
      </c>
      <c r="D202" s="5" t="s">
        <v>428</v>
      </c>
      <c r="E202" t="s">
        <v>73</v>
      </c>
      <c r="F202">
        <v>358744800</v>
      </c>
      <c r="G202">
        <v>366707900</v>
      </c>
      <c r="H202">
        <v>409753600</v>
      </c>
      <c r="I202">
        <v>485598800</v>
      </c>
      <c r="J202">
        <v>578645800</v>
      </c>
      <c r="K202">
        <v>721891500</v>
      </c>
      <c r="L202">
        <v>773490000</v>
      </c>
      <c r="M202">
        <v>862684000</v>
      </c>
      <c r="N202">
        <v>703176000</v>
      </c>
      <c r="O202">
        <v>686788000</v>
      </c>
      <c r="P202">
        <v>842941000</v>
      </c>
      <c r="Q202">
        <v>832848000</v>
      </c>
      <c r="R202">
        <v>863328000</v>
      </c>
      <c r="S202">
        <v>956605000</v>
      </c>
      <c r="T202">
        <v>1078274000</v>
      </c>
      <c r="U202">
        <v>1202078000</v>
      </c>
      <c r="V202">
        <v>1197958000</v>
      </c>
      <c r="W202">
        <v>1314329000</v>
      </c>
      <c r="X202">
        <v>1371838000</v>
      </c>
      <c r="Y202">
        <v>918387000</v>
      </c>
      <c r="Z202">
        <v>1236459000</v>
      </c>
      <c r="AA202">
        <v>1434119000</v>
      </c>
      <c r="AB202">
        <v>1638653000</v>
      </c>
    </row>
    <row r="203" spans="1:28" x14ac:dyDescent="0.3">
      <c r="A203" t="s">
        <v>63</v>
      </c>
      <c r="B203" s="5" t="s">
        <v>64</v>
      </c>
      <c r="C203" t="s">
        <v>429</v>
      </c>
      <c r="D203" s="5" t="s">
        <v>430</v>
      </c>
      <c r="E203">
        <v>15073975.534937706</v>
      </c>
      <c r="F203">
        <v>13964732.327114027</v>
      </c>
      <c r="G203">
        <v>16842672.59528742</v>
      </c>
      <c r="H203">
        <v>19456338.031822786</v>
      </c>
      <c r="I203">
        <v>22798274.979555093</v>
      </c>
      <c r="J203">
        <v>22909979.816307779</v>
      </c>
      <c r="K203">
        <v>24096875.463582467</v>
      </c>
      <c r="L203">
        <v>28450168.692764957</v>
      </c>
      <c r="M203">
        <v>31874434.857881963</v>
      </c>
      <c r="N203">
        <v>28076983.970381901</v>
      </c>
      <c r="O203">
        <v>32105408.477112051</v>
      </c>
      <c r="P203">
        <v>39196957.4908996</v>
      </c>
      <c r="Q203">
        <v>39345579.47237578</v>
      </c>
      <c r="R203">
        <v>38615890.63207455</v>
      </c>
      <c r="S203">
        <v>38760982.654009551</v>
      </c>
      <c r="T203">
        <v>36811936.082458735</v>
      </c>
      <c r="U203">
        <v>41629064.223238833</v>
      </c>
      <c r="V203">
        <v>45276595.353314556</v>
      </c>
      <c r="W203">
        <v>48015259.875135608</v>
      </c>
      <c r="X203">
        <v>54123198.566291302</v>
      </c>
      <c r="Y203">
        <v>51746594.314854257</v>
      </c>
      <c r="Z203">
        <v>60196405.713839293</v>
      </c>
      <c r="AA203">
        <v>59065982.087365709</v>
      </c>
      <c r="AB203">
        <v>62280311.585217156</v>
      </c>
    </row>
    <row r="204" spans="1:28" x14ac:dyDescent="0.3">
      <c r="A204" t="s">
        <v>63</v>
      </c>
      <c r="B204" s="5" t="s">
        <v>64</v>
      </c>
      <c r="C204" t="s">
        <v>431</v>
      </c>
      <c r="D204" s="5" t="s">
        <v>432</v>
      </c>
      <c r="E204">
        <v>6193246837.0968733</v>
      </c>
      <c r="F204">
        <v>5840503868.5157309</v>
      </c>
      <c r="G204">
        <v>6178563591.1205139</v>
      </c>
      <c r="H204">
        <v>6606884275.2308702</v>
      </c>
      <c r="I204">
        <v>7939487547.7738371</v>
      </c>
      <c r="J204">
        <v>9239221763.0579262</v>
      </c>
      <c r="K204">
        <v>9977647682.9695415</v>
      </c>
      <c r="L204">
        <v>11902564494.883343</v>
      </c>
      <c r="M204">
        <v>14440404132.204687</v>
      </c>
      <c r="N204">
        <v>25127805566.658375</v>
      </c>
      <c r="O204">
        <v>26673441430.785694</v>
      </c>
      <c r="P204">
        <v>27871725241.472301</v>
      </c>
      <c r="Q204">
        <v>27305915910.787708</v>
      </c>
      <c r="R204">
        <v>28915786516.612331</v>
      </c>
      <c r="S204">
        <v>32612397257.445789</v>
      </c>
      <c r="T204">
        <v>32387183730.100151</v>
      </c>
      <c r="U204">
        <v>29203988696.262615</v>
      </c>
      <c r="V204">
        <v>30744473841.423988</v>
      </c>
      <c r="W204">
        <v>32927025619.679546</v>
      </c>
      <c r="X204">
        <v>35353061003.435905</v>
      </c>
      <c r="Y204">
        <v>37600368241.665733</v>
      </c>
      <c r="Z204">
        <v>40529788748.673691</v>
      </c>
      <c r="AA204">
        <v>45565333210.910789</v>
      </c>
      <c r="AB204">
        <v>48768955863.31749</v>
      </c>
    </row>
    <row r="205" spans="1:28" x14ac:dyDescent="0.3">
      <c r="A205" t="s">
        <v>63</v>
      </c>
      <c r="B205" s="5" t="s">
        <v>64</v>
      </c>
      <c r="C205" t="s">
        <v>433</v>
      </c>
      <c r="D205" s="5" t="s">
        <v>434</v>
      </c>
      <c r="E205">
        <v>32375083934.824116</v>
      </c>
      <c r="F205">
        <v>39309580983.228165</v>
      </c>
      <c r="G205">
        <v>43956163612.043274</v>
      </c>
      <c r="H205">
        <v>52010355753.04612</v>
      </c>
      <c r="I205">
        <v>67220154164.316605</v>
      </c>
      <c r="J205">
        <v>89238865118.52626</v>
      </c>
      <c r="K205">
        <v>111884752475.24753</v>
      </c>
      <c r="L205">
        <v>148733861386.13861</v>
      </c>
      <c r="M205">
        <v>188110390659.51477</v>
      </c>
      <c r="N205">
        <v>121552153444.12442</v>
      </c>
      <c r="O205">
        <v>141209170427.2334</v>
      </c>
      <c r="P205">
        <v>169333835201.55411</v>
      </c>
      <c r="Q205">
        <v>182591753827.94882</v>
      </c>
      <c r="R205">
        <v>190498811460.02753</v>
      </c>
      <c r="S205">
        <v>133503871861.7233</v>
      </c>
      <c r="T205">
        <v>91030967789.071747</v>
      </c>
      <c r="U205">
        <v>93355869403.922318</v>
      </c>
      <c r="V205">
        <v>112090505081.73862</v>
      </c>
      <c r="W205">
        <v>130891088293.54999</v>
      </c>
      <c r="X205">
        <v>153883047509.57697</v>
      </c>
      <c r="Y205">
        <v>156617722013.34219</v>
      </c>
      <c r="Z205">
        <v>199765859570.9353</v>
      </c>
      <c r="AA205">
        <v>161989520721.19049</v>
      </c>
      <c r="AB205">
        <v>181221517868.74365</v>
      </c>
    </row>
    <row r="206" spans="1:28" x14ac:dyDescent="0.3">
      <c r="A206" t="s">
        <v>63</v>
      </c>
      <c r="B206" s="5" t="s">
        <v>64</v>
      </c>
      <c r="C206" t="s">
        <v>43</v>
      </c>
      <c r="D206" s="5" t="s">
        <v>435</v>
      </c>
      <c r="E206">
        <v>104337372362.15112</v>
      </c>
      <c r="F206">
        <v>103311640571.81757</v>
      </c>
      <c r="G206">
        <v>109816201497.61743</v>
      </c>
      <c r="H206">
        <v>124346358066.71205</v>
      </c>
      <c r="I206">
        <v>147824370319.94556</v>
      </c>
      <c r="J206">
        <v>180617467964.60178</v>
      </c>
      <c r="K206">
        <v>222116541865.21445</v>
      </c>
      <c r="L206">
        <v>257916133424.09802</v>
      </c>
      <c r="M206">
        <v>315474615738.59772</v>
      </c>
      <c r="N206">
        <v>253547358747.44727</v>
      </c>
      <c r="O206">
        <v>307736419332.87952</v>
      </c>
      <c r="P206">
        <v>368881143635.12598</v>
      </c>
      <c r="Q206">
        <v>392793464942.13751</v>
      </c>
      <c r="R206">
        <v>409632675289.3125</v>
      </c>
      <c r="S206">
        <v>424935874744.7243</v>
      </c>
      <c r="T206">
        <v>381973042886.31726</v>
      </c>
      <c r="U206">
        <v>381717086453.36963</v>
      </c>
      <c r="V206">
        <v>403365010211.02795</v>
      </c>
      <c r="W206">
        <v>440560108917.63104</v>
      </c>
      <c r="X206">
        <v>433926208304.96936</v>
      </c>
      <c r="Y206">
        <v>357161878829.1355</v>
      </c>
      <c r="Z206">
        <v>422441388699.79578</v>
      </c>
      <c r="AA206">
        <v>511403403675.97009</v>
      </c>
      <c r="AB206">
        <v>522622191967.32471</v>
      </c>
    </row>
    <row r="207" spans="1:28" x14ac:dyDescent="0.3">
      <c r="A207" t="s">
        <v>63</v>
      </c>
      <c r="B207" s="5" t="s">
        <v>64</v>
      </c>
      <c r="C207" t="s">
        <v>436</v>
      </c>
      <c r="D207" s="5" t="s">
        <v>437</v>
      </c>
      <c r="E207">
        <v>1671597821152.9731</v>
      </c>
      <c r="F207">
        <v>1656171009068.6628</v>
      </c>
      <c r="G207">
        <v>1790536570743.4053</v>
      </c>
      <c r="H207">
        <v>2061227755102.0408</v>
      </c>
      <c r="I207">
        <v>2429774807762.7241</v>
      </c>
      <c r="J207">
        <v>2551361818181.8179</v>
      </c>
      <c r="K207">
        <v>2719558417663.2935</v>
      </c>
      <c r="L207">
        <v>3104699879951.9805</v>
      </c>
      <c r="M207">
        <v>2945251838235.2939</v>
      </c>
      <c r="N207">
        <v>2429358155475.9307</v>
      </c>
      <c r="O207">
        <v>2496740681057.1392</v>
      </c>
      <c r="P207">
        <v>2675590034128.6582</v>
      </c>
      <c r="Q207">
        <v>2719715961539.8311</v>
      </c>
      <c r="R207">
        <v>2796908333283.3892</v>
      </c>
      <c r="S207">
        <v>3085362169410.2915</v>
      </c>
      <c r="T207">
        <v>2945579890258.4585</v>
      </c>
      <c r="U207">
        <v>2706807606538.7305</v>
      </c>
      <c r="V207">
        <v>2699118387873.0957</v>
      </c>
      <c r="W207">
        <v>2897028009916.0503</v>
      </c>
      <c r="X207">
        <v>2875710080015.3003</v>
      </c>
      <c r="Y207">
        <v>2724001478304.5908</v>
      </c>
      <c r="Z207">
        <v>3194559188925.9272</v>
      </c>
      <c r="AA207">
        <v>3181244350465.4146</v>
      </c>
      <c r="AB207">
        <v>3420796653789.0806</v>
      </c>
    </row>
    <row r="208" spans="1:28" x14ac:dyDescent="0.3">
      <c r="A208" t="s">
        <v>63</v>
      </c>
      <c r="B208" s="5" t="s">
        <v>64</v>
      </c>
      <c r="C208" t="s">
        <v>45</v>
      </c>
      <c r="D208" s="5" t="s">
        <v>438</v>
      </c>
      <c r="E208">
        <v>10250947997000</v>
      </c>
      <c r="F208">
        <v>10581929774000</v>
      </c>
      <c r="G208">
        <v>10929112955000</v>
      </c>
      <c r="H208">
        <v>11456442041000</v>
      </c>
      <c r="I208">
        <v>12217193198000</v>
      </c>
      <c r="J208">
        <v>13039199193000</v>
      </c>
      <c r="K208">
        <v>13815586948000</v>
      </c>
      <c r="L208">
        <v>14474226905000</v>
      </c>
      <c r="M208">
        <v>14769857911000</v>
      </c>
      <c r="N208">
        <v>14478064934000</v>
      </c>
      <c r="O208">
        <v>15048964444000</v>
      </c>
      <c r="P208">
        <v>15599728123000</v>
      </c>
      <c r="Q208">
        <v>16253972230000</v>
      </c>
      <c r="R208">
        <v>16843190993000</v>
      </c>
      <c r="S208">
        <v>17550680173999.998</v>
      </c>
      <c r="T208">
        <v>18206020741000</v>
      </c>
      <c r="U208">
        <v>18695110842000</v>
      </c>
      <c r="V208">
        <v>19477336549000</v>
      </c>
      <c r="W208">
        <v>20533057312000</v>
      </c>
      <c r="X208">
        <v>21380976119000</v>
      </c>
      <c r="Y208">
        <v>21060473613000</v>
      </c>
      <c r="Z208">
        <v>23315080560000</v>
      </c>
      <c r="AA208">
        <v>25604848907611</v>
      </c>
      <c r="AB208">
        <v>27292170793214.398</v>
      </c>
    </row>
    <row r="209" spans="1:28" x14ac:dyDescent="0.3">
      <c r="A209" t="s">
        <v>63</v>
      </c>
      <c r="B209" s="5" t="s">
        <v>64</v>
      </c>
      <c r="C209" t="s">
        <v>439</v>
      </c>
      <c r="D209" s="5" t="s">
        <v>440</v>
      </c>
      <c r="E209">
        <v>22823270892.109421</v>
      </c>
      <c r="F209">
        <v>20898761742.238617</v>
      </c>
      <c r="G209">
        <v>13606515722.586388</v>
      </c>
      <c r="H209">
        <v>12045638351.85074</v>
      </c>
      <c r="I209">
        <v>13686329890.119078</v>
      </c>
      <c r="J209">
        <v>17362857683.854469</v>
      </c>
      <c r="K209">
        <v>19741420739.890133</v>
      </c>
      <c r="L209">
        <v>23797773024.399231</v>
      </c>
      <c r="M209">
        <v>31119602538.832172</v>
      </c>
      <c r="N209">
        <v>32708319077.517914</v>
      </c>
      <c r="O209">
        <v>41950361211.958061</v>
      </c>
      <c r="P209">
        <v>50342406067.077667</v>
      </c>
      <c r="Q209">
        <v>54232266358.781075</v>
      </c>
      <c r="R209">
        <v>61337621933.78566</v>
      </c>
      <c r="S209">
        <v>61496186973.901993</v>
      </c>
      <c r="T209">
        <v>57680327998.668884</v>
      </c>
      <c r="U209">
        <v>57480787465.271561</v>
      </c>
      <c r="V209">
        <v>65005997963.482162</v>
      </c>
      <c r="W209">
        <v>65344577415.753517</v>
      </c>
      <c r="X209">
        <v>62222313618.845352</v>
      </c>
      <c r="Y209">
        <v>53559359261.825996</v>
      </c>
      <c r="Z209">
        <v>60739084240.863335</v>
      </c>
      <c r="AA209">
        <v>70594110920.035782</v>
      </c>
      <c r="AB209">
        <v>77991666837.73819</v>
      </c>
    </row>
    <row r="210" spans="1:28" x14ac:dyDescent="0.3">
      <c r="A210" t="s">
        <v>63</v>
      </c>
      <c r="B210" s="5" t="s">
        <v>64</v>
      </c>
      <c r="C210" t="s">
        <v>441</v>
      </c>
      <c r="D210" s="5" t="s">
        <v>442</v>
      </c>
      <c r="E210">
        <v>13760513969.314003</v>
      </c>
      <c r="F210">
        <v>11401421329.197435</v>
      </c>
      <c r="G210">
        <v>9687788512.8018417</v>
      </c>
      <c r="H210">
        <v>10134453435.460291</v>
      </c>
      <c r="I210">
        <v>12030023547.88069</v>
      </c>
      <c r="J210">
        <v>14307509838.805326</v>
      </c>
      <c r="K210">
        <v>17330833852.918976</v>
      </c>
      <c r="L210">
        <v>22311393927.881721</v>
      </c>
      <c r="M210">
        <v>29549438883.83379</v>
      </c>
      <c r="N210">
        <v>33689223673.257736</v>
      </c>
      <c r="O210">
        <v>49765676402.449455</v>
      </c>
      <c r="P210">
        <v>60178909297.208008</v>
      </c>
      <c r="Q210">
        <v>67517349212.060921</v>
      </c>
      <c r="R210">
        <v>73180037914.910431</v>
      </c>
      <c r="S210">
        <v>80845385809.452942</v>
      </c>
      <c r="T210">
        <v>86196264755.310532</v>
      </c>
      <c r="U210">
        <v>86138288644.17099</v>
      </c>
      <c r="V210">
        <v>69703222282.727844</v>
      </c>
      <c r="W210">
        <v>58695899092.10833</v>
      </c>
      <c r="X210">
        <v>67293639798.399582</v>
      </c>
      <c r="Y210">
        <v>66443265418.308647</v>
      </c>
      <c r="Z210">
        <v>77340060003.034698</v>
      </c>
      <c r="AA210">
        <v>90095926567.435898</v>
      </c>
      <c r="AB210">
        <v>102641879248.76396</v>
      </c>
    </row>
    <row r="211" spans="1:28" x14ac:dyDescent="0.3">
      <c r="A211" t="s">
        <v>63</v>
      </c>
      <c r="B211" s="5" t="s">
        <v>64</v>
      </c>
      <c r="C211" t="s">
        <v>443</v>
      </c>
      <c r="D211" s="5" t="s">
        <v>444</v>
      </c>
      <c r="E211">
        <v>272014627.8352617</v>
      </c>
      <c r="F211">
        <v>257926881.72043011</v>
      </c>
      <c r="G211">
        <v>262596535.54902846</v>
      </c>
      <c r="H211">
        <v>314471413.00177616</v>
      </c>
      <c r="I211">
        <v>364996869.12961799</v>
      </c>
      <c r="J211">
        <v>394962433.0293678</v>
      </c>
      <c r="K211">
        <v>439358586.53558761</v>
      </c>
      <c r="L211">
        <v>516392922.5137279</v>
      </c>
      <c r="M211">
        <v>590748429.4019016</v>
      </c>
      <c r="N211">
        <v>592622319.14566386</v>
      </c>
      <c r="O211">
        <v>670712979.68203831</v>
      </c>
      <c r="P211">
        <v>770153588.21883297</v>
      </c>
      <c r="Q211">
        <v>747839697.74659288</v>
      </c>
      <c r="R211">
        <v>758304466.24533939</v>
      </c>
      <c r="S211">
        <v>773717010.54644501</v>
      </c>
      <c r="T211">
        <v>759690180.95165372</v>
      </c>
      <c r="U211">
        <v>804323576.86102796</v>
      </c>
      <c r="V211">
        <v>880043284.39940739</v>
      </c>
      <c r="W211">
        <v>914727908.1377933</v>
      </c>
      <c r="X211">
        <v>936526267.62251318</v>
      </c>
      <c r="Y211">
        <v>909421043.508407</v>
      </c>
      <c r="Z211">
        <v>950394006.5325141</v>
      </c>
      <c r="AA211">
        <v>1055031360.5735643</v>
      </c>
      <c r="AB211">
        <v>1115861055.7246301</v>
      </c>
    </row>
    <row r="212" spans="1:28" x14ac:dyDescent="0.3">
      <c r="A212" t="s">
        <v>63</v>
      </c>
      <c r="B212" s="5" t="s">
        <v>64</v>
      </c>
      <c r="C212" t="s">
        <v>445</v>
      </c>
      <c r="D212" s="5" t="s">
        <v>446</v>
      </c>
      <c r="E212">
        <v>117146466002.66118</v>
      </c>
      <c r="F212">
        <v>122911036746.72861</v>
      </c>
      <c r="G212">
        <v>92893587733.654907</v>
      </c>
      <c r="H212">
        <v>83620628582.108154</v>
      </c>
      <c r="I212">
        <v>112451400424.9639</v>
      </c>
      <c r="J212">
        <v>145513489651.87222</v>
      </c>
      <c r="K212">
        <v>183477522123.8938</v>
      </c>
      <c r="L212">
        <v>230364012575.68698</v>
      </c>
      <c r="M212">
        <v>315953388510.67798</v>
      </c>
      <c r="N212">
        <v>329787628928.47156</v>
      </c>
      <c r="O212">
        <v>393192354510.65308</v>
      </c>
      <c r="P212">
        <v>316482190800.36371</v>
      </c>
      <c r="Q212">
        <v>372592062768.06042</v>
      </c>
      <c r="R212">
        <v>258930655486.36951</v>
      </c>
      <c r="S212">
        <v>214689614732.71875</v>
      </c>
      <c r="T212">
        <v>125449241571.39124</v>
      </c>
      <c r="U212">
        <v>112915034262.31366</v>
      </c>
      <c r="V212">
        <v>115883275162.58571</v>
      </c>
      <c r="W212">
        <v>102021093964.68214</v>
      </c>
      <c r="X212">
        <v>73014084091.300034</v>
      </c>
      <c r="Y212">
        <v>42838020721.199539</v>
      </c>
      <c r="Z212">
        <v>56614976854.549866</v>
      </c>
      <c r="AA212">
        <v>89013255584.749924</v>
      </c>
      <c r="AB212">
        <v>102376526555.94783</v>
      </c>
    </row>
    <row r="213" spans="1:28" x14ac:dyDescent="0.3">
      <c r="A213" t="s">
        <v>63</v>
      </c>
      <c r="B213" s="5" t="s">
        <v>64</v>
      </c>
      <c r="C213" t="s">
        <v>447</v>
      </c>
      <c r="D213" s="5" t="s">
        <v>448</v>
      </c>
      <c r="E213">
        <v>31172518403.316227</v>
      </c>
      <c r="F213">
        <v>32685198808.554852</v>
      </c>
      <c r="G213">
        <v>35064105500.83445</v>
      </c>
      <c r="H213">
        <v>39552513231.916878</v>
      </c>
      <c r="I213">
        <v>45427854693.255432</v>
      </c>
      <c r="J213">
        <v>57633255738.199158</v>
      </c>
      <c r="K213">
        <v>66371664817.043625</v>
      </c>
      <c r="L213">
        <v>77414425532.245163</v>
      </c>
      <c r="M213">
        <v>99130304099.127426</v>
      </c>
      <c r="N213">
        <v>106014659565.21387</v>
      </c>
      <c r="O213">
        <v>147201173196.97876</v>
      </c>
      <c r="P213">
        <v>172595049183.92471</v>
      </c>
      <c r="Q213">
        <v>195590661129.24908</v>
      </c>
      <c r="R213">
        <v>213708811665.34036</v>
      </c>
      <c r="S213">
        <v>233451469642.51938</v>
      </c>
      <c r="T213">
        <v>239258328381.74139</v>
      </c>
      <c r="U213">
        <v>257096001177.98184</v>
      </c>
      <c r="V213">
        <v>281353605986.90344</v>
      </c>
      <c r="W213">
        <v>310106478394.65887</v>
      </c>
      <c r="X213">
        <v>334365270496.66705</v>
      </c>
      <c r="Y213">
        <v>346615738537.79633</v>
      </c>
      <c r="Z213">
        <v>366474752771.00934</v>
      </c>
      <c r="AA213">
        <v>413445230668.57819</v>
      </c>
      <c r="AB213">
        <v>433857681378.29095</v>
      </c>
    </row>
    <row r="214" spans="1:28" x14ac:dyDescent="0.3">
      <c r="A214" t="s">
        <v>63</v>
      </c>
      <c r="B214" s="5" t="s">
        <v>64</v>
      </c>
      <c r="C214" t="s">
        <v>449</v>
      </c>
      <c r="D214" s="5" t="s">
        <v>450</v>
      </c>
      <c r="E214" t="s">
        <v>73</v>
      </c>
      <c r="F214" t="s">
        <v>73</v>
      </c>
      <c r="G214">
        <v>3262000000</v>
      </c>
      <c r="H214">
        <v>3443000000</v>
      </c>
      <c r="I214">
        <v>3797000000</v>
      </c>
      <c r="J214">
        <v>4428000000</v>
      </c>
      <c r="K214">
        <v>4484000000</v>
      </c>
      <c r="L214">
        <v>4784000000</v>
      </c>
      <c r="M214">
        <v>4244000000</v>
      </c>
      <c r="N214">
        <v>4201000000</v>
      </c>
      <c r="O214">
        <v>4324000000</v>
      </c>
      <c r="P214">
        <v>4223000000</v>
      </c>
      <c r="Q214">
        <v>4089000000</v>
      </c>
      <c r="R214">
        <v>3738000000</v>
      </c>
      <c r="S214">
        <v>3565000000</v>
      </c>
      <c r="T214">
        <v>3663000000</v>
      </c>
      <c r="U214">
        <v>3798000000</v>
      </c>
      <c r="V214">
        <v>3794000000</v>
      </c>
      <c r="W214">
        <v>3923000000</v>
      </c>
      <c r="X214">
        <v>4121000000</v>
      </c>
      <c r="Y214">
        <v>4229000000</v>
      </c>
      <c r="Z214">
        <v>4507000000</v>
      </c>
      <c r="AA214">
        <v>4672000000</v>
      </c>
      <c r="AB214" t="s">
        <v>73</v>
      </c>
    </row>
    <row r="215" spans="1:28" x14ac:dyDescent="0.3">
      <c r="A215" t="s">
        <v>63</v>
      </c>
      <c r="B215" s="5" t="s">
        <v>64</v>
      </c>
      <c r="C215" t="s">
        <v>451</v>
      </c>
      <c r="D215" s="5" t="s">
        <v>452</v>
      </c>
      <c r="E215">
        <v>4313600000</v>
      </c>
      <c r="F215">
        <v>4003700000</v>
      </c>
      <c r="G215">
        <v>3555800000</v>
      </c>
      <c r="H215">
        <v>3968000000</v>
      </c>
      <c r="I215">
        <v>4603100000</v>
      </c>
      <c r="J215">
        <v>5125700000</v>
      </c>
      <c r="K215">
        <v>5348300000</v>
      </c>
      <c r="L215">
        <v>5815700000</v>
      </c>
      <c r="M215">
        <v>7310400000</v>
      </c>
      <c r="N215">
        <v>8085700000</v>
      </c>
      <c r="O215">
        <v>9681500000</v>
      </c>
      <c r="P215">
        <v>11186100000</v>
      </c>
      <c r="Q215">
        <v>12208400000</v>
      </c>
      <c r="R215">
        <v>13515500000</v>
      </c>
      <c r="S215">
        <v>13989700000</v>
      </c>
      <c r="T215">
        <v>13972400000</v>
      </c>
      <c r="U215">
        <v>15405400000</v>
      </c>
      <c r="V215">
        <v>16128000000</v>
      </c>
      <c r="W215">
        <v>16276600000</v>
      </c>
      <c r="X215">
        <v>17133500000</v>
      </c>
      <c r="Y215">
        <v>15531700000</v>
      </c>
      <c r="Z215">
        <v>18109000000</v>
      </c>
      <c r="AA215">
        <v>19165500000</v>
      </c>
      <c r="AB215">
        <v>17847900000</v>
      </c>
    </row>
    <row r="216" spans="1:28" x14ac:dyDescent="0.3">
      <c r="A216" t="s">
        <v>63</v>
      </c>
      <c r="B216" s="5" t="s">
        <v>64</v>
      </c>
      <c r="C216" t="s">
        <v>453</v>
      </c>
      <c r="D216" s="5" t="s">
        <v>454</v>
      </c>
      <c r="E216">
        <v>9679316770.1863346</v>
      </c>
      <c r="F216">
        <v>9852990692.9871368</v>
      </c>
      <c r="G216">
        <v>10693430511.466354</v>
      </c>
      <c r="H216">
        <v>11777532662.049891</v>
      </c>
      <c r="I216">
        <v>13867634371.477274</v>
      </c>
      <c r="J216">
        <v>16731566717.188839</v>
      </c>
      <c r="K216">
        <v>19063143369.857979</v>
      </c>
      <c r="L216">
        <v>21650528674.093262</v>
      </c>
      <c r="M216">
        <v>26910855807.288002</v>
      </c>
      <c r="N216">
        <v>25130278212.557468</v>
      </c>
      <c r="O216">
        <v>30906749533.221001</v>
      </c>
      <c r="P216">
        <v>32726417878.391018</v>
      </c>
      <c r="Q216">
        <v>35401331609.591637</v>
      </c>
      <c r="R216">
        <v>40415233436.176651</v>
      </c>
      <c r="S216">
        <v>43228585321.327194</v>
      </c>
      <c r="T216">
        <v>42444490073.855453</v>
      </c>
      <c r="U216">
        <v>31317825274.150734</v>
      </c>
      <c r="V216">
        <v>26842229044.584846</v>
      </c>
      <c r="W216">
        <v>21606160663.031769</v>
      </c>
      <c r="X216" t="s">
        <v>73</v>
      </c>
      <c r="Y216" t="s">
        <v>73</v>
      </c>
      <c r="Z216" t="s">
        <v>73</v>
      </c>
      <c r="AA216" t="s">
        <v>73</v>
      </c>
      <c r="AB216" t="s">
        <v>73</v>
      </c>
    </row>
    <row r="217" spans="1:28" x14ac:dyDescent="0.3">
      <c r="A217" t="s">
        <v>63</v>
      </c>
      <c r="B217" s="5" t="s">
        <v>64</v>
      </c>
      <c r="C217" t="s">
        <v>455</v>
      </c>
      <c r="D217" s="5" t="s">
        <v>456</v>
      </c>
      <c r="E217">
        <v>3600632111.4141369</v>
      </c>
      <c r="F217">
        <v>4094441301.2142286</v>
      </c>
      <c r="G217">
        <v>4193850445.4263234</v>
      </c>
      <c r="H217">
        <v>4901869764.0595684</v>
      </c>
      <c r="I217">
        <v>6221110219.4554157</v>
      </c>
      <c r="J217">
        <v>8331870169.1497707</v>
      </c>
      <c r="K217">
        <v>12756858899.281174</v>
      </c>
      <c r="L217">
        <v>14056957976.264833</v>
      </c>
      <c r="M217">
        <v>17910858637.904797</v>
      </c>
      <c r="N217">
        <v>15328342303.957512</v>
      </c>
      <c r="O217">
        <v>20265559483.854828</v>
      </c>
      <c r="P217">
        <v>23459515275.577595</v>
      </c>
      <c r="Q217">
        <v>25503060420.026028</v>
      </c>
      <c r="R217">
        <v>28037239462.714218</v>
      </c>
      <c r="S217">
        <v>27141023558.082859</v>
      </c>
      <c r="T217">
        <v>21251216798.776245</v>
      </c>
      <c r="U217">
        <v>20958412538.309345</v>
      </c>
      <c r="V217">
        <v>25873601260.835304</v>
      </c>
      <c r="W217">
        <v>26311507273.673538</v>
      </c>
      <c r="X217">
        <v>23308667781.225754</v>
      </c>
      <c r="Y217">
        <v>18137764930.65097</v>
      </c>
      <c r="Z217">
        <v>22096416932.008896</v>
      </c>
      <c r="AA217">
        <v>29163782140.485832</v>
      </c>
      <c r="AB217">
        <v>27577956471.243988</v>
      </c>
    </row>
    <row r="218" spans="1:28" x14ac:dyDescent="0.3">
      <c r="A218" t="s">
        <v>63</v>
      </c>
      <c r="B218" s="5" t="s">
        <v>64</v>
      </c>
      <c r="C218" t="s">
        <v>457</v>
      </c>
      <c r="D218" s="5" t="s">
        <v>458</v>
      </c>
      <c r="E218">
        <v>6693250000</v>
      </c>
      <c r="F218">
        <v>6780750000</v>
      </c>
      <c r="G218">
        <v>6345250000</v>
      </c>
      <c r="H218">
        <v>5730500000</v>
      </c>
      <c r="I218">
        <v>5808500000</v>
      </c>
      <c r="J218">
        <v>5758250000</v>
      </c>
      <c r="K218">
        <v>5446750000</v>
      </c>
      <c r="L218">
        <v>5294750000</v>
      </c>
      <c r="M218">
        <v>4418000000</v>
      </c>
      <c r="N218">
        <v>9670750000</v>
      </c>
      <c r="O218">
        <v>12047750000</v>
      </c>
      <c r="P218">
        <v>14109000000</v>
      </c>
      <c r="Q218">
        <v>17123500000</v>
      </c>
      <c r="R218">
        <v>19100750000</v>
      </c>
      <c r="S218">
        <v>19505500000</v>
      </c>
      <c r="T218">
        <v>19973250000</v>
      </c>
      <c r="U218">
        <v>20559249999.999996</v>
      </c>
      <c r="V218">
        <v>51035657370.517937</v>
      </c>
      <c r="W218">
        <v>34141666666.666668</v>
      </c>
      <c r="X218">
        <v>33357695635.128441</v>
      </c>
      <c r="Y218">
        <v>31980334561.312294</v>
      </c>
      <c r="Z218">
        <v>41287673690.077065</v>
      </c>
      <c r="AA218">
        <v>40757561708.774139</v>
      </c>
      <c r="AB218">
        <v>35871779680.633537</v>
      </c>
    </row>
    <row r="219" spans="1:28" x14ac:dyDescent="0.3">
      <c r="A219" t="s">
        <v>63</v>
      </c>
      <c r="B219" s="5" t="s">
        <v>64</v>
      </c>
      <c r="C219" t="s">
        <v>459</v>
      </c>
      <c r="D219" s="5" t="s">
        <v>460</v>
      </c>
      <c r="E219">
        <v>287041984552.03613</v>
      </c>
      <c r="F219">
        <v>260849957489.12323</v>
      </c>
      <c r="G219">
        <v>269746009737.97852</v>
      </c>
      <c r="H219">
        <v>358116081062.4267</v>
      </c>
      <c r="I219">
        <v>445974808500.08813</v>
      </c>
      <c r="J219">
        <v>521561976778.09601</v>
      </c>
      <c r="K219">
        <v>587500469826.42114</v>
      </c>
      <c r="L219">
        <v>674999944547.61877</v>
      </c>
      <c r="M219">
        <v>726770401376.72864</v>
      </c>
      <c r="N219">
        <v>726921646144.60254</v>
      </c>
      <c r="O219">
        <v>863822114606.33191</v>
      </c>
      <c r="P219">
        <v>959822476083.87793</v>
      </c>
      <c r="Q219">
        <v>969265729636.02759</v>
      </c>
      <c r="R219">
        <v>981308886976.78345</v>
      </c>
      <c r="S219">
        <v>998836162271.29626</v>
      </c>
      <c r="T219">
        <v>910002035578.03809</v>
      </c>
      <c r="U219">
        <v>831868076442.43091</v>
      </c>
      <c r="V219">
        <v>978076465866.45215</v>
      </c>
      <c r="W219">
        <v>1020955778298.1675</v>
      </c>
      <c r="X219">
        <v>1018714795912.3479</v>
      </c>
      <c r="Y219">
        <v>938607563405.08667</v>
      </c>
      <c r="Z219">
        <v>1114144799994.21</v>
      </c>
      <c r="AA219">
        <v>1228967879390.0093</v>
      </c>
      <c r="AB219">
        <v>1179359054880.4465</v>
      </c>
    </row>
    <row r="220" spans="1:28" x14ac:dyDescent="0.3">
      <c r="A220" t="s">
        <v>63</v>
      </c>
      <c r="B220" s="5" t="s">
        <v>64</v>
      </c>
      <c r="C220" t="s">
        <v>461</v>
      </c>
      <c r="D220" s="5" t="s">
        <v>462</v>
      </c>
      <c r="E220">
        <v>142700161610.07877</v>
      </c>
      <c r="F220">
        <v>150714426912.05615</v>
      </c>
      <c r="G220">
        <v>180129182230.86246</v>
      </c>
      <c r="H220">
        <v>208646527354.85083</v>
      </c>
      <c r="I220">
        <v>257939299771.71338</v>
      </c>
      <c r="J220">
        <v>316515667947.03546</v>
      </c>
      <c r="K220">
        <v>402077365740.58075</v>
      </c>
      <c r="L220">
        <v>470947616490.71906</v>
      </c>
      <c r="M220">
        <v>574259808704.12109</v>
      </c>
      <c r="N220">
        <v>515037106035.65906</v>
      </c>
      <c r="O220">
        <v>605794323433.50525</v>
      </c>
      <c r="P220">
        <v>691133400013.30969</v>
      </c>
      <c r="Q220">
        <v>748030003656.80151</v>
      </c>
      <c r="R220">
        <v>844180401591.47998</v>
      </c>
      <c r="S220">
        <v>904071921008.08533</v>
      </c>
      <c r="T220">
        <v>778022057597.44812</v>
      </c>
      <c r="U220">
        <v>700028168335.24377</v>
      </c>
      <c r="V220">
        <v>694051345937.23315</v>
      </c>
      <c r="W220">
        <v>777840323023.31055</v>
      </c>
      <c r="X220">
        <v>1026996211935.796</v>
      </c>
      <c r="Y220">
        <v>963784699293.97607</v>
      </c>
      <c r="Z220">
        <v>1026651004045.7875</v>
      </c>
      <c r="AA220">
        <v>1063649130876.9912</v>
      </c>
      <c r="AB220">
        <v>938238370514.19836</v>
      </c>
    </row>
    <row r="221" spans="1:28" x14ac:dyDescent="0.3">
      <c r="A221" t="s">
        <v>63</v>
      </c>
      <c r="B221" s="5" t="s">
        <v>64</v>
      </c>
      <c r="C221" t="s">
        <v>463</v>
      </c>
      <c r="D221" s="5" t="s">
        <v>464</v>
      </c>
      <c r="E221">
        <v>763400003917.06714</v>
      </c>
      <c r="F221">
        <v>744722772315.70935</v>
      </c>
      <c r="G221">
        <v>746650656664.55188</v>
      </c>
      <c r="H221">
        <v>830076413454.42737</v>
      </c>
      <c r="I221">
        <v>987304981951.16528</v>
      </c>
      <c r="J221">
        <v>1210081969427.0371</v>
      </c>
      <c r="K221">
        <v>1439461108230.6064</v>
      </c>
      <c r="L221">
        <v>1674641032780.0879</v>
      </c>
      <c r="M221">
        <v>2118071078804.5195</v>
      </c>
      <c r="N221">
        <v>1829849574764.6289</v>
      </c>
      <c r="O221">
        <v>2161397546202.939</v>
      </c>
      <c r="P221">
        <v>2573067811497.9849</v>
      </c>
      <c r="Q221">
        <v>2813567531715.4272</v>
      </c>
      <c r="R221">
        <v>2883689839002.542</v>
      </c>
      <c r="S221">
        <v>2937035588682.6675</v>
      </c>
      <c r="T221">
        <v>2580328583417.4067</v>
      </c>
      <c r="U221">
        <v>2536564595458.8691</v>
      </c>
      <c r="V221">
        <v>2611323720520.0039</v>
      </c>
      <c r="W221">
        <v>2920829737234.6655</v>
      </c>
      <c r="X221">
        <v>2965285548936.0142</v>
      </c>
      <c r="Y221">
        <v>2604104981819.7979</v>
      </c>
      <c r="Z221">
        <v>3085141461685.5972</v>
      </c>
      <c r="AA221">
        <v>3747416641077.4556</v>
      </c>
      <c r="AB221">
        <v>3622495663981.7842</v>
      </c>
    </row>
    <row r="222" spans="1:28" x14ac:dyDescent="0.3">
      <c r="A222" t="s">
        <v>63</v>
      </c>
      <c r="B222" s="5" t="s">
        <v>64</v>
      </c>
      <c r="C222" t="s">
        <v>465</v>
      </c>
      <c r="D222" s="5" t="s">
        <v>466</v>
      </c>
      <c r="E222">
        <v>25625542926.445583</v>
      </c>
      <c r="F222">
        <v>26504661126.159119</v>
      </c>
      <c r="G222">
        <v>27742046925.443516</v>
      </c>
      <c r="H222">
        <v>30589389405.896805</v>
      </c>
      <c r="I222">
        <v>33597817092.34977</v>
      </c>
      <c r="J222">
        <v>38224293958.728088</v>
      </c>
      <c r="K222">
        <v>44325879983.222176</v>
      </c>
      <c r="L222">
        <v>49739222993.114799</v>
      </c>
      <c r="M222">
        <v>57296315261.930466</v>
      </c>
      <c r="N222">
        <v>47913515379.115417</v>
      </c>
      <c r="O222">
        <v>53047626322.027245</v>
      </c>
      <c r="P222">
        <v>56828150706.098892</v>
      </c>
      <c r="Q222">
        <v>60427163825.084068</v>
      </c>
      <c r="R222">
        <v>62064949752.488609</v>
      </c>
      <c r="S222">
        <v>64075043973.103653</v>
      </c>
      <c r="T222">
        <v>62545153672.028473</v>
      </c>
      <c r="U222">
        <v>58073168349.510582</v>
      </c>
      <c r="V222">
        <v>59690101434.348785</v>
      </c>
      <c r="W222">
        <v>61252081219.867249</v>
      </c>
      <c r="X222">
        <v>62185458482.70623</v>
      </c>
      <c r="Y222">
        <v>53320869430.705894</v>
      </c>
      <c r="Z222">
        <v>62687149265.44706</v>
      </c>
      <c r="AA222">
        <v>78506430710.730911</v>
      </c>
      <c r="AB222">
        <v>79534673452.944016</v>
      </c>
    </row>
    <row r="223" spans="1:28" x14ac:dyDescent="0.3">
      <c r="A223" t="s">
        <v>63</v>
      </c>
      <c r="B223" s="5" t="s">
        <v>64</v>
      </c>
      <c r="C223" t="s">
        <v>467</v>
      </c>
      <c r="D223" s="5" t="s">
        <v>468</v>
      </c>
      <c r="E223">
        <v>429412709571.52258</v>
      </c>
      <c r="F223">
        <v>469501416107.34998</v>
      </c>
      <c r="G223">
        <v>528524764911.33417</v>
      </c>
      <c r="H223">
        <v>634291134326.27649</v>
      </c>
      <c r="I223">
        <v>763490469817.5907</v>
      </c>
      <c r="J223">
        <v>885715817927.20886</v>
      </c>
      <c r="K223">
        <v>1001314786967.889</v>
      </c>
      <c r="L223">
        <v>1264257753875.7146</v>
      </c>
      <c r="M223">
        <v>1530264815688.707</v>
      </c>
      <c r="N223">
        <v>1289259547165.207</v>
      </c>
      <c r="O223">
        <v>1319443729249.6606</v>
      </c>
      <c r="P223">
        <v>1458155270134.3005</v>
      </c>
      <c r="Q223">
        <v>1361899009858.4021</v>
      </c>
      <c r="R223">
        <v>1420222538112.9258</v>
      </c>
      <c r="S223">
        <v>1467451281263.2815</v>
      </c>
      <c r="T223">
        <v>1297141271990.0461</v>
      </c>
      <c r="U223">
        <v>1321561415743.8252</v>
      </c>
      <c r="V223">
        <v>1467501784248.8496</v>
      </c>
      <c r="W223">
        <v>1656383422202.6594</v>
      </c>
      <c r="X223">
        <v>1684318282245.7725</v>
      </c>
      <c r="Y223">
        <v>1678294256145.2954</v>
      </c>
      <c r="Z223">
        <v>1926347717338.9995</v>
      </c>
      <c r="AA223">
        <v>1954419184114.9568</v>
      </c>
      <c r="AB223">
        <v>2273205742208.2988</v>
      </c>
    </row>
    <row r="224" spans="1:28" x14ac:dyDescent="0.3">
      <c r="A224" t="s">
        <v>63</v>
      </c>
      <c r="B224" s="5" t="s">
        <v>64</v>
      </c>
      <c r="C224" t="s">
        <v>469</v>
      </c>
      <c r="D224" s="5" t="s">
        <v>470</v>
      </c>
      <c r="E224">
        <v>3378295866754.2622</v>
      </c>
      <c r="F224">
        <v>3351822804548.0884</v>
      </c>
      <c r="G224">
        <v>3255787156323.3667</v>
      </c>
      <c r="H224">
        <v>3622513779274.7607</v>
      </c>
      <c r="I224">
        <v>4209733389066.6299</v>
      </c>
      <c r="J224">
        <v>4897834756101.332</v>
      </c>
      <c r="K224">
        <v>5600388912441.2227</v>
      </c>
      <c r="L224">
        <v>6631053551528.6406</v>
      </c>
      <c r="M224">
        <v>7461798613306.4258</v>
      </c>
      <c r="N224">
        <v>7179119134034.6377</v>
      </c>
      <c r="O224">
        <v>8719722451021.0371</v>
      </c>
      <c r="P224">
        <v>9832704039068.2402</v>
      </c>
      <c r="Q224">
        <v>10275142735646.391</v>
      </c>
      <c r="R224">
        <v>10330333855700.199</v>
      </c>
      <c r="S224">
        <v>10533364326771.541</v>
      </c>
      <c r="T224">
        <v>10127250782286.17</v>
      </c>
      <c r="U224">
        <v>10423237803666.127</v>
      </c>
      <c r="V224">
        <v>11320553240043.822</v>
      </c>
      <c r="W224">
        <v>11478917653356.463</v>
      </c>
      <c r="X224">
        <v>11686574879191.115</v>
      </c>
      <c r="Y224">
        <v>10823343545638.336</v>
      </c>
      <c r="Z224">
        <v>12695008338487.822</v>
      </c>
      <c r="AA224">
        <v>14034689936337.348</v>
      </c>
      <c r="AB224">
        <v>14933453330998.332</v>
      </c>
    </row>
    <row r="225" spans="1:28" x14ac:dyDescent="0.3">
      <c r="A225" t="s">
        <v>63</v>
      </c>
      <c r="B225" s="5" t="s">
        <v>64</v>
      </c>
      <c r="C225" t="s">
        <v>471</v>
      </c>
      <c r="D225" s="5" t="s">
        <v>472</v>
      </c>
      <c r="E225">
        <v>8412453304524.1279</v>
      </c>
      <c r="F225">
        <v>7826463883839.7881</v>
      </c>
      <c r="G225">
        <v>7956172633989.6953</v>
      </c>
      <c r="H225">
        <v>8753448863353.3418</v>
      </c>
      <c r="I225">
        <v>9819681145695.0059</v>
      </c>
      <c r="J225">
        <v>10482706260278.902</v>
      </c>
      <c r="K225">
        <v>11119747675836.26</v>
      </c>
      <c r="L225">
        <v>12437519828885.65</v>
      </c>
      <c r="M225">
        <v>14343483215174.244</v>
      </c>
      <c r="N225">
        <v>14764315682393.846</v>
      </c>
      <c r="O225">
        <v>17239317220822.1</v>
      </c>
      <c r="P225">
        <v>19978722203920.859</v>
      </c>
      <c r="Q225">
        <v>21382308600766.078</v>
      </c>
      <c r="R225">
        <v>21659293723344.172</v>
      </c>
      <c r="S225">
        <v>22372206647098.063</v>
      </c>
      <c r="T225">
        <v>22299105656919.641</v>
      </c>
      <c r="U225">
        <v>23089672188769.375</v>
      </c>
      <c r="V225">
        <v>24656162308335.188</v>
      </c>
      <c r="W225">
        <v>26853593303707.328</v>
      </c>
      <c r="X225">
        <v>27427259967363.18</v>
      </c>
      <c r="Y225">
        <v>27578839610232.434</v>
      </c>
      <c r="Z225">
        <v>31675719814404.934</v>
      </c>
      <c r="AA225">
        <v>31266291368260.574</v>
      </c>
      <c r="AB225">
        <v>31417826880875.012</v>
      </c>
    </row>
    <row r="226" spans="1:28" x14ac:dyDescent="0.3">
      <c r="A226" t="s">
        <v>63</v>
      </c>
      <c r="B226" s="5" t="s">
        <v>64</v>
      </c>
      <c r="C226" t="s">
        <v>473</v>
      </c>
      <c r="D226" s="5" t="s">
        <v>474</v>
      </c>
      <c r="E226">
        <v>1748618348986.4297</v>
      </c>
      <c r="F226">
        <v>1862932027297.3965</v>
      </c>
      <c r="G226">
        <v>2063860728539.4409</v>
      </c>
      <c r="H226">
        <v>2337899791147.2275</v>
      </c>
      <c r="I226">
        <v>2712364424518.8896</v>
      </c>
      <c r="J226">
        <v>3140094784139.3921</v>
      </c>
      <c r="K226">
        <v>3783276519033.7358</v>
      </c>
      <c r="L226">
        <v>4787054921838.0771</v>
      </c>
      <c r="M226">
        <v>6062017772754.3496</v>
      </c>
      <c r="N226">
        <v>6581352893096.8369</v>
      </c>
      <c r="O226">
        <v>8008611577123.8916</v>
      </c>
      <c r="P226">
        <v>9774259220654.1973</v>
      </c>
      <c r="Q226">
        <v>10905337947546.184</v>
      </c>
      <c r="R226">
        <v>12047512338954.148</v>
      </c>
      <c r="S226">
        <v>13004689014662.496</v>
      </c>
      <c r="T226">
        <v>13548904084321.424</v>
      </c>
      <c r="U226">
        <v>13844122751569.406</v>
      </c>
      <c r="V226">
        <v>15115625540264.842</v>
      </c>
      <c r="W226">
        <v>16902110052652.254</v>
      </c>
      <c r="X226">
        <v>17503274977303.27</v>
      </c>
      <c r="Y226">
        <v>17805166443182.191</v>
      </c>
      <c r="Z226">
        <v>21231425978691.367</v>
      </c>
      <c r="AA226">
        <v>21563881384135.809</v>
      </c>
      <c r="AB226">
        <v>21644412635340.617</v>
      </c>
    </row>
    <row r="227" spans="1:28" x14ac:dyDescent="0.3">
      <c r="A227" t="s">
        <v>63</v>
      </c>
      <c r="B227" s="5" t="s">
        <v>64</v>
      </c>
      <c r="C227" t="s">
        <v>475</v>
      </c>
      <c r="D227" s="5" t="s">
        <v>476</v>
      </c>
      <c r="E227">
        <v>1746600304168.0308</v>
      </c>
      <c r="F227">
        <v>1860776095129.0757</v>
      </c>
      <c r="G227">
        <v>2061454246187.8718</v>
      </c>
      <c r="H227">
        <v>2335145056810.1685</v>
      </c>
      <c r="I227">
        <v>2709157341014.4473</v>
      </c>
      <c r="J227">
        <v>3136374977327.2329</v>
      </c>
      <c r="K227">
        <v>3778751294371.6221</v>
      </c>
      <c r="L227">
        <v>4781270693838.7969</v>
      </c>
      <c r="M227">
        <v>6054648571433.5479</v>
      </c>
      <c r="N227">
        <v>6573327283810.4863</v>
      </c>
      <c r="O227">
        <v>7998796323270.3135</v>
      </c>
      <c r="P227">
        <v>9762256276676.5879</v>
      </c>
      <c r="Q227">
        <v>10891968350841.715</v>
      </c>
      <c r="R227">
        <v>12032711129058.182</v>
      </c>
      <c r="S227">
        <v>12988712786591.697</v>
      </c>
      <c r="T227">
        <v>13532272043462.539</v>
      </c>
      <c r="U227">
        <v>13827151057380.211</v>
      </c>
      <c r="V227">
        <v>15097056837158.236</v>
      </c>
      <c r="W227">
        <v>16881316789674.379</v>
      </c>
      <c r="X227">
        <v>17481715455963.402</v>
      </c>
      <c r="Y227">
        <v>17783207218899.121</v>
      </c>
      <c r="Z227">
        <v>21205187136185.727</v>
      </c>
      <c r="AA227">
        <v>21537214774462.566</v>
      </c>
      <c r="AB227">
        <v>21617676926854.492</v>
      </c>
    </row>
    <row r="228" spans="1:28" x14ac:dyDescent="0.3">
      <c r="A228" t="s">
        <v>63</v>
      </c>
      <c r="B228" s="5" t="s">
        <v>64</v>
      </c>
      <c r="C228" t="s">
        <v>477</v>
      </c>
      <c r="D228" s="5" t="s">
        <v>478</v>
      </c>
      <c r="E228">
        <v>6528628817962.7314</v>
      </c>
      <c r="F228">
        <v>6631899417554.0615</v>
      </c>
      <c r="G228">
        <v>7241862819845.9922</v>
      </c>
      <c r="H228">
        <v>8921228124667.7617</v>
      </c>
      <c r="I228">
        <v>10231007049211.572</v>
      </c>
      <c r="J228">
        <v>10611825457675.744</v>
      </c>
      <c r="K228">
        <v>11288300255552.066</v>
      </c>
      <c r="L228">
        <v>13000311540976.352</v>
      </c>
      <c r="M228">
        <v>14295718485782.535</v>
      </c>
      <c r="N228">
        <v>13083077526585.92</v>
      </c>
      <c r="O228">
        <v>12784744616370.467</v>
      </c>
      <c r="P228">
        <v>13808563263632.639</v>
      </c>
      <c r="Q228">
        <v>12784947379630.893</v>
      </c>
      <c r="R228">
        <v>13357283141903.123</v>
      </c>
      <c r="S228">
        <v>13682058707498.045</v>
      </c>
      <c r="T228">
        <v>11829834353286.064</v>
      </c>
      <c r="U228">
        <v>12123283574466.527</v>
      </c>
      <c r="V228">
        <v>12841960349280.754</v>
      </c>
      <c r="W228">
        <v>13871778197583.691</v>
      </c>
      <c r="X228">
        <v>13589774677631.268</v>
      </c>
      <c r="Y228">
        <v>13267554461613.592</v>
      </c>
      <c r="Z228">
        <v>14924551716260.422</v>
      </c>
      <c r="AA228">
        <v>14488160081806.732</v>
      </c>
      <c r="AB228">
        <v>15854782417877.02</v>
      </c>
    </row>
    <row r="229" spans="1:28" x14ac:dyDescent="0.3">
      <c r="A229" t="s">
        <v>63</v>
      </c>
      <c r="B229" s="5" t="s">
        <v>64</v>
      </c>
      <c r="C229" t="s">
        <v>479</v>
      </c>
      <c r="D229" s="5" t="s">
        <v>480</v>
      </c>
      <c r="E229">
        <v>10084357140368.814</v>
      </c>
      <c r="F229">
        <v>10189029938417.107</v>
      </c>
      <c r="G229">
        <v>11156577456679.83</v>
      </c>
      <c r="H229">
        <v>13567083586398.475</v>
      </c>
      <c r="I229">
        <v>15814841560656.928</v>
      </c>
      <c r="J229">
        <v>16835012218380.238</v>
      </c>
      <c r="K229">
        <v>18236819891061.398</v>
      </c>
      <c r="L229">
        <v>21308302318715.602</v>
      </c>
      <c r="M229">
        <v>23453627549028.16</v>
      </c>
      <c r="N229">
        <v>20648444471712.379</v>
      </c>
      <c r="O229">
        <v>21118677014368.266</v>
      </c>
      <c r="P229">
        <v>23432000301407.461</v>
      </c>
      <c r="Q229">
        <v>22560574822089.828</v>
      </c>
      <c r="R229">
        <v>23574066317473.41</v>
      </c>
      <c r="S229">
        <v>23920533649825.043</v>
      </c>
      <c r="T229">
        <v>20603435735279.547</v>
      </c>
      <c r="U229">
        <v>20528432079127.359</v>
      </c>
      <c r="V229">
        <v>21791487069281.691</v>
      </c>
      <c r="W229">
        <v>23342642668393.258</v>
      </c>
      <c r="X229">
        <v>23067540030248.582</v>
      </c>
      <c r="Y229">
        <v>22322527185686.734</v>
      </c>
      <c r="Z229">
        <v>25572901699926.602</v>
      </c>
      <c r="AA229">
        <v>25798700454390.59</v>
      </c>
      <c r="AB229">
        <v>27732942821913.516</v>
      </c>
    </row>
    <row r="230" spans="1:28" x14ac:dyDescent="0.3">
      <c r="A230" t="s">
        <v>63</v>
      </c>
      <c r="B230" s="5" t="s">
        <v>64</v>
      </c>
      <c r="C230" t="s">
        <v>481</v>
      </c>
      <c r="D230" s="5" t="s">
        <v>482</v>
      </c>
      <c r="E230">
        <v>391259402609.02032</v>
      </c>
      <c r="F230">
        <v>335649212545.43896</v>
      </c>
      <c r="G230">
        <v>390532064568.53625</v>
      </c>
      <c r="H230">
        <v>498092410579.85132</v>
      </c>
      <c r="I230">
        <v>641341376416.64514</v>
      </c>
      <c r="J230">
        <v>798897294908.64941</v>
      </c>
      <c r="K230">
        <v>929637643372.55005</v>
      </c>
      <c r="L230">
        <v>1171542215920.5557</v>
      </c>
      <c r="M230">
        <v>1402429749896.0049</v>
      </c>
      <c r="N230">
        <v>1169814065612.0879</v>
      </c>
      <c r="O230">
        <v>1385078523367.6733</v>
      </c>
      <c r="P230">
        <v>1574244960285.9507</v>
      </c>
      <c r="Q230">
        <v>1658983451713.2463</v>
      </c>
      <c r="R230">
        <v>1808692800315.9475</v>
      </c>
      <c r="S230">
        <v>1735229369225.6946</v>
      </c>
      <c r="T230">
        <v>1510474002479.1558</v>
      </c>
      <c r="U230">
        <v>1450171284448.7988</v>
      </c>
      <c r="V230">
        <v>1499595960769.2952</v>
      </c>
      <c r="W230">
        <v>1477488205993.5073</v>
      </c>
      <c r="X230">
        <v>1508679974755.3606</v>
      </c>
      <c r="Y230">
        <v>1446077189727.5208</v>
      </c>
      <c r="Z230">
        <v>1680958734568.532</v>
      </c>
      <c r="AA230">
        <v>1820242864725.0952</v>
      </c>
      <c r="AB230">
        <v>2143244215113.2466</v>
      </c>
    </row>
    <row r="231" spans="1:28" x14ac:dyDescent="0.3">
      <c r="A231" t="s">
        <v>63</v>
      </c>
      <c r="B231" s="5" t="s">
        <v>64</v>
      </c>
      <c r="C231" t="s">
        <v>483</v>
      </c>
      <c r="D231" s="5" t="s">
        <v>484</v>
      </c>
      <c r="E231">
        <v>896291493004.4928</v>
      </c>
      <c r="F231">
        <v>911679939950.9707</v>
      </c>
      <c r="G231">
        <v>1024829473187.3251</v>
      </c>
      <c r="H231">
        <v>1261017408610.7168</v>
      </c>
      <c r="I231">
        <v>1631372379671.2578</v>
      </c>
      <c r="J231">
        <v>2042987028459.1055</v>
      </c>
      <c r="K231">
        <v>2471273605657.6836</v>
      </c>
      <c r="L231">
        <v>3179127986623.9277</v>
      </c>
      <c r="M231">
        <v>3936159309738.0098</v>
      </c>
      <c r="N231">
        <v>3121801768478.665</v>
      </c>
      <c r="O231">
        <v>3667835476746.7407</v>
      </c>
      <c r="P231">
        <v>4461210535265.9912</v>
      </c>
      <c r="Q231">
        <v>4656388146308.0674</v>
      </c>
      <c r="R231">
        <v>4924806846375.5205</v>
      </c>
      <c r="S231">
        <v>4653015277488.1826</v>
      </c>
      <c r="T231">
        <v>3633660246044.519</v>
      </c>
      <c r="U231">
        <v>3492088089759.4951</v>
      </c>
      <c r="V231">
        <v>3927649813354.439</v>
      </c>
      <c r="W231">
        <v>4098990245510.0283</v>
      </c>
      <c r="X231">
        <v>4184533628660.3745</v>
      </c>
      <c r="Y231">
        <v>3924139091384.8433</v>
      </c>
      <c r="Z231">
        <v>4637763943320.1445</v>
      </c>
      <c r="AA231">
        <v>5264484546456.79</v>
      </c>
      <c r="AB231">
        <v>5562782514647.5215</v>
      </c>
    </row>
    <row r="232" spans="1:28" x14ac:dyDescent="0.3">
      <c r="A232" t="s">
        <v>63</v>
      </c>
      <c r="B232" s="5" t="s">
        <v>64</v>
      </c>
      <c r="C232" t="s">
        <v>485</v>
      </c>
      <c r="D232" s="5" t="s">
        <v>486</v>
      </c>
      <c r="E232">
        <v>7288481048952.2461</v>
      </c>
      <c r="F232">
        <v>7407615944962.4434</v>
      </c>
      <c r="G232">
        <v>8100430284893.6729</v>
      </c>
      <c r="H232">
        <v>9956860723577.6504</v>
      </c>
      <c r="I232">
        <v>11449101966447.193</v>
      </c>
      <c r="J232">
        <v>11954349375611.971</v>
      </c>
      <c r="K232">
        <v>12768357074578.387</v>
      </c>
      <c r="L232">
        <v>14789471689508.004</v>
      </c>
      <c r="M232">
        <v>16364455236166.711</v>
      </c>
      <c r="N232">
        <v>14844813523139.973</v>
      </c>
      <c r="O232">
        <v>14641773544950.594</v>
      </c>
      <c r="P232">
        <v>15874713437636.057</v>
      </c>
      <c r="Q232">
        <v>14731876146120.652</v>
      </c>
      <c r="R232">
        <v>15398507628838.623</v>
      </c>
      <c r="S232">
        <v>15763596442222.57</v>
      </c>
      <c r="T232">
        <v>13656252620703.34</v>
      </c>
      <c r="U232">
        <v>13988147697216.623</v>
      </c>
      <c r="V232">
        <v>14871313684625.824</v>
      </c>
      <c r="W232">
        <v>16092403309151.479</v>
      </c>
      <c r="X232">
        <v>15809073096211.445</v>
      </c>
      <c r="Y232">
        <v>15504055464107.43</v>
      </c>
      <c r="Z232">
        <v>17495226733585.227</v>
      </c>
      <c r="AA232">
        <v>17023612496380.377</v>
      </c>
      <c r="AB232">
        <v>18659133072074.809</v>
      </c>
    </row>
    <row r="233" spans="1:28" x14ac:dyDescent="0.3">
      <c r="A233" t="s">
        <v>63</v>
      </c>
      <c r="B233" s="5" t="s">
        <v>64</v>
      </c>
      <c r="C233" t="s">
        <v>487</v>
      </c>
      <c r="D233" s="5" t="s">
        <v>488</v>
      </c>
      <c r="E233">
        <v>466929248691.91187</v>
      </c>
      <c r="F233">
        <v>457048079382.20825</v>
      </c>
      <c r="G233">
        <v>446089285308.39984</v>
      </c>
      <c r="H233">
        <v>469847559925.41498</v>
      </c>
      <c r="I233">
        <v>595876444368.30444</v>
      </c>
      <c r="J233">
        <v>756354101430.86804</v>
      </c>
      <c r="K233">
        <v>947253259627.87622</v>
      </c>
      <c r="L233">
        <v>1160668758510.7244</v>
      </c>
      <c r="M233">
        <v>1484312853576.2976</v>
      </c>
      <c r="N233">
        <v>1342615105225.8186</v>
      </c>
      <c r="O233">
        <v>1596645964256.6382</v>
      </c>
      <c r="P233">
        <v>1665506572724.0325</v>
      </c>
      <c r="Q233">
        <v>1855874824709.6067</v>
      </c>
      <c r="R233">
        <v>1825595058878.4541</v>
      </c>
      <c r="S233">
        <v>1787605499773.0205</v>
      </c>
      <c r="T233">
        <v>1481660318787.6704</v>
      </c>
      <c r="U233">
        <v>1358130757341.2739</v>
      </c>
      <c r="V233">
        <v>1443031828638.4087</v>
      </c>
      <c r="W233">
        <v>1556210403398.4966</v>
      </c>
      <c r="X233">
        <v>1811454247630.5994</v>
      </c>
      <c r="Y233">
        <v>1610227321244.2686</v>
      </c>
      <c r="Z233">
        <v>1740335947472.9319</v>
      </c>
      <c r="AA233">
        <v>1918272363969.1755</v>
      </c>
      <c r="AB233">
        <v>1778723185468.1958</v>
      </c>
    </row>
    <row r="234" spans="1:28" x14ac:dyDescent="0.3">
      <c r="A234" t="s">
        <v>63</v>
      </c>
      <c r="B234" s="5" t="s">
        <v>64</v>
      </c>
      <c r="C234" t="s">
        <v>489</v>
      </c>
      <c r="D234" s="5" t="s">
        <v>490</v>
      </c>
      <c r="E234">
        <v>181929508086.70932</v>
      </c>
      <c r="F234">
        <v>175879852361.52243</v>
      </c>
      <c r="G234">
        <v>190891346466.39948</v>
      </c>
      <c r="H234">
        <v>216610034974.42456</v>
      </c>
      <c r="I234">
        <v>249571115303.19647</v>
      </c>
      <c r="J234">
        <v>288591119560.46954</v>
      </c>
      <c r="K234">
        <v>338993250532.89044</v>
      </c>
      <c r="L234">
        <v>404372280163.21423</v>
      </c>
      <c r="M234">
        <v>481623936903.30206</v>
      </c>
      <c r="N234">
        <v>475213799056.47394</v>
      </c>
      <c r="O234">
        <v>518754130151.74554</v>
      </c>
      <c r="P234">
        <v>573517854715.36609</v>
      </c>
      <c r="Q234">
        <v>595155344078.42371</v>
      </c>
      <c r="R234">
        <v>667314194885.70435</v>
      </c>
      <c r="S234">
        <v>705465847008.07959</v>
      </c>
      <c r="T234">
        <v>674606540074.89697</v>
      </c>
      <c r="U234">
        <v>677200621773.18835</v>
      </c>
      <c r="V234">
        <v>735068264238.84351</v>
      </c>
      <c r="W234">
        <v>790373898773.38062</v>
      </c>
      <c r="X234">
        <v>811372254522.34265</v>
      </c>
      <c r="Y234">
        <v>816029422839.44604</v>
      </c>
      <c r="Z234">
        <v>924417463438.69983</v>
      </c>
      <c r="AA234">
        <v>1002501492801.3016</v>
      </c>
      <c r="AB234">
        <v>1060316071770.2886</v>
      </c>
    </row>
    <row r="235" spans="1:28" x14ac:dyDescent="0.3">
      <c r="A235" t="s">
        <v>63</v>
      </c>
      <c r="B235" s="5" t="s">
        <v>64</v>
      </c>
      <c r="C235" t="s">
        <v>491</v>
      </c>
      <c r="D235" s="5" t="s">
        <v>492</v>
      </c>
      <c r="E235">
        <v>28095358385203.242</v>
      </c>
      <c r="F235">
        <v>27871346372991.938</v>
      </c>
      <c r="G235">
        <v>29087762156088.129</v>
      </c>
      <c r="H235">
        <v>32653648831585.871</v>
      </c>
      <c r="I235">
        <v>36479616795556.844</v>
      </c>
      <c r="J235">
        <v>38739967108318.781</v>
      </c>
      <c r="K235">
        <v>41125462538928.414</v>
      </c>
      <c r="L235">
        <v>45259229716492.945</v>
      </c>
      <c r="M235">
        <v>48511546178932.68</v>
      </c>
      <c r="N235">
        <v>45121580672151.594</v>
      </c>
      <c r="O235">
        <v>47537047603466</v>
      </c>
      <c r="P235">
        <v>51761995686417.383</v>
      </c>
      <c r="Q235">
        <v>51943717152963.758</v>
      </c>
      <c r="R235">
        <v>52667085148262.93</v>
      </c>
      <c r="S235">
        <v>53550117992137.336</v>
      </c>
      <c r="T235">
        <v>49977567874625.5</v>
      </c>
      <c r="U235">
        <v>50927970256186.055</v>
      </c>
      <c r="V235">
        <v>53524059312874.891</v>
      </c>
      <c r="W235">
        <v>56920619917132.125</v>
      </c>
      <c r="X235">
        <v>57456170925405.289</v>
      </c>
      <c r="Y235">
        <v>55889737341875.422</v>
      </c>
      <c r="Z235">
        <v>62745314846357.281</v>
      </c>
      <c r="AA235">
        <v>65081334214971.5</v>
      </c>
      <c r="AB235">
        <v>68449582732271.438</v>
      </c>
    </row>
    <row r="236" spans="1:28" x14ac:dyDescent="0.3">
      <c r="A236" t="s">
        <v>63</v>
      </c>
      <c r="B236" s="5" t="s">
        <v>64</v>
      </c>
      <c r="C236" t="s">
        <v>493</v>
      </c>
      <c r="D236" s="5" t="s">
        <v>494</v>
      </c>
      <c r="E236">
        <v>5886134597366.623</v>
      </c>
      <c r="F236">
        <v>5971610298683.8887</v>
      </c>
      <c r="G236">
        <v>6065783594228.7295</v>
      </c>
      <c r="H236">
        <v>6814152968102.5928</v>
      </c>
      <c r="I236">
        <v>8117388576252.8301</v>
      </c>
      <c r="J236">
        <v>9694745482584.873</v>
      </c>
      <c r="K236">
        <v>11501210367684.299</v>
      </c>
      <c r="L236">
        <v>14287515549914.373</v>
      </c>
      <c r="M236">
        <v>17144385222961.736</v>
      </c>
      <c r="N236">
        <v>16643733351017.535</v>
      </c>
      <c r="O236">
        <v>20236974559592.855</v>
      </c>
      <c r="P236">
        <v>23952863037040.855</v>
      </c>
      <c r="Q236">
        <v>25459767024749.59</v>
      </c>
      <c r="R236">
        <v>26784320183315.672</v>
      </c>
      <c r="S236">
        <v>27548963986382.656</v>
      </c>
      <c r="T236">
        <v>25937609442668.813</v>
      </c>
      <c r="U236">
        <v>26133021093477.324</v>
      </c>
      <c r="V236">
        <v>28848700119388.953</v>
      </c>
      <c r="W236">
        <v>30736778363828.605</v>
      </c>
      <c r="X236">
        <v>31377057597389.828</v>
      </c>
      <c r="Y236">
        <v>30204027280204.469</v>
      </c>
      <c r="Z236">
        <v>35879316080995.148</v>
      </c>
      <c r="AA236">
        <v>37943329554311.516</v>
      </c>
      <c r="AB236">
        <v>39248258733753.539</v>
      </c>
    </row>
    <row r="237" spans="1:28" x14ac:dyDescent="0.3">
      <c r="A237" t="s">
        <v>63</v>
      </c>
      <c r="B237" s="5" t="s">
        <v>64</v>
      </c>
      <c r="C237" t="s">
        <v>495</v>
      </c>
      <c r="D237" s="5" t="s">
        <v>496</v>
      </c>
      <c r="E237">
        <v>6405155340977.7432</v>
      </c>
      <c r="F237">
        <v>6484814497363.3652</v>
      </c>
      <c r="G237">
        <v>6618829141640.9404</v>
      </c>
      <c r="H237">
        <v>7438042806499.1016</v>
      </c>
      <c r="I237">
        <v>8846940320931.5605</v>
      </c>
      <c r="J237">
        <v>10543932972658.887</v>
      </c>
      <c r="K237">
        <v>12515819352845.875</v>
      </c>
      <c r="L237">
        <v>15478384977817.896</v>
      </c>
      <c r="M237">
        <v>18563872439706.426</v>
      </c>
      <c r="N237">
        <v>18027421083675.258</v>
      </c>
      <c r="O237">
        <v>21835069166669.488</v>
      </c>
      <c r="P237">
        <v>25757259583860.578</v>
      </c>
      <c r="Q237">
        <v>27363548308329.91</v>
      </c>
      <c r="R237">
        <v>28855638007106.641</v>
      </c>
      <c r="S237">
        <v>29778753140210.465</v>
      </c>
      <c r="T237">
        <v>28103757036547.969</v>
      </c>
      <c r="U237">
        <v>28286257999424.719</v>
      </c>
      <c r="V237">
        <v>31117686702333.758</v>
      </c>
      <c r="W237">
        <v>33147599934551.504</v>
      </c>
      <c r="X237">
        <v>34078219798939.109</v>
      </c>
      <c r="Y237">
        <v>32822847991827.266</v>
      </c>
      <c r="Z237">
        <v>38741335342414.797</v>
      </c>
      <c r="AA237">
        <v>41018485584725.719</v>
      </c>
      <c r="AB237">
        <v>42176516066439.07</v>
      </c>
    </row>
    <row r="238" spans="1:28" x14ac:dyDescent="0.3">
      <c r="A238" t="s">
        <v>63</v>
      </c>
      <c r="B238" s="5" t="s">
        <v>64</v>
      </c>
      <c r="C238" t="s">
        <v>497</v>
      </c>
      <c r="D238" s="5" t="s">
        <v>498</v>
      </c>
      <c r="E238">
        <v>244290144682.41187</v>
      </c>
      <c r="F238">
        <v>243968067343.09723</v>
      </c>
      <c r="G238">
        <v>267621509349.00568</v>
      </c>
      <c r="H238">
        <v>302939673645.11609</v>
      </c>
      <c r="I238">
        <v>365116376580.7558</v>
      </c>
      <c r="J238">
        <v>428328538081.22772</v>
      </c>
      <c r="K238">
        <v>526645636948.48822</v>
      </c>
      <c r="L238">
        <v>609839841078.27942</v>
      </c>
      <c r="M238">
        <v>714771797908.91846</v>
      </c>
      <c r="N238">
        <v>669157586112.91235</v>
      </c>
      <c r="O238">
        <v>780580681565.0741</v>
      </c>
      <c r="P238">
        <v>888614216908.75354</v>
      </c>
      <c r="Q238">
        <v>982900021354.995</v>
      </c>
      <c r="R238">
        <v>1071507625598.4301</v>
      </c>
      <c r="S238">
        <v>1164584937017.8428</v>
      </c>
      <c r="T238">
        <v>1104888256132.4402</v>
      </c>
      <c r="U238">
        <v>1035761112332.6013</v>
      </c>
      <c r="V238">
        <v>1064701742324.6508</v>
      </c>
      <c r="W238">
        <v>1125278097800.2668</v>
      </c>
      <c r="X238">
        <v>1354444605559.251</v>
      </c>
      <c r="Y238">
        <v>1258453633593.2456</v>
      </c>
      <c r="Z238">
        <v>1369357769886.5835</v>
      </c>
      <c r="AA238">
        <v>1456880573683.6831</v>
      </c>
      <c r="AB238">
        <v>1272526278004.6812</v>
      </c>
    </row>
    <row r="239" spans="1:28" x14ac:dyDescent="0.3">
      <c r="A239" t="s">
        <v>63</v>
      </c>
      <c r="B239" s="5" t="s">
        <v>64</v>
      </c>
      <c r="C239" t="s">
        <v>499</v>
      </c>
      <c r="D239" s="5" t="s">
        <v>500</v>
      </c>
      <c r="E239">
        <v>275642026139.6554</v>
      </c>
      <c r="F239">
        <v>269901710172.5976</v>
      </c>
      <c r="G239">
        <v>286409984261.39362</v>
      </c>
      <c r="H239">
        <v>322063889070.29688</v>
      </c>
      <c r="I239">
        <v>365260518035.35956</v>
      </c>
      <c r="J239">
        <v>421453301119.75677</v>
      </c>
      <c r="K239">
        <v>488333978645.60193</v>
      </c>
      <c r="L239">
        <v>580840387765.95764</v>
      </c>
      <c r="M239">
        <v>704715418835.76648</v>
      </c>
      <c r="N239">
        <v>714530146544.81116</v>
      </c>
      <c r="O239">
        <v>817513925511.55701</v>
      </c>
      <c r="P239">
        <v>915782329910.95935</v>
      </c>
      <c r="Q239">
        <v>920881262225.33752</v>
      </c>
      <c r="R239">
        <v>999810198192.5238</v>
      </c>
      <c r="S239">
        <v>1065204216809.972</v>
      </c>
      <c r="T239">
        <v>1061259337746.725</v>
      </c>
      <c r="U239">
        <v>1117475793614.79</v>
      </c>
      <c r="V239">
        <v>1204284840620.1563</v>
      </c>
      <c r="W239">
        <v>1285543472922.6248</v>
      </c>
      <c r="X239">
        <v>1346717595990.0159</v>
      </c>
      <c r="Y239">
        <v>1360367078029.561</v>
      </c>
      <c r="Z239">
        <v>1492661491533.0908</v>
      </c>
      <c r="AA239">
        <v>1618275456730.5027</v>
      </c>
      <c r="AB239">
        <v>1655731054680.8459</v>
      </c>
    </row>
    <row r="240" spans="1:28" x14ac:dyDescent="0.3">
      <c r="A240" t="s">
        <v>63</v>
      </c>
      <c r="B240" s="5" t="s">
        <v>64</v>
      </c>
      <c r="C240" t="s">
        <v>501</v>
      </c>
      <c r="D240" s="5" t="s">
        <v>502</v>
      </c>
      <c r="E240">
        <v>519433841269.80566</v>
      </c>
      <c r="F240">
        <v>513449125832.41626</v>
      </c>
      <c r="G240">
        <v>553708425098.70215</v>
      </c>
      <c r="H240">
        <v>624668567081.95581</v>
      </c>
      <c r="I240">
        <v>730301246172.36255</v>
      </c>
      <c r="J240">
        <v>849793999607.05066</v>
      </c>
      <c r="K240">
        <v>1015422269205.8523</v>
      </c>
      <c r="L240">
        <v>1190972724268.375</v>
      </c>
      <c r="M240">
        <v>1419487216744.6843</v>
      </c>
      <c r="N240">
        <v>1383687732657.7236</v>
      </c>
      <c r="O240">
        <v>1598094607076.6306</v>
      </c>
      <c r="P240">
        <v>1804396546819.7131</v>
      </c>
      <c r="Q240">
        <v>1903781283580.3325</v>
      </c>
      <c r="R240">
        <v>2071317823790.9541</v>
      </c>
      <c r="S240">
        <v>2229789153827.8149</v>
      </c>
      <c r="T240">
        <v>2166147593879.165</v>
      </c>
      <c r="U240">
        <v>2153236905947.3906</v>
      </c>
      <c r="V240">
        <v>2268986582944.8081</v>
      </c>
      <c r="W240">
        <v>2410821570722.8921</v>
      </c>
      <c r="X240">
        <v>2701162201549.2671</v>
      </c>
      <c r="Y240">
        <v>2618820711622.8057</v>
      </c>
      <c r="Z240">
        <v>2862019261419.6729</v>
      </c>
      <c r="AA240">
        <v>3075156030414.1846</v>
      </c>
      <c r="AB240">
        <v>2928257332685.5264</v>
      </c>
    </row>
    <row r="241" spans="1:28" x14ac:dyDescent="0.3">
      <c r="A241" t="s">
        <v>63</v>
      </c>
      <c r="B241" s="5" t="s">
        <v>64</v>
      </c>
      <c r="C241" t="s">
        <v>503</v>
      </c>
      <c r="D241" s="5" t="s">
        <v>504</v>
      </c>
      <c r="E241">
        <v>3427507985097.5239</v>
      </c>
      <c r="F241">
        <v>3545543381138.9844</v>
      </c>
      <c r="G241">
        <v>3760831882469.9146</v>
      </c>
      <c r="H241">
        <v>4286645021053.1699</v>
      </c>
      <c r="I241">
        <v>5151932849607.3965</v>
      </c>
      <c r="J241">
        <v>6211017343931.3154</v>
      </c>
      <c r="K241">
        <v>7496022909104.7822</v>
      </c>
      <c r="L241">
        <v>9445303058887.2832</v>
      </c>
      <c r="M241">
        <v>11750024639145.088</v>
      </c>
      <c r="N241">
        <v>11368232780191.885</v>
      </c>
      <c r="O241">
        <v>13679708028983.904</v>
      </c>
      <c r="P241">
        <v>16665376541950.779</v>
      </c>
      <c r="Q241">
        <v>17836300107332.008</v>
      </c>
      <c r="R241">
        <v>19233518032034.191</v>
      </c>
      <c r="S241">
        <v>19998109576538.438</v>
      </c>
      <c r="T241">
        <v>18797219107172.09</v>
      </c>
      <c r="U241">
        <v>18841937712406.996</v>
      </c>
      <c r="V241">
        <v>20889290142886.48</v>
      </c>
      <c r="W241">
        <v>22907660419321.078</v>
      </c>
      <c r="X241">
        <v>23366567397285.594</v>
      </c>
      <c r="Y241">
        <v>22869539211354.988</v>
      </c>
      <c r="Z241">
        <v>27284231194748.926</v>
      </c>
      <c r="AA241">
        <v>28550398557203.305</v>
      </c>
      <c r="AB241">
        <v>28934446547714.371</v>
      </c>
    </row>
    <row r="242" spans="1:28" x14ac:dyDescent="0.3">
      <c r="A242" t="s">
        <v>63</v>
      </c>
      <c r="B242" s="5" t="s">
        <v>64</v>
      </c>
      <c r="C242" t="s">
        <v>505</v>
      </c>
      <c r="D242" s="5" t="s">
        <v>506</v>
      </c>
      <c r="E242">
        <v>2326960774300.0229</v>
      </c>
      <c r="F242">
        <v>2282616677666.1616</v>
      </c>
      <c r="G242">
        <v>2052785902058.9268</v>
      </c>
      <c r="H242">
        <v>2091901136740.5896</v>
      </c>
      <c r="I242">
        <v>2405470231955.3535</v>
      </c>
      <c r="J242">
        <v>2903225603459.667</v>
      </c>
      <c r="K242">
        <v>3397326808458.1177</v>
      </c>
      <c r="L242">
        <v>3998763004207.041</v>
      </c>
      <c r="M242">
        <v>4644093134666.9883</v>
      </c>
      <c r="N242">
        <v>4357538584711.3652</v>
      </c>
      <c r="O242">
        <v>5397900660485.7559</v>
      </c>
      <c r="P242">
        <v>6139415369063.7236</v>
      </c>
      <c r="Q242">
        <v>6202552292365.0586</v>
      </c>
      <c r="R242">
        <v>6252550709058.2939</v>
      </c>
      <c r="S242">
        <v>6217846355596.3467</v>
      </c>
      <c r="T242">
        <v>5289615626446.6211</v>
      </c>
      <c r="U242">
        <v>5148746106826.835</v>
      </c>
      <c r="V242">
        <v>5715057427671.2256</v>
      </c>
      <c r="W242">
        <v>5581100995040.8379</v>
      </c>
      <c r="X242">
        <v>5473432644126.8408</v>
      </c>
      <c r="Y242">
        <v>4627348896643.874</v>
      </c>
      <c r="Z242">
        <v>5382862734265.6406</v>
      </c>
      <c r="AA242">
        <v>6144995160894.6445</v>
      </c>
      <c r="AB242">
        <v>6910660006084.8174</v>
      </c>
    </row>
    <row r="243" spans="1:28" x14ac:dyDescent="0.3">
      <c r="A243" t="s">
        <v>63</v>
      </c>
      <c r="B243" s="5" t="s">
        <v>64</v>
      </c>
      <c r="C243" t="s">
        <v>507</v>
      </c>
      <c r="D243" s="5" t="s">
        <v>508</v>
      </c>
      <c r="E243">
        <v>1986485863896.0273</v>
      </c>
      <c r="F243">
        <v>1935500709591.5195</v>
      </c>
      <c r="G243">
        <v>1740548664257.2598</v>
      </c>
      <c r="H243">
        <v>1776708359686.8604</v>
      </c>
      <c r="I243">
        <v>2025108884606.0347</v>
      </c>
      <c r="J243">
        <v>2450494745878.2412</v>
      </c>
      <c r="K243">
        <v>2858411217887.5747</v>
      </c>
      <c r="L243">
        <v>3374742715849.9282</v>
      </c>
      <c r="M243">
        <v>3900603654602.5659</v>
      </c>
      <c r="N243">
        <v>3612494780540.3472</v>
      </c>
      <c r="O243">
        <v>4518755264794.3398</v>
      </c>
      <c r="P243">
        <v>5277645172887.8809</v>
      </c>
      <c r="Q243">
        <v>5250558584752.4688</v>
      </c>
      <c r="R243">
        <v>5385615104389.8672</v>
      </c>
      <c r="S243">
        <v>5405172001075.2207</v>
      </c>
      <c r="T243">
        <v>4578739613722.7852</v>
      </c>
      <c r="U243">
        <v>4438833899168.873</v>
      </c>
      <c r="V243">
        <v>4960873741744.9541</v>
      </c>
      <c r="W243">
        <v>4816735877469.79</v>
      </c>
      <c r="X243">
        <v>4748616176252.6387</v>
      </c>
      <c r="Y243">
        <v>3991303751042.4419</v>
      </c>
      <c r="Z243">
        <v>4637976019252.0566</v>
      </c>
      <c r="AA243">
        <v>5336050967302.5088</v>
      </c>
      <c r="AB243">
        <v>6014673692976.0498</v>
      </c>
    </row>
    <row r="244" spans="1:28" x14ac:dyDescent="0.3">
      <c r="A244" t="s">
        <v>63</v>
      </c>
      <c r="B244" s="5" t="s">
        <v>64</v>
      </c>
      <c r="C244" t="s">
        <v>509</v>
      </c>
      <c r="D244" s="5" t="s">
        <v>510</v>
      </c>
      <c r="E244">
        <v>2214459287709.0845</v>
      </c>
      <c r="F244">
        <v>2161359862863.8618</v>
      </c>
      <c r="G244">
        <v>1927322085240.198</v>
      </c>
      <c r="H244">
        <v>1960517216397.3689</v>
      </c>
      <c r="I244">
        <v>2264876234901.1675</v>
      </c>
      <c r="J244">
        <v>2752003821062.2021</v>
      </c>
      <c r="K244">
        <v>3234927606207.5815</v>
      </c>
      <c r="L244">
        <v>3826959867893.0864</v>
      </c>
      <c r="M244">
        <v>4465814702669.79</v>
      </c>
      <c r="N244">
        <v>4176789508119.5645</v>
      </c>
      <c r="O244">
        <v>5212616653053.2334</v>
      </c>
      <c r="P244">
        <v>5942223639206.502</v>
      </c>
      <c r="Q244">
        <v>5999254994806.9238</v>
      </c>
      <c r="R244">
        <v>6044625148403.9443</v>
      </c>
      <c r="S244">
        <v>6005259453417.8896</v>
      </c>
      <c r="T244">
        <v>5068610305411.752</v>
      </c>
      <c r="U244">
        <v>4922090097003.7979</v>
      </c>
      <c r="V244">
        <v>5482764267203.1172</v>
      </c>
      <c r="W244">
        <v>5347056434773.5684</v>
      </c>
      <c r="X244">
        <v>5230554354083.4072</v>
      </c>
      <c r="Y244">
        <v>4387909128654.5674</v>
      </c>
      <c r="Z244">
        <v>5118940165028.3828</v>
      </c>
      <c r="AA244">
        <v>5851879329574.9297</v>
      </c>
      <c r="AB244">
        <v>6591336702938.7578</v>
      </c>
    </row>
    <row r="245" spans="1:28" x14ac:dyDescent="0.3">
      <c r="A245" t="s">
        <v>63</v>
      </c>
      <c r="B245" s="5" t="s">
        <v>64</v>
      </c>
      <c r="C245" t="s">
        <v>511</v>
      </c>
      <c r="D245" s="5" t="s">
        <v>512</v>
      </c>
      <c r="E245">
        <v>224563948593.22421</v>
      </c>
      <c r="F245">
        <v>216585977130.125</v>
      </c>
      <c r="G245">
        <v>238996622513.99384</v>
      </c>
      <c r="H245">
        <v>270939350485.97687</v>
      </c>
      <c r="I245">
        <v>311791760903.56964</v>
      </c>
      <c r="J245">
        <v>370633296538.88971</v>
      </c>
      <c r="K245">
        <v>430714424840.4126</v>
      </c>
      <c r="L245">
        <v>517254081241.05353</v>
      </c>
      <c r="M245">
        <v>635557886673.67493</v>
      </c>
      <c r="N245">
        <v>628162084945.03552</v>
      </c>
      <c r="O245">
        <v>711250147781.56616</v>
      </c>
      <c r="P245">
        <v>810122964149.02026</v>
      </c>
      <c r="Q245">
        <v>849599155573.47058</v>
      </c>
      <c r="R245">
        <v>924685867947.02722</v>
      </c>
      <c r="S245">
        <v>993379212416.68115</v>
      </c>
      <c r="T245">
        <v>946044369982.55554</v>
      </c>
      <c r="U245">
        <v>952622086763.39233</v>
      </c>
      <c r="V245">
        <v>1044504274790.0444</v>
      </c>
      <c r="W245">
        <v>1116339519831.7983</v>
      </c>
      <c r="X245">
        <v>1169366192253.6926</v>
      </c>
      <c r="Y245">
        <v>1179778077659.1902</v>
      </c>
      <c r="Z245">
        <v>1303898952961.3599</v>
      </c>
      <c r="AA245">
        <v>1474237106700.9104</v>
      </c>
      <c r="AB245">
        <v>1459966948607.9426</v>
      </c>
    </row>
    <row r="246" spans="1:28" x14ac:dyDescent="0.3">
      <c r="A246" t="s">
        <v>63</v>
      </c>
      <c r="B246" s="5" t="s">
        <v>64</v>
      </c>
      <c r="C246" t="s">
        <v>513</v>
      </c>
      <c r="D246" s="5" t="s">
        <v>514</v>
      </c>
      <c r="E246">
        <v>5671239614656.7402</v>
      </c>
      <c r="F246">
        <v>5681863488447.1592</v>
      </c>
      <c r="G246">
        <v>5796572765879.1816</v>
      </c>
      <c r="H246">
        <v>6490136867597.5049</v>
      </c>
      <c r="I246">
        <v>7615565811852.917</v>
      </c>
      <c r="J246">
        <v>8995715621844.5625</v>
      </c>
      <c r="K246">
        <v>10593347613572.867</v>
      </c>
      <c r="L246">
        <v>13011853510452.475</v>
      </c>
      <c r="M246">
        <v>15453988213684.256</v>
      </c>
      <c r="N246">
        <v>15495760307663.889</v>
      </c>
      <c r="O246">
        <v>18849216312613.672</v>
      </c>
      <c r="P246">
        <v>22198034859579.414</v>
      </c>
      <c r="Q246">
        <v>23600257695748.379</v>
      </c>
      <c r="R246">
        <v>25060996541842.156</v>
      </c>
      <c r="S246">
        <v>26234553744932.25</v>
      </c>
      <c r="T246">
        <v>25457289049147.527</v>
      </c>
      <c r="U246">
        <v>25722739836843.34</v>
      </c>
      <c r="V246">
        <v>28123682410171.246</v>
      </c>
      <c r="W246">
        <v>29945950603040.91</v>
      </c>
      <c r="X246">
        <v>30863484502772.895</v>
      </c>
      <c r="Y246">
        <v>29882663470187.863</v>
      </c>
      <c r="Z246">
        <v>35235417682027.977</v>
      </c>
      <c r="AA246">
        <v>36965295357847.508</v>
      </c>
      <c r="AB246">
        <v>38059330027172.945</v>
      </c>
    </row>
    <row r="247" spans="1:28" x14ac:dyDescent="0.3">
      <c r="A247" t="s">
        <v>63</v>
      </c>
      <c r="B247" s="5" t="s">
        <v>64</v>
      </c>
      <c r="C247" t="s">
        <v>515</v>
      </c>
      <c r="D247" s="5" t="s">
        <v>516</v>
      </c>
      <c r="E247">
        <v>116766456835.92035</v>
      </c>
      <c r="F247">
        <v>109982758250.16748</v>
      </c>
      <c r="G247">
        <v>122332129722.92819</v>
      </c>
      <c r="H247">
        <v>136842895163.4532</v>
      </c>
      <c r="I247">
        <v>159851128459.56387</v>
      </c>
      <c r="J247">
        <v>193441903012.90906</v>
      </c>
      <c r="K247">
        <v>224500542226.20419</v>
      </c>
      <c r="L247">
        <v>271818539738.55408</v>
      </c>
      <c r="M247">
        <v>324480751168.20026</v>
      </c>
      <c r="N247">
        <v>314283743126.39587</v>
      </c>
      <c r="O247">
        <v>354666141780.16174</v>
      </c>
      <c r="P247">
        <v>384118933677.74359</v>
      </c>
      <c r="Q247">
        <v>351076378355.80444</v>
      </c>
      <c r="R247">
        <v>359280509583.96832</v>
      </c>
      <c r="S247">
        <v>378789607464.81488</v>
      </c>
      <c r="T247">
        <v>361782469708.52362</v>
      </c>
      <c r="U247">
        <v>317624904429.65387</v>
      </c>
      <c r="V247">
        <v>326806567421.38324</v>
      </c>
      <c r="W247">
        <v>341989728902.80823</v>
      </c>
      <c r="X247">
        <v>352056761148.88593</v>
      </c>
      <c r="Y247">
        <v>339434568554.00232</v>
      </c>
      <c r="Z247">
        <v>375494019860.54962</v>
      </c>
      <c r="AA247">
        <v>434268149844.66187</v>
      </c>
      <c r="AB247">
        <v>434043376409.57062</v>
      </c>
    </row>
    <row r="248" spans="1:28" x14ac:dyDescent="0.3">
      <c r="A248" t="s">
        <v>63</v>
      </c>
      <c r="B248" s="5" t="s">
        <v>64</v>
      </c>
      <c r="C248" t="s">
        <v>517</v>
      </c>
      <c r="D248" s="5" t="s">
        <v>518</v>
      </c>
      <c r="E248">
        <v>1188901754149.2673</v>
      </c>
      <c r="F248">
        <v>1200797924687.2063</v>
      </c>
      <c r="G248">
        <v>1268651516969.1636</v>
      </c>
      <c r="H248">
        <v>1440541629623.4033</v>
      </c>
      <c r="I248">
        <v>1658632867564.4797</v>
      </c>
      <c r="J248">
        <v>1911233818659.4565</v>
      </c>
      <c r="K248">
        <v>2239017341158.0928</v>
      </c>
      <c r="L248">
        <v>2739324307629.0825</v>
      </c>
      <c r="M248">
        <v>3030654277104.2793</v>
      </c>
      <c r="N248">
        <v>3161039130467.9131</v>
      </c>
      <c r="O248">
        <v>3803232283642.5879</v>
      </c>
      <c r="P248">
        <v>4244475908827.1899</v>
      </c>
      <c r="Q248">
        <v>4486071662557.5488</v>
      </c>
      <c r="R248">
        <v>4743115979872.4307</v>
      </c>
      <c r="S248">
        <v>5122618957687.6914</v>
      </c>
      <c r="T248">
        <v>5110516313268.7207</v>
      </c>
      <c r="U248">
        <v>5319173245722.5908</v>
      </c>
      <c r="V248">
        <v>5770458203695.002</v>
      </c>
      <c r="W248">
        <v>6022782110520.9785</v>
      </c>
      <c r="X248">
        <v>6527442965633.6543</v>
      </c>
      <c r="Y248">
        <v>6297797215276.7764</v>
      </c>
      <c r="Z248">
        <v>7124669005626.2988</v>
      </c>
      <c r="AA248">
        <v>7588963714927.9688</v>
      </c>
      <c r="AB248">
        <v>7684634708973.7012</v>
      </c>
    </row>
    <row r="249" spans="1:28" x14ac:dyDescent="0.3">
      <c r="A249" t="s">
        <v>63</v>
      </c>
      <c r="B249" s="5" t="s">
        <v>64</v>
      </c>
      <c r="C249" t="s">
        <v>519</v>
      </c>
      <c r="D249" s="5" t="s">
        <v>520</v>
      </c>
      <c r="E249">
        <v>1098757920690.9703</v>
      </c>
      <c r="F249">
        <v>1090545600290.8951</v>
      </c>
      <c r="G249">
        <v>1084279807640.543</v>
      </c>
      <c r="H249">
        <v>1208917725723.2632</v>
      </c>
      <c r="I249">
        <v>1425161843634.6448</v>
      </c>
      <c r="J249">
        <v>1696919964189.1987</v>
      </c>
      <c r="K249">
        <v>1984658175210.1677</v>
      </c>
      <c r="L249">
        <v>2340843268764.8379</v>
      </c>
      <c r="M249">
        <v>2889953352465.8105</v>
      </c>
      <c r="N249">
        <v>2605610958503.1772</v>
      </c>
      <c r="O249">
        <v>3041621845298.6753</v>
      </c>
      <c r="P249">
        <v>3662713826837.5381</v>
      </c>
      <c r="Q249">
        <v>3951058204949.1016</v>
      </c>
      <c r="R249">
        <v>3915741985695.4819</v>
      </c>
      <c r="S249">
        <v>3955125832586.5674</v>
      </c>
      <c r="T249">
        <v>3558416509933.6567</v>
      </c>
      <c r="U249">
        <v>3624240285092.2271</v>
      </c>
      <c r="V249">
        <v>3795353115732.6758</v>
      </c>
      <c r="W249">
        <v>4050508431278.9214</v>
      </c>
      <c r="X249">
        <v>4019889117584.4004</v>
      </c>
      <c r="Y249">
        <v>3587451756047.2275</v>
      </c>
      <c r="Z249">
        <v>4310652927209.1304</v>
      </c>
      <c r="AA249">
        <v>5030925398736.2637</v>
      </c>
      <c r="AB249">
        <v>4905729965245.3252</v>
      </c>
    </row>
    <row r="250" spans="1:28" x14ac:dyDescent="0.3">
      <c r="A250" t="s">
        <v>63</v>
      </c>
      <c r="B250" s="5" t="s">
        <v>64</v>
      </c>
      <c r="C250" t="s">
        <v>521</v>
      </c>
      <c r="D250" s="5" t="s">
        <v>522</v>
      </c>
      <c r="E250">
        <v>577555414244.49878</v>
      </c>
      <c r="F250">
        <v>580413513039.63379</v>
      </c>
      <c r="G250">
        <v>564911705200.04236</v>
      </c>
      <c r="H250">
        <v>624719536900.60718</v>
      </c>
      <c r="I250">
        <v>739740964066.94629</v>
      </c>
      <c r="J250">
        <v>857124990344.53174</v>
      </c>
      <c r="K250">
        <v>996469245693.85803</v>
      </c>
      <c r="L250">
        <v>1209996477297.7317</v>
      </c>
      <c r="M250">
        <v>1466149480564.8267</v>
      </c>
      <c r="N250">
        <v>1418668447670.5278</v>
      </c>
      <c r="O250">
        <v>1626058953369.5801</v>
      </c>
      <c r="P250">
        <v>1906060807193.3391</v>
      </c>
      <c r="Q250">
        <v>2052891275800.4075</v>
      </c>
      <c r="R250">
        <v>1930423514701.7507</v>
      </c>
      <c r="S250">
        <v>1919784977902.519</v>
      </c>
      <c r="T250">
        <v>1780659355969.2979</v>
      </c>
      <c r="U250">
        <v>1849124741125.5757</v>
      </c>
      <c r="V250">
        <v>1878260539942.5579</v>
      </c>
      <c r="W250">
        <v>1877875348076.9775</v>
      </c>
      <c r="X250">
        <v>1834354275856.4343</v>
      </c>
      <c r="Y250">
        <v>1667961526440.1885</v>
      </c>
      <c r="Z250">
        <v>1939712222007.4426</v>
      </c>
      <c r="AA250">
        <v>2160815136190.9753</v>
      </c>
      <c r="AB250">
        <v>2094668147144.9871</v>
      </c>
    </row>
    <row r="251" spans="1:28" x14ac:dyDescent="0.3">
      <c r="A251" t="s">
        <v>63</v>
      </c>
      <c r="B251" s="5" t="s">
        <v>64</v>
      </c>
      <c r="C251" t="s">
        <v>523</v>
      </c>
      <c r="D251" s="5" t="s">
        <v>524</v>
      </c>
      <c r="E251">
        <v>573241814244.49866</v>
      </c>
      <c r="F251">
        <v>576409813039.63367</v>
      </c>
      <c r="G251">
        <v>561355905200.04211</v>
      </c>
      <c r="H251">
        <v>620751536900.60706</v>
      </c>
      <c r="I251">
        <v>735137864066.94604</v>
      </c>
      <c r="J251">
        <v>851999290344.53174</v>
      </c>
      <c r="K251">
        <v>991120945693.85779</v>
      </c>
      <c r="L251">
        <v>1204180777297.7312</v>
      </c>
      <c r="M251">
        <v>1458839080564.8264</v>
      </c>
      <c r="N251">
        <v>1410582747670.5273</v>
      </c>
      <c r="O251">
        <v>1616377453369.5793</v>
      </c>
      <c r="P251">
        <v>1894874707193.3389</v>
      </c>
      <c r="Q251">
        <v>2040682875800.4072</v>
      </c>
      <c r="R251">
        <v>1916908014701.7505</v>
      </c>
      <c r="S251">
        <v>1905795277902.5193</v>
      </c>
      <c r="T251">
        <v>1766686955969.2976</v>
      </c>
      <c r="U251">
        <v>1833719341125.5754</v>
      </c>
      <c r="V251">
        <v>1862132539942.5581</v>
      </c>
      <c r="W251">
        <v>1861598748076.9775</v>
      </c>
      <c r="X251">
        <v>1817220775856.4346</v>
      </c>
      <c r="Y251">
        <v>1652429826440.1887</v>
      </c>
      <c r="Z251">
        <v>1921603222007.4426</v>
      </c>
      <c r="AA251">
        <v>2141649636190.9753</v>
      </c>
      <c r="AB251">
        <v>2076820247144.9868</v>
      </c>
    </row>
    <row r="252" spans="1:28" x14ac:dyDescent="0.3">
      <c r="A252" t="s">
        <v>63</v>
      </c>
      <c r="B252" s="5" t="s">
        <v>64</v>
      </c>
      <c r="C252" t="s">
        <v>525</v>
      </c>
      <c r="D252" s="5" t="s">
        <v>526</v>
      </c>
      <c r="E252">
        <v>5556546271414.666</v>
      </c>
      <c r="F252">
        <v>5573293851565.5781</v>
      </c>
      <c r="G252">
        <v>5676642577370.0107</v>
      </c>
      <c r="H252">
        <v>6355971327725.6777</v>
      </c>
      <c r="I252">
        <v>7458787938489.6055</v>
      </c>
      <c r="J252">
        <v>8806342066459.5508</v>
      </c>
      <c r="K252">
        <v>10373325425938.629</v>
      </c>
      <c r="L252">
        <v>12745162554495.119</v>
      </c>
      <c r="M252">
        <v>15135753455448.672</v>
      </c>
      <c r="N252">
        <v>15187183923617.207</v>
      </c>
      <c r="O252">
        <v>18500106536863.652</v>
      </c>
      <c r="P252">
        <v>21818776039542.285</v>
      </c>
      <c r="Q252">
        <v>23251473713360.332</v>
      </c>
      <c r="R252">
        <v>24703471814277.156</v>
      </c>
      <c r="S252">
        <v>25857736813684.73</v>
      </c>
      <c r="T252">
        <v>25097130636126.879</v>
      </c>
      <c r="U252">
        <v>25404351578541.465</v>
      </c>
      <c r="V252">
        <v>27795014626627.395</v>
      </c>
      <c r="W252">
        <v>29601678469854.066</v>
      </c>
      <c r="X252">
        <v>30509054766960.977</v>
      </c>
      <c r="Y252">
        <v>29540859400642.836</v>
      </c>
      <c r="Z252">
        <v>34855974285498.766</v>
      </c>
      <c r="AA252">
        <v>36528767758177.789</v>
      </c>
      <c r="AB252">
        <v>37622349618946.273</v>
      </c>
    </row>
    <row r="253" spans="1:28" x14ac:dyDescent="0.3">
      <c r="A253" t="s">
        <v>63</v>
      </c>
      <c r="B253" s="5" t="s">
        <v>64</v>
      </c>
      <c r="C253" t="s">
        <v>527</v>
      </c>
      <c r="D253" s="5" t="s">
        <v>528</v>
      </c>
      <c r="E253">
        <v>10999201631931.588</v>
      </c>
      <c r="F253">
        <v>11324592049355.371</v>
      </c>
      <c r="G253">
        <v>11693699517098.006</v>
      </c>
      <c r="H253">
        <v>12356169212634.787</v>
      </c>
      <c r="I253">
        <v>13248368139278.248</v>
      </c>
      <c r="J253">
        <v>14217175927778.676</v>
      </c>
      <c r="K253">
        <v>15140995757590.975</v>
      </c>
      <c r="L253">
        <v>15949814312783.262</v>
      </c>
      <c r="M253">
        <v>16329827601721.652</v>
      </c>
      <c r="N253">
        <v>15859346076157.293</v>
      </c>
      <c r="O253">
        <v>16672942337486.258</v>
      </c>
      <c r="P253">
        <v>17399367444174.52</v>
      </c>
      <c r="Q253">
        <v>18088716899521.594</v>
      </c>
      <c r="R253">
        <v>18696254170834.984</v>
      </c>
      <c r="S253">
        <v>19362844040439.938</v>
      </c>
      <c r="T253">
        <v>19769184098217.141</v>
      </c>
      <c r="U253">
        <v>20230005494907.426</v>
      </c>
      <c r="V253">
        <v>21133744509244.094</v>
      </c>
      <c r="W253">
        <v>22265612481783.023</v>
      </c>
      <c r="X253">
        <v>23132124767672.52</v>
      </c>
      <c r="Y253">
        <v>22723045707000.195</v>
      </c>
      <c r="Z253">
        <v>25344749345423.234</v>
      </c>
      <c r="AA253">
        <v>27803134368745.32</v>
      </c>
      <c r="AB253">
        <v>29474089705278.73</v>
      </c>
    </row>
    <row r="254" spans="1:28" x14ac:dyDescent="0.3">
      <c r="A254" t="s">
        <v>63</v>
      </c>
      <c r="B254" s="5" t="s">
        <v>64</v>
      </c>
      <c r="C254" t="s">
        <v>529</v>
      </c>
      <c r="D254" s="5" t="s">
        <v>530</v>
      </c>
      <c r="E254" t="s">
        <v>73</v>
      </c>
      <c r="F254" t="s">
        <v>73</v>
      </c>
      <c r="G254" t="s">
        <v>73</v>
      </c>
      <c r="H254" t="s">
        <v>73</v>
      </c>
      <c r="I254" t="s">
        <v>73</v>
      </c>
      <c r="J254" t="s">
        <v>73</v>
      </c>
      <c r="K254" t="s">
        <v>73</v>
      </c>
      <c r="L254" t="s">
        <v>73</v>
      </c>
      <c r="M254" t="s">
        <v>73</v>
      </c>
      <c r="N254" t="s">
        <v>73</v>
      </c>
      <c r="O254" t="s">
        <v>73</v>
      </c>
      <c r="P254" t="s">
        <v>73</v>
      </c>
      <c r="Q254" t="s">
        <v>73</v>
      </c>
      <c r="R254" t="s">
        <v>73</v>
      </c>
      <c r="S254" t="s">
        <v>73</v>
      </c>
      <c r="T254" t="s">
        <v>73</v>
      </c>
      <c r="U254" t="s">
        <v>73</v>
      </c>
      <c r="V254" t="s">
        <v>73</v>
      </c>
      <c r="W254" t="s">
        <v>73</v>
      </c>
      <c r="X254" t="s">
        <v>73</v>
      </c>
      <c r="Y254" t="s">
        <v>73</v>
      </c>
      <c r="Z254" t="s">
        <v>73</v>
      </c>
      <c r="AA254" t="s">
        <v>73</v>
      </c>
      <c r="AB254" t="s">
        <v>73</v>
      </c>
    </row>
    <row r="255" spans="1:28" x14ac:dyDescent="0.3">
      <c r="A255" t="s">
        <v>63</v>
      </c>
      <c r="B255" s="5" t="s">
        <v>64</v>
      </c>
      <c r="C255" t="s">
        <v>531</v>
      </c>
      <c r="D255" s="5" t="s">
        <v>532</v>
      </c>
      <c r="E255">
        <v>27710878931912.773</v>
      </c>
      <c r="F255">
        <v>27457252150821.98</v>
      </c>
      <c r="G255">
        <v>28647750264306.813</v>
      </c>
      <c r="H255">
        <v>32044541404358.742</v>
      </c>
      <c r="I255">
        <v>35679871689452.828</v>
      </c>
      <c r="J255">
        <v>37741346324531.82</v>
      </c>
      <c r="K255">
        <v>39831449904961.391</v>
      </c>
      <c r="L255">
        <v>43614701103479.766</v>
      </c>
      <c r="M255">
        <v>46310285113488.406</v>
      </c>
      <c r="N255">
        <v>43330741173451.477</v>
      </c>
      <c r="O255">
        <v>45454235949425.102</v>
      </c>
      <c r="P255">
        <v>48907463676194.156</v>
      </c>
      <c r="Q255">
        <v>48848423144456.102</v>
      </c>
      <c r="R255">
        <v>49513745558643.539</v>
      </c>
      <c r="S255">
        <v>50544319752323.141</v>
      </c>
      <c r="T255">
        <v>47647221796959.086</v>
      </c>
      <c r="U255">
        <v>48552474323847.695</v>
      </c>
      <c r="V255">
        <v>50696690374014.289</v>
      </c>
      <c r="W255">
        <v>53652083661572.93</v>
      </c>
      <c r="X255">
        <v>54168727321921.992</v>
      </c>
      <c r="Y255">
        <v>52851603026620.391</v>
      </c>
      <c r="Z255">
        <v>59024824389525.57</v>
      </c>
      <c r="AA255">
        <v>60588200976081.297</v>
      </c>
      <c r="AB255">
        <v>64648892594414.359</v>
      </c>
    </row>
    <row r="256" spans="1:28" x14ac:dyDescent="0.3">
      <c r="A256" t="s">
        <v>63</v>
      </c>
      <c r="B256" s="5" t="s">
        <v>64</v>
      </c>
      <c r="C256" t="s">
        <v>533</v>
      </c>
      <c r="D256" s="5" t="s">
        <v>534</v>
      </c>
      <c r="E256">
        <v>47447997552.70015</v>
      </c>
      <c r="F256">
        <v>47626338324.032959</v>
      </c>
      <c r="G256">
        <v>52120882271.41433</v>
      </c>
      <c r="H256">
        <v>64819023763.204483</v>
      </c>
      <c r="I256">
        <v>76946971607.894211</v>
      </c>
      <c r="J256">
        <v>86284116802.335312</v>
      </c>
      <c r="K256">
        <v>95906051121.504868</v>
      </c>
      <c r="L256">
        <v>115441290811.04039</v>
      </c>
      <c r="M256">
        <v>125084843511.0233</v>
      </c>
      <c r="N256">
        <v>107800935552.03546</v>
      </c>
      <c r="O256">
        <v>112786676665.28468</v>
      </c>
      <c r="P256">
        <v>128764134519.08794</v>
      </c>
      <c r="Q256">
        <v>125761130889.03816</v>
      </c>
      <c r="R256">
        <v>130969039548.28386</v>
      </c>
      <c r="S256">
        <v>135415545370.94943</v>
      </c>
      <c r="T256">
        <v>121433707011.6915</v>
      </c>
      <c r="U256">
        <v>128159325016.12228</v>
      </c>
      <c r="V256">
        <v>143284613956.47443</v>
      </c>
      <c r="W256">
        <v>158073876709.7305</v>
      </c>
      <c r="X256">
        <v>158530142448.21613</v>
      </c>
      <c r="Y256">
        <v>146157676838.952</v>
      </c>
      <c r="Z256">
        <v>172038213758.24246</v>
      </c>
      <c r="AA256">
        <v>181859538439.06125</v>
      </c>
      <c r="AB256">
        <v>196615944595.18011</v>
      </c>
    </row>
    <row r="257" spans="1:28" x14ac:dyDescent="0.3">
      <c r="A257" t="s">
        <v>63</v>
      </c>
      <c r="B257" s="5" t="s">
        <v>64</v>
      </c>
      <c r="C257" t="s">
        <v>535</v>
      </c>
      <c r="D257" s="5" t="s">
        <v>536</v>
      </c>
      <c r="E257">
        <v>3444510978.4574504</v>
      </c>
      <c r="F257">
        <v>3387243161.8564701</v>
      </c>
      <c r="G257">
        <v>3551511825.2284827</v>
      </c>
      <c r="H257">
        <v>4235417103.8912454</v>
      </c>
      <c r="I257">
        <v>4871855227.6674604</v>
      </c>
      <c r="J257">
        <v>5408552591.61551</v>
      </c>
      <c r="K257">
        <v>5676286530.7655458</v>
      </c>
      <c r="L257">
        <v>6254737579.627552</v>
      </c>
      <c r="M257">
        <v>6698070453.1824045</v>
      </c>
      <c r="N257">
        <v>6037139996.7703323</v>
      </c>
      <c r="O257">
        <v>6641384396.1726494</v>
      </c>
      <c r="P257">
        <v>7750253720.1944103</v>
      </c>
      <c r="Q257">
        <v>8215475282.9657717</v>
      </c>
      <c r="R257">
        <v>8541905877.8134937</v>
      </c>
      <c r="S257">
        <v>9287744622.4868832</v>
      </c>
      <c r="T257">
        <v>9105865614.9031849</v>
      </c>
      <c r="U257">
        <v>9556119494.3846931</v>
      </c>
      <c r="V257">
        <v>10290493043.468754</v>
      </c>
      <c r="W257">
        <v>10796141328.233635</v>
      </c>
      <c r="X257">
        <v>10624838178.126326</v>
      </c>
      <c r="Y257">
        <v>9323221713.121191</v>
      </c>
      <c r="Z257">
        <v>9453908127.9322033</v>
      </c>
      <c r="AA257">
        <v>10350119919.825567</v>
      </c>
      <c r="AB257">
        <v>11224282183.208538</v>
      </c>
    </row>
    <row r="258" spans="1:28" x14ac:dyDescent="0.3">
      <c r="A258" t="s">
        <v>63</v>
      </c>
      <c r="B258" s="5" t="s">
        <v>64</v>
      </c>
      <c r="C258" t="s">
        <v>537</v>
      </c>
      <c r="D258" s="5" t="s">
        <v>538</v>
      </c>
      <c r="E258">
        <v>26438505722462.016</v>
      </c>
      <c r="F258">
        <v>26184037125663.582</v>
      </c>
      <c r="G258">
        <v>27313364825215.246</v>
      </c>
      <c r="H258">
        <v>30628727069752.918</v>
      </c>
      <c r="I258">
        <v>34039699724658.121</v>
      </c>
      <c r="J258">
        <v>35832108742171.063</v>
      </c>
      <c r="K258">
        <v>37714121018548.227</v>
      </c>
      <c r="L258">
        <v>41169440746383.281</v>
      </c>
      <c r="M258">
        <v>43606905463177.539</v>
      </c>
      <c r="N258">
        <v>41066034459934.164</v>
      </c>
      <c r="O258">
        <v>42835110366846.477</v>
      </c>
      <c r="P258">
        <v>46024007727818.289</v>
      </c>
      <c r="Q258">
        <v>45942497522572.961</v>
      </c>
      <c r="R258">
        <v>46413780180350.586</v>
      </c>
      <c r="S258">
        <v>47352271526907.383</v>
      </c>
      <c r="T258">
        <v>44767511150189.719</v>
      </c>
      <c r="U258">
        <v>45775578499373.828</v>
      </c>
      <c r="V258">
        <v>47734461117479.633</v>
      </c>
      <c r="W258">
        <v>50607464286251.164</v>
      </c>
      <c r="X258">
        <v>51107356012296.711</v>
      </c>
      <c r="Y258">
        <v>49979090891717.766</v>
      </c>
      <c r="Z258">
        <v>55667487544829.43</v>
      </c>
      <c r="AA258">
        <v>56953387691844.57</v>
      </c>
      <c r="AB258">
        <v>60342185357196.258</v>
      </c>
    </row>
    <row r="259" spans="1:28" x14ac:dyDescent="0.3">
      <c r="A259" t="s">
        <v>63</v>
      </c>
      <c r="B259" s="5" t="s">
        <v>64</v>
      </c>
      <c r="C259" t="s">
        <v>539</v>
      </c>
      <c r="D259" s="5" t="s">
        <v>540</v>
      </c>
      <c r="E259">
        <v>283217741794.77509</v>
      </c>
      <c r="F259">
        <v>269595630716.12793</v>
      </c>
      <c r="G259">
        <v>312135025038.7984</v>
      </c>
      <c r="H259">
        <v>340468658786.45966</v>
      </c>
      <c r="I259">
        <v>424234077207.75787</v>
      </c>
      <c r="J259">
        <v>531122307123.82574</v>
      </c>
      <c r="K259">
        <v>668501035363.55591</v>
      </c>
      <c r="L259">
        <v>808147234929.2406</v>
      </c>
      <c r="M259">
        <v>1008759607190.0892</v>
      </c>
      <c r="N259">
        <v>914568494564.06409</v>
      </c>
      <c r="O259">
        <v>1069026110406.584</v>
      </c>
      <c r="P259">
        <v>1236913791144.9185</v>
      </c>
      <c r="Q259">
        <v>1346198740218.3625</v>
      </c>
      <c r="R259">
        <v>1476563371928.8652</v>
      </c>
      <c r="S259">
        <v>1564245572947.5081</v>
      </c>
      <c r="T259">
        <v>1327634282632.0452</v>
      </c>
      <c r="U259">
        <v>1178803226989.3032</v>
      </c>
      <c r="V259">
        <v>1232604777297.1035</v>
      </c>
      <c r="W259">
        <v>1372023278046.3848</v>
      </c>
      <c r="X259">
        <v>1634625884352.8298</v>
      </c>
      <c r="Y259">
        <v>1494279104787.4658</v>
      </c>
      <c r="Z259">
        <v>1633932588860.8594</v>
      </c>
      <c r="AA259">
        <v>1860790512304.2297</v>
      </c>
      <c r="AB259">
        <v>1680243373294.0835</v>
      </c>
    </row>
    <row r="260" spans="1:28" x14ac:dyDescent="0.3">
      <c r="A260" t="s">
        <v>63</v>
      </c>
      <c r="B260" s="5" t="s">
        <v>64</v>
      </c>
      <c r="C260" t="s">
        <v>541</v>
      </c>
      <c r="D260" s="5" t="s">
        <v>542</v>
      </c>
      <c r="E260">
        <v>76518051457.603165</v>
      </c>
      <c r="F260">
        <v>77518242612.048508</v>
      </c>
      <c r="G260">
        <v>83414441022.086288</v>
      </c>
      <c r="H260">
        <v>99643830272.992493</v>
      </c>
      <c r="I260">
        <v>115416643927.91145</v>
      </c>
      <c r="J260">
        <v>129916963352.67888</v>
      </c>
      <c r="K260">
        <v>145908217635.49261</v>
      </c>
      <c r="L260">
        <v>171435251383.78278</v>
      </c>
      <c r="M260">
        <v>189079229226.13614</v>
      </c>
      <c r="N260">
        <v>161751590927.92123</v>
      </c>
      <c r="O260">
        <v>172475687383.48462</v>
      </c>
      <c r="P260">
        <v>193342538945.3812</v>
      </c>
      <c r="Q260">
        <v>194403769997.08795</v>
      </c>
      <c r="R260">
        <v>201575895178.58597</v>
      </c>
      <c r="S260">
        <v>208778333966.54001</v>
      </c>
      <c r="T260">
        <v>193084726298.62314</v>
      </c>
      <c r="U260">
        <v>195788612860.01752</v>
      </c>
      <c r="V260">
        <v>213265208434.2919</v>
      </c>
      <c r="W260">
        <v>230122099257.83133</v>
      </c>
      <c r="X260">
        <v>231340439109.04868</v>
      </c>
      <c r="Y260">
        <v>208801767982.77905</v>
      </c>
      <c r="Z260">
        <v>244179271151.62164</v>
      </c>
      <c r="AA260">
        <v>270716089069.61771</v>
      </c>
      <c r="AB260">
        <v>287374900231.33264</v>
      </c>
    </row>
    <row r="261" spans="1:28" x14ac:dyDescent="0.3">
      <c r="A261" t="s">
        <v>63</v>
      </c>
      <c r="B261" s="5" t="s">
        <v>64</v>
      </c>
      <c r="C261" t="s">
        <v>543</v>
      </c>
      <c r="D261" s="5" t="s">
        <v>544</v>
      </c>
      <c r="E261">
        <v>544940514563.35693</v>
      </c>
      <c r="F261">
        <v>562554379798.0199</v>
      </c>
      <c r="G261">
        <v>593707009776.72144</v>
      </c>
      <c r="H261">
        <v>694775911444.33105</v>
      </c>
      <c r="I261">
        <v>804159915389.76379</v>
      </c>
      <c r="J261">
        <v>924419567611.27173</v>
      </c>
      <c r="K261">
        <v>1051884831127.4458</v>
      </c>
      <c r="L261">
        <v>1342148092012.2576</v>
      </c>
      <c r="M261">
        <v>1347380565219.4006</v>
      </c>
      <c r="N261">
        <v>1502961023415.752</v>
      </c>
      <c r="O261">
        <v>1869826822189.7798</v>
      </c>
      <c r="P261">
        <v>2045738549420.9609</v>
      </c>
      <c r="Q261">
        <v>2057958207279.9766</v>
      </c>
      <c r="R261">
        <v>2111097579998.967</v>
      </c>
      <c r="S261">
        <v>2323062261530.7988</v>
      </c>
      <c r="T261">
        <v>2414503392484.3779</v>
      </c>
      <c r="U261">
        <v>2679313169377.9634</v>
      </c>
      <c r="V261">
        <v>3075955432871.7256</v>
      </c>
      <c r="W261">
        <v>3159841615195.0679</v>
      </c>
      <c r="X261">
        <v>3318484576527.3286</v>
      </c>
      <c r="Y261">
        <v>3172770463749.4912</v>
      </c>
      <c r="Z261">
        <v>3717045071833.1099</v>
      </c>
      <c r="AA261">
        <v>3930640287773.4561</v>
      </c>
      <c r="AB261">
        <v>4210302249458.6499</v>
      </c>
    </row>
    <row r="262" spans="1:28" x14ac:dyDescent="0.3">
      <c r="A262" t="s">
        <v>63</v>
      </c>
      <c r="B262" s="5" t="s">
        <v>64</v>
      </c>
      <c r="C262" t="s">
        <v>545</v>
      </c>
      <c r="D262" s="5" t="s">
        <v>546</v>
      </c>
      <c r="E262">
        <v>544940514563.35693</v>
      </c>
      <c r="F262">
        <v>562554379798.0199</v>
      </c>
      <c r="G262">
        <v>593707009776.72144</v>
      </c>
      <c r="H262">
        <v>694775911444.33105</v>
      </c>
      <c r="I262">
        <v>804159915389.76379</v>
      </c>
      <c r="J262">
        <v>924419567611.27173</v>
      </c>
      <c r="K262">
        <v>1051884831127.4458</v>
      </c>
      <c r="L262">
        <v>1342148092012.2576</v>
      </c>
      <c r="M262">
        <v>1347380565219.4006</v>
      </c>
      <c r="N262">
        <v>1502961023415.752</v>
      </c>
      <c r="O262">
        <v>1869826822189.7798</v>
      </c>
      <c r="P262">
        <v>2045738549420.9609</v>
      </c>
      <c r="Q262">
        <v>2057958207279.9766</v>
      </c>
      <c r="R262">
        <v>2111097579998.967</v>
      </c>
      <c r="S262">
        <v>2323062261530.7988</v>
      </c>
      <c r="T262">
        <v>2414503392484.3779</v>
      </c>
      <c r="U262">
        <v>2679313169377.9634</v>
      </c>
      <c r="V262">
        <v>3075955432871.7256</v>
      </c>
      <c r="W262">
        <v>3159841615195.0679</v>
      </c>
      <c r="X262">
        <v>3318484576527.3286</v>
      </c>
      <c r="Y262">
        <v>3172770463749.4912</v>
      </c>
      <c r="Z262">
        <v>3717045071833.1099</v>
      </c>
      <c r="AA262">
        <v>3930640287773.4561</v>
      </c>
      <c r="AB262">
        <v>4210302249458.6499</v>
      </c>
    </row>
    <row r="263" spans="1:28" x14ac:dyDescent="0.3">
      <c r="A263" t="s">
        <v>63</v>
      </c>
      <c r="B263" s="5" t="s">
        <v>64</v>
      </c>
      <c r="C263" t="s">
        <v>547</v>
      </c>
      <c r="D263" s="5" t="s">
        <v>548</v>
      </c>
      <c r="E263">
        <v>428788505804.80212</v>
      </c>
      <c r="F263">
        <v>410936270042.77997</v>
      </c>
      <c r="G263">
        <v>449500894158.76691</v>
      </c>
      <c r="H263">
        <v>565919936760.31775</v>
      </c>
      <c r="I263">
        <v>702843204651.6593</v>
      </c>
      <c r="J263">
        <v>836993712579.3772</v>
      </c>
      <c r="K263">
        <v>988873289522.05908</v>
      </c>
      <c r="L263">
        <v>1145239979455.7417</v>
      </c>
      <c r="M263">
        <v>1301030210080.8503</v>
      </c>
      <c r="N263">
        <v>1241958752180.262</v>
      </c>
      <c r="O263">
        <v>1469616438039.8374</v>
      </c>
      <c r="P263">
        <v>1650955876097.1882</v>
      </c>
      <c r="Q263">
        <v>1717295733292.8286</v>
      </c>
      <c r="R263">
        <v>1825489288568.2629</v>
      </c>
      <c r="S263">
        <v>1902908083279.3809</v>
      </c>
      <c r="T263">
        <v>1688024093175.4858</v>
      </c>
      <c r="U263">
        <v>1531896244777.6746</v>
      </c>
      <c r="V263">
        <v>1672127811803.6858</v>
      </c>
      <c r="W263">
        <v>1798796101321.4785</v>
      </c>
      <c r="X263">
        <v>2045711007848.144</v>
      </c>
      <c r="Y263">
        <v>1902392262699.0627</v>
      </c>
      <c r="Z263">
        <v>2140795804039.9983</v>
      </c>
      <c r="AA263">
        <v>2292617010267.0005</v>
      </c>
      <c r="AB263">
        <v>2117597425394.645</v>
      </c>
    </row>
    <row r="264" spans="1:28" x14ac:dyDescent="0.3">
      <c r="A264" t="s">
        <v>63</v>
      </c>
      <c r="B264" s="5" t="s">
        <v>64</v>
      </c>
      <c r="C264" t="s">
        <v>549</v>
      </c>
      <c r="D264" s="5" t="s">
        <v>550</v>
      </c>
      <c r="E264">
        <v>419895964737.48328</v>
      </c>
      <c r="F264">
        <v>402042476808.83966</v>
      </c>
      <c r="G264">
        <v>440920665484.3324</v>
      </c>
      <c r="H264">
        <v>556578144172.59277</v>
      </c>
      <c r="I264">
        <v>691866842946.74695</v>
      </c>
      <c r="J264">
        <v>823668736698.48889</v>
      </c>
      <c r="K264">
        <v>972568420377.40637</v>
      </c>
      <c r="L264">
        <v>1124500296270.5093</v>
      </c>
      <c r="M264">
        <v>1272983700051.3335</v>
      </c>
      <c r="N264">
        <v>1208670461443.7905</v>
      </c>
      <c r="O264">
        <v>1438701031163.1672</v>
      </c>
      <c r="P264">
        <v>1617944194300.5977</v>
      </c>
      <c r="Q264">
        <v>1672895604039.5493</v>
      </c>
      <c r="R264">
        <v>1776507851555.8657</v>
      </c>
      <c r="S264">
        <v>1845908277175.7817</v>
      </c>
      <c r="T264">
        <v>1624488271641.5383</v>
      </c>
      <c r="U264">
        <v>1461851860219.9231</v>
      </c>
      <c r="V264">
        <v>1594086359396.0046</v>
      </c>
      <c r="W264">
        <v>1713673886322.7402</v>
      </c>
      <c r="X264">
        <v>1952007800638.7808</v>
      </c>
      <c r="Y264">
        <v>1802332899886.0894</v>
      </c>
      <c r="Z264">
        <v>2030237669873.3328</v>
      </c>
      <c r="AA264">
        <v>2167458359012.2625</v>
      </c>
      <c r="AB264">
        <v>1979535952437.4905</v>
      </c>
    </row>
    <row r="265" spans="1:28" x14ac:dyDescent="0.3">
      <c r="A265" t="s">
        <v>63</v>
      </c>
      <c r="B265" s="5" t="s">
        <v>64</v>
      </c>
      <c r="C265" t="s">
        <v>551</v>
      </c>
      <c r="D265" s="5" t="s">
        <v>552</v>
      </c>
      <c r="E265">
        <v>428788505804.80219</v>
      </c>
      <c r="F265">
        <v>410936270042.77997</v>
      </c>
      <c r="G265">
        <v>449500894158.76715</v>
      </c>
      <c r="H265">
        <v>565919936760.31787</v>
      </c>
      <c r="I265">
        <v>702843204651.65955</v>
      </c>
      <c r="J265">
        <v>836993712579.37744</v>
      </c>
      <c r="K265">
        <v>988873289522.05945</v>
      </c>
      <c r="L265">
        <v>1145239979455.7419</v>
      </c>
      <c r="M265">
        <v>1301030210080.8501</v>
      </c>
      <c r="N265">
        <v>1241958752180.2622</v>
      </c>
      <c r="O265">
        <v>1469616438039.8372</v>
      </c>
      <c r="P265">
        <v>1650955876097.1887</v>
      </c>
      <c r="Q265">
        <v>1717295733292.8284</v>
      </c>
      <c r="R265">
        <v>1825489288568.2634</v>
      </c>
      <c r="S265">
        <v>1902908083279.3806</v>
      </c>
      <c r="T265">
        <v>1688024093175.4858</v>
      </c>
      <c r="U265">
        <v>1531896244777.6748</v>
      </c>
      <c r="V265">
        <v>1672127811803.6855</v>
      </c>
      <c r="W265">
        <v>1798796101321.4778</v>
      </c>
      <c r="X265">
        <v>2045711007848.1436</v>
      </c>
      <c r="Y265">
        <v>1902392262699.0623</v>
      </c>
      <c r="Z265">
        <v>2140795804039.9973</v>
      </c>
      <c r="AA265">
        <v>2292617010267.0005</v>
      </c>
      <c r="AB265">
        <v>2117597425394.6443</v>
      </c>
    </row>
    <row r="266" spans="1:28" x14ac:dyDescent="0.3">
      <c r="A266" t="s">
        <v>63</v>
      </c>
      <c r="B266" s="5" t="s">
        <v>64</v>
      </c>
      <c r="C266" t="s">
        <v>553</v>
      </c>
      <c r="D266" s="5" t="s">
        <v>554</v>
      </c>
      <c r="E266">
        <v>4367611839180.1235</v>
      </c>
      <c r="F266">
        <v>4372459590357.5703</v>
      </c>
      <c r="G266">
        <v>4407934527692.6191</v>
      </c>
      <c r="H266">
        <v>4915357805340.9033</v>
      </c>
      <c r="I266">
        <v>5800084346153.3848</v>
      </c>
      <c r="J266">
        <v>6895044898247.1523</v>
      </c>
      <c r="K266">
        <v>8134238729409.1426</v>
      </c>
      <c r="L266">
        <v>10005758018034.055</v>
      </c>
      <c r="M266">
        <v>12105099178344.395</v>
      </c>
      <c r="N266">
        <v>12026144793149.297</v>
      </c>
      <c r="O266">
        <v>14696874253221.059</v>
      </c>
      <c r="P266">
        <v>17574300130715.102</v>
      </c>
      <c r="Q266">
        <v>18765402050802.789</v>
      </c>
      <c r="R266">
        <v>19960355834404.723</v>
      </c>
      <c r="S266">
        <v>20735117855997.031</v>
      </c>
      <c r="T266">
        <v>19986614322858.164</v>
      </c>
      <c r="U266">
        <v>20085178332818.887</v>
      </c>
      <c r="V266">
        <v>22024556422932.395</v>
      </c>
      <c r="W266">
        <v>23578896359333.086</v>
      </c>
      <c r="X266">
        <v>23981611801327.316</v>
      </c>
      <c r="Y266">
        <v>23243062185366.055</v>
      </c>
      <c r="Z266">
        <v>27732726329893.574</v>
      </c>
      <c r="AA266">
        <v>28940725480186.07</v>
      </c>
      <c r="AB266">
        <v>29939274216922.277</v>
      </c>
    </row>
    <row r="267" spans="1:28" x14ac:dyDescent="0.3">
      <c r="A267" t="s">
        <v>63</v>
      </c>
      <c r="B267" s="5" t="s">
        <v>64</v>
      </c>
      <c r="C267" t="s">
        <v>555</v>
      </c>
      <c r="D267" s="5" t="s">
        <v>556</v>
      </c>
      <c r="E267">
        <v>33898156427205.867</v>
      </c>
      <c r="F267">
        <v>33690417699612.723</v>
      </c>
      <c r="G267">
        <v>34991525564916.926</v>
      </c>
      <c r="H267">
        <v>39243276986261.945</v>
      </c>
      <c r="I267">
        <v>44225384449869.813</v>
      </c>
      <c r="J267">
        <v>47900489808168.852</v>
      </c>
      <c r="K267">
        <v>51923507284495.977</v>
      </c>
      <c r="L267">
        <v>58525785801185.789</v>
      </c>
      <c r="M267">
        <v>64311729364641.344</v>
      </c>
      <c r="N267">
        <v>60982255960004.414</v>
      </c>
      <c r="O267">
        <v>66811191491614.945</v>
      </c>
      <c r="P267">
        <v>74309709353789.188</v>
      </c>
      <c r="Q267">
        <v>75960594595757.016</v>
      </c>
      <c r="R267">
        <v>78034892841179.172</v>
      </c>
      <c r="S267">
        <v>80054888775431.141</v>
      </c>
      <c r="T267">
        <v>75621913961646.156</v>
      </c>
      <c r="U267">
        <v>76831684012526.219</v>
      </c>
      <c r="V267">
        <v>81839102917044.688</v>
      </c>
      <c r="W267">
        <v>87050964956078.406</v>
      </c>
      <c r="X267">
        <v>88483262418196.609</v>
      </c>
      <c r="Y267">
        <v>85912761035231.219</v>
      </c>
      <c r="Z267">
        <v>98140475264975.859</v>
      </c>
      <c r="AA267">
        <v>102251524725531.31</v>
      </c>
      <c r="AB267">
        <v>106741647821064.11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7623-416A-4D9F-8E37-41AA7C87C271}">
  <dimension ref="A1:AD267"/>
  <sheetViews>
    <sheetView workbookViewId="0">
      <selection activeCell="C8" sqref="C8"/>
    </sheetView>
  </sheetViews>
  <sheetFormatPr defaultRowHeight="14.4" x14ac:dyDescent="0.3"/>
  <cols>
    <col min="1" max="1" width="48.88671875" bestFit="1" customWidth="1"/>
    <col min="2" max="2" width="26.88671875" bestFit="1" customWidth="1"/>
    <col min="3" max="3" width="60.109375" bestFit="1" customWidth="1"/>
  </cols>
  <sheetData>
    <row r="1" spans="1:30" x14ac:dyDescent="0.3">
      <c r="A1" t="s">
        <v>59</v>
      </c>
      <c r="B1" s="5" t="s">
        <v>60</v>
      </c>
      <c r="C1" t="s">
        <v>61</v>
      </c>
      <c r="D1" s="5" t="s">
        <v>62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</row>
    <row r="2" spans="1:30" x14ac:dyDescent="0.3">
      <c r="A2" s="13" t="s">
        <v>569</v>
      </c>
      <c r="B2" s="14" t="s">
        <v>570</v>
      </c>
      <c r="C2" t="s">
        <v>65</v>
      </c>
      <c r="D2" s="5" t="s">
        <v>66</v>
      </c>
      <c r="E2" s="12">
        <v>9.5434999999999999</v>
      </c>
      <c r="F2" s="12">
        <v>8.0120000000000005</v>
      </c>
      <c r="G2" s="12">
        <v>10.164099999999999</v>
      </c>
      <c r="H2" s="12">
        <v>10.508100000000001</v>
      </c>
      <c r="I2" s="12">
        <v>10.6837</v>
      </c>
      <c r="J2" s="12">
        <v>10.2225</v>
      </c>
      <c r="K2" s="12">
        <v>10.241099999999999</v>
      </c>
      <c r="L2" s="12">
        <v>10.5647</v>
      </c>
      <c r="M2" s="12">
        <v>11.6608</v>
      </c>
      <c r="N2" s="12">
        <v>12.045500000000001</v>
      </c>
      <c r="O2" s="12">
        <v>13.6515</v>
      </c>
      <c r="P2" s="12">
        <v>13.586399999999999</v>
      </c>
      <c r="Q2" s="12">
        <v>13.1225</v>
      </c>
      <c r="R2" s="12">
        <v>12.8916</v>
      </c>
      <c r="S2" s="12">
        <v>13.246499999999999</v>
      </c>
      <c r="T2" s="12">
        <v>12.469200000000001</v>
      </c>
      <c r="U2" s="12">
        <v>11.9603</v>
      </c>
      <c r="V2" s="12">
        <v>11.581899999999999</v>
      </c>
      <c r="W2" s="12">
        <v>11.886699999999999</v>
      </c>
      <c r="X2" s="12">
        <v>12.053000000000001</v>
      </c>
      <c r="Y2" s="12">
        <v>12.3271</v>
      </c>
      <c r="Z2" s="12">
        <v>12.3193</v>
      </c>
      <c r="AA2" s="12">
        <v>12.382400000000001</v>
      </c>
      <c r="AB2" s="12">
        <v>12.3887</v>
      </c>
      <c r="AC2" s="12">
        <v>12.4833</v>
      </c>
      <c r="AD2" s="12" t="s">
        <v>73</v>
      </c>
    </row>
    <row r="3" spans="1:30" x14ac:dyDescent="0.3">
      <c r="A3" s="13" t="s">
        <v>569</v>
      </c>
      <c r="B3" s="14" t="s">
        <v>571</v>
      </c>
      <c r="C3" t="s">
        <v>67</v>
      </c>
      <c r="D3" s="5" t="s">
        <v>68</v>
      </c>
      <c r="E3" s="12">
        <v>2.3927999999999998</v>
      </c>
      <c r="F3" s="12">
        <v>2.3544999999999998</v>
      </c>
      <c r="G3" s="12">
        <v>2.3090999999999999</v>
      </c>
      <c r="H3" s="12">
        <v>2.3410000000000002</v>
      </c>
      <c r="I3" s="12">
        <v>2.2458</v>
      </c>
      <c r="J3" s="12">
        <v>2.2002000000000002</v>
      </c>
      <c r="K3" s="12">
        <v>2.1779000000000002</v>
      </c>
      <c r="L3" s="12">
        <v>2.0644</v>
      </c>
      <c r="M3" s="12">
        <v>1.9492</v>
      </c>
      <c r="N3" s="12">
        <v>1.8525</v>
      </c>
      <c r="O3" s="12">
        <v>1.8668</v>
      </c>
      <c r="P3" s="12">
        <v>1.8729</v>
      </c>
      <c r="Q3" s="12">
        <v>1.9231</v>
      </c>
      <c r="R3" s="12">
        <v>1.9662999999999999</v>
      </c>
      <c r="S3" s="12">
        <v>2.0053000000000001</v>
      </c>
      <c r="T3" s="12">
        <v>2.0165000000000002</v>
      </c>
      <c r="U3" s="12">
        <v>2.0009000000000001</v>
      </c>
      <c r="V3" s="12">
        <v>1.9533</v>
      </c>
      <c r="W3" s="12">
        <v>1.9101999999999999</v>
      </c>
      <c r="X3" s="12">
        <v>1.7559</v>
      </c>
      <c r="Y3" s="12">
        <v>1.5737000000000001</v>
      </c>
      <c r="Z3" s="12">
        <v>1.4786999999999999</v>
      </c>
      <c r="AA3" s="12">
        <v>1.35</v>
      </c>
      <c r="AB3" s="12">
        <v>1.2101999999999999</v>
      </c>
      <c r="AC3" s="12">
        <v>1.0701000000000001</v>
      </c>
      <c r="AD3" s="12" t="s">
        <v>73</v>
      </c>
    </row>
    <row r="4" spans="1:30" x14ac:dyDescent="0.3">
      <c r="A4" s="13" t="s">
        <v>569</v>
      </c>
      <c r="B4" s="14" t="s">
        <v>572</v>
      </c>
      <c r="C4" t="s">
        <v>69</v>
      </c>
      <c r="D4" s="5" t="s">
        <v>70</v>
      </c>
      <c r="E4" s="12">
        <v>5.6224999999999996</v>
      </c>
      <c r="F4" s="12">
        <v>5.6497000000000002</v>
      </c>
      <c r="G4" s="12">
        <v>5.4882999999999997</v>
      </c>
      <c r="H4" s="12">
        <v>5.6300999999999997</v>
      </c>
      <c r="I4" s="12">
        <v>5.8711000000000002</v>
      </c>
      <c r="J4" s="12">
        <v>5.9283000000000001</v>
      </c>
      <c r="K4" s="12">
        <v>6.1188000000000002</v>
      </c>
      <c r="L4" s="12">
        <v>6.1982999999999997</v>
      </c>
      <c r="M4" s="12">
        <v>6.1632999999999996</v>
      </c>
      <c r="N4" s="12">
        <v>6.4622000000000002</v>
      </c>
      <c r="O4" s="12">
        <v>6.8783000000000003</v>
      </c>
      <c r="P4" s="12">
        <v>7.2389999999999999</v>
      </c>
      <c r="Q4" s="12">
        <v>7.5631000000000004</v>
      </c>
      <c r="R4" s="12">
        <v>7.8727999999999998</v>
      </c>
      <c r="S4" s="12">
        <v>8.4059000000000008</v>
      </c>
      <c r="T4" s="12">
        <v>8.6526999999999994</v>
      </c>
      <c r="U4" s="12">
        <v>8.5602</v>
      </c>
      <c r="V4" s="12">
        <v>8.3831000000000007</v>
      </c>
      <c r="W4" s="12">
        <v>8.2957000000000001</v>
      </c>
      <c r="X4" s="12">
        <v>8.3528000000000002</v>
      </c>
      <c r="Y4" s="12">
        <v>8.5234000000000005</v>
      </c>
      <c r="Z4" s="12">
        <v>8.5832999999999995</v>
      </c>
      <c r="AA4" s="12">
        <v>8.6425999999999998</v>
      </c>
      <c r="AB4" s="12">
        <v>8.8292000000000002</v>
      </c>
      <c r="AC4" s="12">
        <v>8.9359999999999999</v>
      </c>
      <c r="AD4" s="12" t="s">
        <v>73</v>
      </c>
    </row>
    <row r="5" spans="1:30" x14ac:dyDescent="0.3">
      <c r="A5" s="13" t="s">
        <v>569</v>
      </c>
      <c r="B5" s="14" t="s">
        <v>573</v>
      </c>
      <c r="C5" t="s">
        <v>71</v>
      </c>
      <c r="D5" s="5" t="s">
        <v>72</v>
      </c>
      <c r="E5" s="12">
        <v>4.0000000000000001E-3</v>
      </c>
      <c r="F5" s="12">
        <v>4.0000000000000001E-3</v>
      </c>
      <c r="G5" s="12">
        <v>4.0000000000000001E-3</v>
      </c>
      <c r="H5" s="12">
        <v>4.0000000000000001E-3</v>
      </c>
      <c r="I5" s="12">
        <v>4.0000000000000001E-3</v>
      </c>
      <c r="J5" s="12">
        <v>4.0000000000000001E-3</v>
      </c>
      <c r="K5" s="12">
        <v>4.0000000000000001E-3</v>
      </c>
      <c r="L5" s="12">
        <v>4.0000000000000001E-3</v>
      </c>
      <c r="M5" s="12">
        <v>4.0000000000000001E-3</v>
      </c>
      <c r="N5" s="12">
        <v>4.0000000000000001E-3</v>
      </c>
      <c r="O5" s="12">
        <v>4.0000000000000001E-3</v>
      </c>
      <c r="P5" s="12">
        <v>4.0000000000000001E-3</v>
      </c>
      <c r="Q5" s="12">
        <v>4.0000000000000001E-3</v>
      </c>
      <c r="R5" s="12">
        <v>4.0000000000000001E-3</v>
      </c>
      <c r="S5" s="12">
        <v>4.0000000000000001E-3</v>
      </c>
      <c r="T5" s="12">
        <v>4.0000000000000001E-3</v>
      </c>
      <c r="U5" s="12">
        <v>4.0000000000000001E-3</v>
      </c>
      <c r="V5" s="12">
        <v>4.0000000000000001E-3</v>
      </c>
      <c r="W5" s="12">
        <v>4.0000000000000001E-3</v>
      </c>
      <c r="X5" s="12">
        <v>4.0000000000000001E-3</v>
      </c>
      <c r="Y5" s="12">
        <v>4.0000000000000001E-3</v>
      </c>
      <c r="Z5" s="12">
        <v>4.0000000000000001E-3</v>
      </c>
      <c r="AA5" s="12">
        <v>4.0000000000000001E-3</v>
      </c>
      <c r="AB5" s="12">
        <v>4.0000000000000001E-3</v>
      </c>
      <c r="AC5" s="12">
        <v>4.0000000000000001E-3</v>
      </c>
      <c r="AD5" s="12" t="s">
        <v>73</v>
      </c>
    </row>
    <row r="6" spans="1:30" x14ac:dyDescent="0.3">
      <c r="A6" s="13" t="s">
        <v>569</v>
      </c>
      <c r="B6" s="14" t="s">
        <v>574</v>
      </c>
      <c r="C6" t="s">
        <v>74</v>
      </c>
      <c r="D6" s="5" t="s">
        <v>75</v>
      </c>
      <c r="E6" s="12" t="s">
        <v>73</v>
      </c>
      <c r="F6" s="12" t="s">
        <v>73</v>
      </c>
      <c r="G6" s="12" t="s">
        <v>73</v>
      </c>
      <c r="H6" s="12" t="s">
        <v>73</v>
      </c>
      <c r="I6" s="12" t="s">
        <v>73</v>
      </c>
      <c r="J6" s="12" t="s">
        <v>73</v>
      </c>
      <c r="K6" s="12" t="s">
        <v>73</v>
      </c>
      <c r="L6" s="12" t="s">
        <v>73</v>
      </c>
      <c r="M6" s="12" t="s">
        <v>73</v>
      </c>
      <c r="N6" s="12" t="s">
        <v>73</v>
      </c>
      <c r="O6" s="12" t="s">
        <v>73</v>
      </c>
      <c r="P6" s="12" t="s">
        <v>73</v>
      </c>
      <c r="Q6" s="12" t="s">
        <v>73</v>
      </c>
      <c r="R6" s="12" t="s">
        <v>73</v>
      </c>
      <c r="S6" s="12" t="s">
        <v>73</v>
      </c>
      <c r="T6" s="12" t="s">
        <v>73</v>
      </c>
      <c r="U6" s="12" t="s">
        <v>73</v>
      </c>
      <c r="V6" s="12" t="s">
        <v>73</v>
      </c>
      <c r="W6" s="12" t="s">
        <v>73</v>
      </c>
      <c r="X6" s="12" t="s">
        <v>73</v>
      </c>
      <c r="Y6" s="12" t="s">
        <v>73</v>
      </c>
      <c r="Z6" s="12" t="s">
        <v>73</v>
      </c>
      <c r="AA6" s="12" t="s">
        <v>73</v>
      </c>
      <c r="AB6" s="12" t="s">
        <v>73</v>
      </c>
      <c r="AC6" s="12" t="s">
        <v>73</v>
      </c>
      <c r="AD6" s="12" t="s">
        <v>73</v>
      </c>
    </row>
    <row r="7" spans="1:30" x14ac:dyDescent="0.3">
      <c r="A7" s="13" t="s">
        <v>569</v>
      </c>
      <c r="B7" s="14" t="s">
        <v>575</v>
      </c>
      <c r="C7" t="s">
        <v>76</v>
      </c>
      <c r="D7" s="5" t="s">
        <v>77</v>
      </c>
      <c r="E7" s="12">
        <v>5.1767000000000003</v>
      </c>
      <c r="F7" s="12">
        <v>5.1886999999999999</v>
      </c>
      <c r="G7" s="12">
        <v>5.1233000000000004</v>
      </c>
      <c r="H7" s="12">
        <v>5.0530999999999997</v>
      </c>
      <c r="I7" s="12">
        <v>4.9469000000000003</v>
      </c>
      <c r="J7" s="12">
        <v>5.3785999999999996</v>
      </c>
      <c r="K7" s="12">
        <v>5.4981</v>
      </c>
      <c r="L7" s="12">
        <v>5.6414999999999997</v>
      </c>
      <c r="M7" s="12">
        <v>5.7552000000000003</v>
      </c>
      <c r="N7" s="12">
        <v>5.9337999999999997</v>
      </c>
      <c r="O7" s="12">
        <v>6.0846999999999998</v>
      </c>
      <c r="P7" s="12">
        <v>6.2484000000000002</v>
      </c>
      <c r="Q7" s="12">
        <v>6.327</v>
      </c>
      <c r="R7" s="12">
        <v>6.5572999999999997</v>
      </c>
      <c r="S7" s="12">
        <v>6.6955999999999998</v>
      </c>
      <c r="T7" s="12">
        <v>6.8522999999999996</v>
      </c>
      <c r="U7" s="12">
        <v>6.9684999999999997</v>
      </c>
      <c r="V7" s="12">
        <v>6.8480999999999996</v>
      </c>
      <c r="W7" s="12">
        <v>6.8036000000000003</v>
      </c>
      <c r="X7" s="12">
        <v>7.0801999999999996</v>
      </c>
      <c r="Y7" s="12">
        <v>7.1146000000000003</v>
      </c>
      <c r="Z7" s="12">
        <v>7.1939000000000002</v>
      </c>
      <c r="AA7" s="12">
        <v>7.2824</v>
      </c>
      <c r="AB7" s="12">
        <v>7.1879</v>
      </c>
      <c r="AC7" s="12">
        <v>7.2477999999999998</v>
      </c>
      <c r="AD7" s="12" t="s">
        <v>73</v>
      </c>
    </row>
    <row r="8" spans="1:30" x14ac:dyDescent="0.3">
      <c r="A8" s="13" t="s">
        <v>569</v>
      </c>
      <c r="B8" s="14" t="s">
        <v>576</v>
      </c>
      <c r="C8" t="s">
        <v>78</v>
      </c>
      <c r="D8" s="5" t="s">
        <v>79</v>
      </c>
      <c r="E8" s="12">
        <v>3.1E-2</v>
      </c>
      <c r="F8" s="12">
        <v>3.1899999999999998E-2</v>
      </c>
      <c r="G8" s="12">
        <v>3.2399999999999998E-2</v>
      </c>
      <c r="H8" s="12">
        <v>3.2800000000000003E-2</v>
      </c>
      <c r="I8" s="12">
        <v>3.3500000000000002E-2</v>
      </c>
      <c r="J8" s="12">
        <v>3.3399999999999999E-2</v>
      </c>
      <c r="K8" s="12">
        <v>3.3599999999999998E-2</v>
      </c>
      <c r="L8" s="12">
        <v>3.3500000000000002E-2</v>
      </c>
      <c r="M8" s="12">
        <v>3.3399999999999999E-2</v>
      </c>
      <c r="N8" s="12">
        <v>3.3300000000000003E-2</v>
      </c>
      <c r="O8" s="12">
        <v>1.5800000000000002E-2</v>
      </c>
      <c r="P8" s="12">
        <v>1.5900000000000001E-2</v>
      </c>
      <c r="Q8" s="12">
        <v>1.5900000000000001E-2</v>
      </c>
      <c r="R8" s="12">
        <v>1.5900000000000001E-2</v>
      </c>
      <c r="S8" s="12">
        <v>1.5900000000000001E-2</v>
      </c>
      <c r="T8" s="12">
        <v>1.5900000000000001E-2</v>
      </c>
      <c r="U8" s="12">
        <v>1.5800000000000002E-2</v>
      </c>
      <c r="V8" s="12">
        <v>1.5900000000000001E-2</v>
      </c>
      <c r="W8" s="12">
        <v>1.49E-2</v>
      </c>
      <c r="X8" s="12">
        <v>1.2500000000000001E-2</v>
      </c>
      <c r="Y8" s="12">
        <v>1.2E-2</v>
      </c>
      <c r="Z8" s="12">
        <v>1.1599999999999999E-2</v>
      </c>
      <c r="AA8" s="12">
        <v>1.12E-2</v>
      </c>
      <c r="AB8" s="12">
        <v>1.29E-2</v>
      </c>
      <c r="AC8" s="12">
        <v>1.2500000000000001E-2</v>
      </c>
      <c r="AD8" s="12" t="s">
        <v>73</v>
      </c>
    </row>
    <row r="9" spans="1:30" x14ac:dyDescent="0.3">
      <c r="A9" s="13" t="s">
        <v>569</v>
      </c>
      <c r="B9" s="14" t="s">
        <v>577</v>
      </c>
      <c r="C9" t="s">
        <v>80</v>
      </c>
      <c r="D9" s="5" t="s">
        <v>81</v>
      </c>
      <c r="E9" s="12">
        <v>95.573400000000007</v>
      </c>
      <c r="F9" s="12">
        <v>95.698400000000007</v>
      </c>
      <c r="G9" s="12">
        <v>100.8519</v>
      </c>
      <c r="H9" s="12">
        <v>107.8627</v>
      </c>
      <c r="I9" s="12">
        <v>109.997</v>
      </c>
      <c r="J9" s="12">
        <v>110.7595</v>
      </c>
      <c r="K9" s="12">
        <v>113.2453</v>
      </c>
      <c r="L9" s="12">
        <v>114.3336</v>
      </c>
      <c r="M9" s="12">
        <v>112.5107</v>
      </c>
      <c r="N9" s="12">
        <v>106.44159999999999</v>
      </c>
      <c r="O9" s="12">
        <v>97.641499999999994</v>
      </c>
      <c r="P9" s="12">
        <v>96.165400000000005</v>
      </c>
      <c r="Q9" s="12">
        <v>99.101399999999998</v>
      </c>
      <c r="R9" s="12">
        <v>101.31740000000001</v>
      </c>
      <c r="S9" s="12">
        <v>102.15</v>
      </c>
      <c r="T9" s="12">
        <v>101.5162</v>
      </c>
      <c r="U9" s="12">
        <v>103.0171</v>
      </c>
      <c r="V9" s="12">
        <v>106.9121</v>
      </c>
      <c r="W9" s="12">
        <v>106.3249</v>
      </c>
      <c r="X9" s="12">
        <v>107.11450000000001</v>
      </c>
      <c r="Y9" s="12">
        <v>106.0454</v>
      </c>
      <c r="Z9" s="12">
        <v>103.9611</v>
      </c>
      <c r="AA9" s="12">
        <v>105.2629</v>
      </c>
      <c r="AB9" s="12">
        <v>104.51609999999999</v>
      </c>
      <c r="AC9" s="12">
        <v>105.38209999999999</v>
      </c>
      <c r="AD9" s="12" t="s">
        <v>73</v>
      </c>
    </row>
    <row r="10" spans="1:30" x14ac:dyDescent="0.3">
      <c r="A10" s="13" t="s">
        <v>569</v>
      </c>
      <c r="B10" s="14" t="s">
        <v>578</v>
      </c>
      <c r="C10" t="s">
        <v>82</v>
      </c>
      <c r="D10" s="5" t="s">
        <v>83</v>
      </c>
      <c r="E10" s="12">
        <v>1.2063999999999999</v>
      </c>
      <c r="F10" s="12">
        <v>1.2412000000000001</v>
      </c>
      <c r="G10" s="12">
        <v>1.2985</v>
      </c>
      <c r="H10" s="12">
        <v>1.3542000000000001</v>
      </c>
      <c r="I10" s="12">
        <v>1.4253</v>
      </c>
      <c r="J10" s="12">
        <v>1.4213</v>
      </c>
      <c r="K10" s="12">
        <v>1.4524999999999999</v>
      </c>
      <c r="L10" s="12">
        <v>1.5153000000000001</v>
      </c>
      <c r="M10" s="12">
        <v>1.5209999999999999</v>
      </c>
      <c r="N10" s="12">
        <v>1.4068000000000001</v>
      </c>
      <c r="O10" s="12">
        <v>1.3692</v>
      </c>
      <c r="P10" s="12">
        <v>1.3698999999999999</v>
      </c>
      <c r="Q10" s="12">
        <v>1.4408000000000001</v>
      </c>
      <c r="R10" s="12">
        <v>1.5873999999999999</v>
      </c>
      <c r="S10" s="12">
        <v>1.6339999999999999</v>
      </c>
      <c r="T10" s="12">
        <v>1.6612</v>
      </c>
      <c r="U10" s="12">
        <v>1.6964999999999999</v>
      </c>
      <c r="V10" s="12">
        <v>1.5844</v>
      </c>
      <c r="W10" s="12">
        <v>1.4392</v>
      </c>
      <c r="X10" s="12">
        <v>1.3916999999999999</v>
      </c>
      <c r="Y10" s="12">
        <v>1.4126000000000001</v>
      </c>
      <c r="Z10" s="12">
        <v>1.4899</v>
      </c>
      <c r="AA10" s="12">
        <v>1.3852</v>
      </c>
      <c r="AB10" s="12">
        <v>1.2614000000000001</v>
      </c>
      <c r="AC10" s="12">
        <v>1.2630999999999999</v>
      </c>
      <c r="AD10" s="12" t="s">
        <v>73</v>
      </c>
    </row>
    <row r="11" spans="1:30" x14ac:dyDescent="0.3">
      <c r="A11" s="13" t="s">
        <v>569</v>
      </c>
      <c r="B11" s="14" t="s">
        <v>579</v>
      </c>
      <c r="C11" t="s">
        <v>84</v>
      </c>
      <c r="D11" s="5" t="s">
        <v>85</v>
      </c>
      <c r="E11" s="12">
        <v>1.4E-3</v>
      </c>
      <c r="F11" s="12">
        <v>1.4E-3</v>
      </c>
      <c r="G11" s="12">
        <v>1.4E-3</v>
      </c>
      <c r="H11" s="12">
        <v>1.4E-3</v>
      </c>
      <c r="I11" s="12">
        <v>1.4E-3</v>
      </c>
      <c r="J11" s="12">
        <v>1.4E-3</v>
      </c>
      <c r="K11" s="12">
        <v>1.4E-3</v>
      </c>
      <c r="L11" s="12">
        <v>1.4E-3</v>
      </c>
      <c r="M11" s="12">
        <v>1.4E-3</v>
      </c>
      <c r="N11" s="12">
        <v>1.4E-3</v>
      </c>
      <c r="O11" s="12">
        <v>1.4E-3</v>
      </c>
      <c r="P11" s="12">
        <v>1.4E-3</v>
      </c>
      <c r="Q11" s="12">
        <v>1.4E-3</v>
      </c>
      <c r="R11" s="12">
        <v>1.4E-3</v>
      </c>
      <c r="S11" s="12">
        <v>1.4E-3</v>
      </c>
      <c r="T11" s="12">
        <v>1.4E-3</v>
      </c>
      <c r="U11" s="12">
        <v>1.4E-3</v>
      </c>
      <c r="V11" s="12">
        <v>1.4E-3</v>
      </c>
      <c r="W11" s="12">
        <v>1.4E-3</v>
      </c>
      <c r="X11" s="12">
        <v>1.4E-3</v>
      </c>
      <c r="Y11" s="12">
        <v>1.4E-3</v>
      </c>
      <c r="Z11" s="12">
        <v>1.5E-3</v>
      </c>
      <c r="AA11" s="12">
        <v>1.5E-3</v>
      </c>
      <c r="AB11" s="12">
        <v>1.5E-3</v>
      </c>
      <c r="AC11" s="12">
        <v>1.5E-3</v>
      </c>
      <c r="AD11" s="12" t="s">
        <v>73</v>
      </c>
    </row>
    <row r="12" spans="1:30" x14ac:dyDescent="0.3">
      <c r="A12" s="13" t="s">
        <v>569</v>
      </c>
      <c r="B12" s="14" t="s">
        <v>580</v>
      </c>
      <c r="C12" t="s">
        <v>5</v>
      </c>
      <c r="D12" s="5" t="s">
        <v>86</v>
      </c>
      <c r="E12" s="12">
        <v>88.528099999999995</v>
      </c>
      <c r="F12" s="12">
        <v>87.587599999999995</v>
      </c>
      <c r="G12" s="12">
        <v>86.895499999999998</v>
      </c>
      <c r="H12" s="12">
        <v>82.235200000000006</v>
      </c>
      <c r="I12" s="12">
        <v>85.055899999999994</v>
      </c>
      <c r="J12" s="12">
        <v>85.589200000000005</v>
      </c>
      <c r="K12" s="12">
        <v>85.0017</v>
      </c>
      <c r="L12" s="12">
        <v>82.57</v>
      </c>
      <c r="M12" s="12">
        <v>78.668199999999999</v>
      </c>
      <c r="N12" s="12">
        <v>79.324600000000004</v>
      </c>
      <c r="O12" s="12">
        <v>75.910899999999998</v>
      </c>
      <c r="P12" s="12">
        <v>81.325000000000003</v>
      </c>
      <c r="Q12" s="12">
        <v>82.139600000000002</v>
      </c>
      <c r="R12" s="12">
        <v>84.324200000000005</v>
      </c>
      <c r="S12" s="12">
        <v>83.241</v>
      </c>
      <c r="T12" s="12">
        <v>79.659099999999995</v>
      </c>
      <c r="U12" s="12">
        <v>73.421000000000006</v>
      </c>
      <c r="V12" s="12">
        <v>77.367900000000006</v>
      </c>
      <c r="W12" s="12">
        <v>77.230800000000002</v>
      </c>
      <c r="X12" s="12">
        <v>72.140799999999999</v>
      </c>
      <c r="Y12" s="12">
        <v>69.0154</v>
      </c>
      <c r="Z12" s="12">
        <v>72.594200000000001</v>
      </c>
      <c r="AA12" s="12">
        <v>73.042900000000003</v>
      </c>
      <c r="AB12" s="12">
        <v>84.628100000000003</v>
      </c>
      <c r="AC12" s="12">
        <v>84.700999999999993</v>
      </c>
      <c r="AD12" s="12" t="s">
        <v>73</v>
      </c>
    </row>
    <row r="13" spans="1:30" x14ac:dyDescent="0.3">
      <c r="A13" s="13" t="s">
        <v>569</v>
      </c>
      <c r="B13" s="14" t="s">
        <v>581</v>
      </c>
      <c r="C13" t="s">
        <v>6</v>
      </c>
      <c r="D13" s="5" t="s">
        <v>87</v>
      </c>
      <c r="E13" s="12">
        <v>5.7815000000000003</v>
      </c>
      <c r="F13" s="12">
        <v>5.7874999999999996</v>
      </c>
      <c r="G13" s="12">
        <v>5.7419000000000002</v>
      </c>
      <c r="H13" s="12">
        <v>5.5892999999999997</v>
      </c>
      <c r="I13" s="12">
        <v>5.5171999999999999</v>
      </c>
      <c r="J13" s="12">
        <v>5.4</v>
      </c>
      <c r="K13" s="12">
        <v>5.4203999999999999</v>
      </c>
      <c r="L13" s="12">
        <v>5.3954000000000004</v>
      </c>
      <c r="M13" s="12">
        <v>5.4458000000000002</v>
      </c>
      <c r="N13" s="12">
        <v>5.4313000000000002</v>
      </c>
      <c r="O13" s="12">
        <v>5.5450999999999997</v>
      </c>
      <c r="P13" s="12">
        <v>5.5542999999999996</v>
      </c>
      <c r="Q13" s="12">
        <v>5.4710000000000001</v>
      </c>
      <c r="R13" s="12">
        <v>5.4508999999999999</v>
      </c>
      <c r="S13" s="12">
        <v>5.4631999999999996</v>
      </c>
      <c r="T13" s="12">
        <v>5.4809000000000001</v>
      </c>
      <c r="U13" s="12">
        <v>5.4718</v>
      </c>
      <c r="V13" s="12">
        <v>5.4694000000000003</v>
      </c>
      <c r="W13" s="12">
        <v>5.3837000000000002</v>
      </c>
      <c r="X13" s="12">
        <v>5.3064999999999998</v>
      </c>
      <c r="Y13" s="12">
        <v>5.2710999999999997</v>
      </c>
      <c r="Z13" s="12">
        <v>5.3000999999999996</v>
      </c>
      <c r="AA13" s="12">
        <v>5.2986000000000004</v>
      </c>
      <c r="AB13" s="12">
        <v>5.2077</v>
      </c>
      <c r="AC13" s="12">
        <v>5.2081999999999997</v>
      </c>
      <c r="AD13" s="12" t="s">
        <v>73</v>
      </c>
    </row>
    <row r="14" spans="1:30" x14ac:dyDescent="0.3">
      <c r="A14" s="13" t="s">
        <v>569</v>
      </c>
      <c r="B14" s="14" t="s">
        <v>582</v>
      </c>
      <c r="C14" t="s">
        <v>88</v>
      </c>
      <c r="D14" s="5" t="s">
        <v>89</v>
      </c>
      <c r="E14" s="12">
        <v>5.3503999999999996</v>
      </c>
      <c r="F14" s="12">
        <v>5.6478999999999999</v>
      </c>
      <c r="G14" s="12">
        <v>5.8418000000000001</v>
      </c>
      <c r="H14" s="12">
        <v>6.1120999999999999</v>
      </c>
      <c r="I14" s="12">
        <v>6.3158000000000003</v>
      </c>
      <c r="J14" s="12">
        <v>6.5094000000000003</v>
      </c>
      <c r="K14" s="12">
        <v>6.7816000000000001</v>
      </c>
      <c r="L14" s="12">
        <v>6.9668999999999999</v>
      </c>
      <c r="M14" s="12">
        <v>7.1761999999999997</v>
      </c>
      <c r="N14" s="12">
        <v>7.3445</v>
      </c>
      <c r="O14" s="12">
        <v>7.4423000000000004</v>
      </c>
      <c r="P14" s="12">
        <v>7.4783999999999997</v>
      </c>
      <c r="Q14" s="12">
        <v>7.5556999999999999</v>
      </c>
      <c r="R14" s="12">
        <v>7.6589</v>
      </c>
      <c r="S14" s="12">
        <v>7.7698</v>
      </c>
      <c r="T14" s="12">
        <v>7.8144</v>
      </c>
      <c r="U14" s="12">
        <v>7.7938000000000001</v>
      </c>
      <c r="V14" s="12">
        <v>7.7394999999999996</v>
      </c>
      <c r="W14" s="12">
        <v>7.6691000000000003</v>
      </c>
      <c r="X14" s="12">
        <v>7.6326999999999998</v>
      </c>
      <c r="Y14" s="12">
        <v>7.5895999999999999</v>
      </c>
      <c r="Z14" s="12">
        <v>7.5400999999999998</v>
      </c>
      <c r="AA14" s="12">
        <v>7.4591000000000003</v>
      </c>
      <c r="AB14" s="12">
        <v>7.1169000000000002</v>
      </c>
      <c r="AC14" s="12">
        <v>7.0345000000000004</v>
      </c>
      <c r="AD14" s="12" t="s">
        <v>73</v>
      </c>
    </row>
    <row r="15" spans="1:30" x14ac:dyDescent="0.3">
      <c r="A15" s="13" t="s">
        <v>569</v>
      </c>
      <c r="B15" s="14" t="s">
        <v>583</v>
      </c>
      <c r="C15" t="s">
        <v>90</v>
      </c>
      <c r="D15" s="5" t="s">
        <v>91</v>
      </c>
      <c r="E15" s="12">
        <v>5.4999999999999997E-3</v>
      </c>
      <c r="F15" s="12">
        <v>5.7000000000000002E-3</v>
      </c>
      <c r="G15" s="12">
        <v>5.4000000000000003E-3</v>
      </c>
      <c r="H15" s="12">
        <v>5.7000000000000002E-3</v>
      </c>
      <c r="I15" s="12">
        <v>5.8999999999999999E-3</v>
      </c>
      <c r="J15" s="12">
        <v>5.8999999999999999E-3</v>
      </c>
      <c r="K15" s="12">
        <v>5.8999999999999999E-3</v>
      </c>
      <c r="L15" s="12">
        <v>6.0000000000000001E-3</v>
      </c>
      <c r="M15" s="12">
        <v>6.0000000000000001E-3</v>
      </c>
      <c r="N15" s="12">
        <v>6.0000000000000001E-3</v>
      </c>
      <c r="O15" s="12">
        <v>6.0000000000000001E-3</v>
      </c>
      <c r="P15" s="12">
        <v>6.0000000000000001E-3</v>
      </c>
      <c r="Q15" s="12">
        <v>6.1000000000000004E-3</v>
      </c>
      <c r="R15" s="12">
        <v>6.1000000000000004E-3</v>
      </c>
      <c r="S15" s="12">
        <v>6.1000000000000004E-3</v>
      </c>
      <c r="T15" s="12">
        <v>6.1000000000000004E-3</v>
      </c>
      <c r="U15" s="12">
        <v>6.1000000000000004E-3</v>
      </c>
      <c r="V15" s="12">
        <v>6.1000000000000004E-3</v>
      </c>
      <c r="W15" s="12">
        <v>6.1000000000000004E-3</v>
      </c>
      <c r="X15" s="12">
        <v>6.1000000000000004E-3</v>
      </c>
      <c r="Y15" s="12">
        <v>6.1000000000000004E-3</v>
      </c>
      <c r="Z15" s="12">
        <v>6.1000000000000004E-3</v>
      </c>
      <c r="AA15" s="12">
        <v>6.1000000000000004E-3</v>
      </c>
      <c r="AB15" s="12">
        <v>6.1999999999999998E-3</v>
      </c>
      <c r="AC15" s="12">
        <v>6.1999999999999998E-3</v>
      </c>
      <c r="AD15" s="12" t="s">
        <v>73</v>
      </c>
    </row>
    <row r="16" spans="1:30" x14ac:dyDescent="0.3">
      <c r="A16" s="13" t="s">
        <v>569</v>
      </c>
      <c r="B16" s="14" t="s">
        <v>584</v>
      </c>
      <c r="C16" t="s">
        <v>92</v>
      </c>
      <c r="D16" s="5" t="s">
        <v>93</v>
      </c>
      <c r="E16" s="12">
        <v>2.4799999999999999E-2</v>
      </c>
      <c r="F16" s="12">
        <v>2.2499999999999999E-2</v>
      </c>
      <c r="G16" s="12">
        <v>3.0499999999999999E-2</v>
      </c>
      <c r="H16" s="12">
        <v>2.58E-2</v>
      </c>
      <c r="I16" s="12">
        <v>2.3099999999999999E-2</v>
      </c>
      <c r="J16" s="12">
        <v>2.4199999999999999E-2</v>
      </c>
      <c r="K16" s="12">
        <v>2.35E-2</v>
      </c>
      <c r="L16" s="12">
        <v>2.3599999999999999E-2</v>
      </c>
      <c r="M16" s="12">
        <v>1.9900000000000001E-2</v>
      </c>
      <c r="N16" s="12">
        <v>0.02</v>
      </c>
      <c r="O16" s="12">
        <v>2.3699999999999999E-2</v>
      </c>
      <c r="P16" s="12">
        <v>2.3800000000000002E-2</v>
      </c>
      <c r="Q16" s="12">
        <v>2.4199999999999999E-2</v>
      </c>
      <c r="R16" s="12">
        <v>2.4799999999999999E-2</v>
      </c>
      <c r="S16" s="12">
        <v>2.47E-2</v>
      </c>
      <c r="T16" s="12">
        <v>2.3800000000000002E-2</v>
      </c>
      <c r="U16" s="12">
        <v>2.3800000000000002E-2</v>
      </c>
      <c r="V16" s="12">
        <v>2.3699999999999999E-2</v>
      </c>
      <c r="W16" s="12">
        <v>2.6800000000000001E-2</v>
      </c>
      <c r="X16" s="12">
        <v>2.7699999999999999E-2</v>
      </c>
      <c r="Y16" s="12">
        <v>2.5499999999999998E-2</v>
      </c>
      <c r="Z16" s="12">
        <v>2.6499999999999999E-2</v>
      </c>
      <c r="AA16" s="12">
        <v>2.7199999999999998E-2</v>
      </c>
      <c r="AB16" s="12">
        <v>2.6700000000000002E-2</v>
      </c>
      <c r="AC16" s="12">
        <v>2.6700000000000002E-2</v>
      </c>
      <c r="AD16" s="12" t="s">
        <v>73</v>
      </c>
    </row>
    <row r="17" spans="1:30" x14ac:dyDescent="0.3">
      <c r="A17" s="13" t="s">
        <v>569</v>
      </c>
      <c r="B17" s="14" t="s">
        <v>585</v>
      </c>
      <c r="C17" t="s">
        <v>94</v>
      </c>
      <c r="D17" s="5" t="s">
        <v>95</v>
      </c>
      <c r="E17" s="12">
        <v>44.271799999999999</v>
      </c>
      <c r="F17" s="12">
        <v>44.2104</v>
      </c>
      <c r="G17" s="12">
        <v>44.922800000000002</v>
      </c>
      <c r="H17" s="12">
        <v>45.281100000000002</v>
      </c>
      <c r="I17" s="12">
        <v>44.8767</v>
      </c>
      <c r="J17" s="12">
        <v>45.736899999999999</v>
      </c>
      <c r="K17" s="12">
        <v>46.3095</v>
      </c>
      <c r="L17" s="12">
        <v>46.748199999999997</v>
      </c>
      <c r="M17" s="12">
        <v>48.270200000000003</v>
      </c>
      <c r="N17" s="12">
        <v>48.8431</v>
      </c>
      <c r="O17" s="12">
        <v>49.596400000000003</v>
      </c>
      <c r="P17" s="12">
        <v>50.041699999999999</v>
      </c>
      <c r="Q17" s="12">
        <v>50.272500000000001</v>
      </c>
      <c r="R17" s="12">
        <v>50.4681</v>
      </c>
      <c r="S17" s="12">
        <v>50.727499999999999</v>
      </c>
      <c r="T17" s="12">
        <v>50.855499999999999</v>
      </c>
      <c r="U17" s="12">
        <v>50.411900000000003</v>
      </c>
      <c r="V17" s="12">
        <v>51.569800000000001</v>
      </c>
      <c r="W17" s="12">
        <v>51.633600000000001</v>
      </c>
      <c r="X17" s="12">
        <v>51.8718</v>
      </c>
      <c r="Y17" s="12">
        <v>52.041899999999998</v>
      </c>
      <c r="Z17" s="12">
        <v>52.777700000000003</v>
      </c>
      <c r="AA17" s="12">
        <v>53.053199999999997</v>
      </c>
      <c r="AB17" s="12">
        <v>48.584099999999999</v>
      </c>
      <c r="AC17" s="12">
        <v>47.405900000000003</v>
      </c>
      <c r="AD17" s="12" t="s">
        <v>73</v>
      </c>
    </row>
    <row r="18" spans="1:30" x14ac:dyDescent="0.3">
      <c r="A18" s="13" t="s">
        <v>569</v>
      </c>
      <c r="B18" s="14" t="s">
        <v>586</v>
      </c>
      <c r="C18" t="s">
        <v>96</v>
      </c>
      <c r="D18" s="5" t="s">
        <v>97</v>
      </c>
      <c r="E18" s="12">
        <v>4.9200000000000001E-2</v>
      </c>
      <c r="F18" s="12">
        <v>4.48E-2</v>
      </c>
      <c r="G18" s="12">
        <v>4.1599999999999998E-2</v>
      </c>
      <c r="H18" s="12">
        <v>3.8300000000000001E-2</v>
      </c>
      <c r="I18" s="12">
        <v>3.5299999999999998E-2</v>
      </c>
      <c r="J18" s="12">
        <v>3.2599999999999997E-2</v>
      </c>
      <c r="K18" s="12">
        <v>2.7799999999999998E-2</v>
      </c>
      <c r="L18" s="12">
        <v>2.5499999999999998E-2</v>
      </c>
      <c r="M18" s="12">
        <v>2.6599999999999999E-2</v>
      </c>
      <c r="N18" s="12">
        <v>2.9000000000000001E-2</v>
      </c>
      <c r="O18" s="12">
        <v>2.8799999999999999E-2</v>
      </c>
      <c r="P18" s="12">
        <v>2.87E-2</v>
      </c>
      <c r="Q18" s="12">
        <v>2.9100000000000001E-2</v>
      </c>
      <c r="R18" s="12">
        <v>2.9000000000000001E-2</v>
      </c>
      <c r="S18" s="12">
        <v>2.8799999999999999E-2</v>
      </c>
      <c r="T18" s="12">
        <v>2.8500000000000001E-2</v>
      </c>
      <c r="U18" s="12">
        <v>2.8299999999999999E-2</v>
      </c>
      <c r="V18" s="12">
        <v>2.86E-2</v>
      </c>
      <c r="W18" s="12">
        <v>2.8799999999999999E-2</v>
      </c>
      <c r="X18" s="12">
        <v>2.9700000000000001E-2</v>
      </c>
      <c r="Y18" s="12">
        <v>3.0200000000000001E-2</v>
      </c>
      <c r="Z18" s="12">
        <v>3.0499999999999999E-2</v>
      </c>
      <c r="AA18" s="12">
        <v>3.09E-2</v>
      </c>
      <c r="AB18" s="12">
        <v>2.8000000000000001E-2</v>
      </c>
      <c r="AC18" s="12">
        <v>2.7900000000000001E-2</v>
      </c>
      <c r="AD18" s="12" t="s">
        <v>73</v>
      </c>
    </row>
    <row r="19" spans="1:30" x14ac:dyDescent="0.3">
      <c r="A19" s="13" t="s">
        <v>569</v>
      </c>
      <c r="B19" s="14" t="s">
        <v>587</v>
      </c>
      <c r="C19" t="s">
        <v>98</v>
      </c>
      <c r="D19" s="5" t="s">
        <v>99</v>
      </c>
      <c r="E19" s="12">
        <v>11.1088</v>
      </c>
      <c r="F19" s="12">
        <v>10.994400000000001</v>
      </c>
      <c r="G19" s="12">
        <v>10.6813</v>
      </c>
      <c r="H19" s="12">
        <v>10.469900000000001</v>
      </c>
      <c r="I19" s="12">
        <v>10.4404</v>
      </c>
      <c r="J19" s="12">
        <v>10.113300000000001</v>
      </c>
      <c r="K19" s="12">
        <v>10.3217</v>
      </c>
      <c r="L19" s="12">
        <v>10.3887</v>
      </c>
      <c r="M19" s="12">
        <v>10.430199999999999</v>
      </c>
      <c r="N19" s="12">
        <v>10.917199999999999</v>
      </c>
      <c r="O19" s="12">
        <v>11.246600000000001</v>
      </c>
      <c r="P19" s="12">
        <v>11.507199999999999</v>
      </c>
      <c r="Q19" s="12">
        <v>11.9072</v>
      </c>
      <c r="R19" s="12">
        <v>12.2973</v>
      </c>
      <c r="S19" s="12">
        <v>12.451499999999999</v>
      </c>
      <c r="T19" s="12">
        <v>12.506500000000001</v>
      </c>
      <c r="U19" s="12">
        <v>12.402200000000001</v>
      </c>
      <c r="V19" s="12">
        <v>12.569699999999999</v>
      </c>
      <c r="W19" s="12">
        <v>12.4895</v>
      </c>
      <c r="X19" s="12">
        <v>12.404999999999999</v>
      </c>
      <c r="Y19" s="12">
        <v>12.374000000000001</v>
      </c>
      <c r="Z19" s="12">
        <v>12.1867</v>
      </c>
      <c r="AA19" s="12">
        <v>12.129099999999999</v>
      </c>
      <c r="AB19" s="12">
        <v>12.2155</v>
      </c>
      <c r="AC19" s="12">
        <v>12.2447</v>
      </c>
      <c r="AD19" s="12" t="s">
        <v>73</v>
      </c>
    </row>
    <row r="20" spans="1:30" x14ac:dyDescent="0.3">
      <c r="A20" s="13" t="s">
        <v>569</v>
      </c>
      <c r="B20" s="14" t="s">
        <v>588</v>
      </c>
      <c r="C20" t="s">
        <v>7</v>
      </c>
      <c r="D20" s="5" t="s">
        <v>100</v>
      </c>
      <c r="E20" s="12">
        <v>8.7025000000000006</v>
      </c>
      <c r="F20" s="12">
        <v>8.5625999999999998</v>
      </c>
      <c r="G20" s="12">
        <v>8.1844999999999999</v>
      </c>
      <c r="H20" s="12">
        <v>7.8422999999999998</v>
      </c>
      <c r="I20" s="12">
        <v>7.7388000000000003</v>
      </c>
      <c r="J20" s="12">
        <v>7.5720999999999998</v>
      </c>
      <c r="K20" s="12">
        <v>7.4694000000000003</v>
      </c>
      <c r="L20" s="12">
        <v>7.4062999999999999</v>
      </c>
      <c r="M20" s="12">
        <v>7.4177</v>
      </c>
      <c r="N20" s="12">
        <v>7.3922999999999996</v>
      </c>
      <c r="O20" s="12">
        <v>7.4024000000000001</v>
      </c>
      <c r="P20" s="12">
        <v>7.2840999999999996</v>
      </c>
      <c r="Q20" s="12">
        <v>7.1525999999999996</v>
      </c>
      <c r="R20" s="12">
        <v>6.9794999999999998</v>
      </c>
      <c r="S20" s="12">
        <v>7.0236999999999998</v>
      </c>
      <c r="T20" s="12">
        <v>7.1571999999999996</v>
      </c>
      <c r="U20" s="12">
        <v>7.1551999999999998</v>
      </c>
      <c r="V20" s="12">
        <v>6.8971</v>
      </c>
      <c r="W20" s="12">
        <v>7.0259999999999998</v>
      </c>
      <c r="X20" s="12">
        <v>6.9908999999999999</v>
      </c>
      <c r="Y20" s="12">
        <v>6.9930000000000003</v>
      </c>
      <c r="Z20" s="12">
        <v>6.9093</v>
      </c>
      <c r="AA20" s="12">
        <v>6.8174999999999999</v>
      </c>
      <c r="AB20" s="12">
        <v>6.6116999999999999</v>
      </c>
      <c r="AC20" s="12">
        <v>6.6157000000000004</v>
      </c>
      <c r="AD20" s="12" t="s">
        <v>73</v>
      </c>
    </row>
    <row r="21" spans="1:30" x14ac:dyDescent="0.3">
      <c r="A21" s="13" t="s">
        <v>569</v>
      </c>
      <c r="B21" s="14" t="s">
        <v>589</v>
      </c>
      <c r="C21" t="s">
        <v>101</v>
      </c>
      <c r="D21" s="5" t="s">
        <v>102</v>
      </c>
      <c r="E21" s="12">
        <v>9.6799999999999997E-2</v>
      </c>
      <c r="F21" s="12">
        <v>0.1084</v>
      </c>
      <c r="G21" s="12">
        <v>0.1123</v>
      </c>
      <c r="H21" s="12">
        <v>0.1158</v>
      </c>
      <c r="I21" s="12">
        <v>0.1178</v>
      </c>
      <c r="J21" s="12">
        <v>0.1197</v>
      </c>
      <c r="K21" s="12">
        <v>0.1371</v>
      </c>
      <c r="L21" s="12">
        <v>0.14810000000000001</v>
      </c>
      <c r="M21" s="12">
        <v>0.16059999999999999</v>
      </c>
      <c r="N21" s="12">
        <v>0.1797</v>
      </c>
      <c r="O21" s="12">
        <v>0.18390000000000001</v>
      </c>
      <c r="P21" s="12">
        <v>0.19120000000000001</v>
      </c>
      <c r="Q21" s="12">
        <v>0.19739999999999999</v>
      </c>
      <c r="R21" s="12">
        <v>0.21879999999999999</v>
      </c>
      <c r="S21" s="12">
        <v>0.18770000000000001</v>
      </c>
      <c r="T21" s="12">
        <v>0.19009999999999999</v>
      </c>
      <c r="U21" s="12">
        <v>0.1948</v>
      </c>
      <c r="V21" s="12">
        <v>0.2011</v>
      </c>
      <c r="W21" s="12">
        <v>0.20219999999999999</v>
      </c>
      <c r="X21" s="12">
        <v>0.2049</v>
      </c>
      <c r="Y21" s="12">
        <v>0.20480000000000001</v>
      </c>
      <c r="Z21" s="12">
        <v>0.20899999999999999</v>
      </c>
      <c r="AA21" s="12">
        <v>0.2104</v>
      </c>
      <c r="AB21" s="12">
        <v>0.2046</v>
      </c>
      <c r="AC21" s="12">
        <v>0.20469999999999999</v>
      </c>
      <c r="AD21" s="12" t="s">
        <v>73</v>
      </c>
    </row>
    <row r="22" spans="1:30" x14ac:dyDescent="0.3">
      <c r="A22" s="13" t="s">
        <v>569</v>
      </c>
      <c r="B22" s="14" t="s">
        <v>590</v>
      </c>
      <c r="C22" t="s">
        <v>103</v>
      </c>
      <c r="D22" s="5" t="s">
        <v>104</v>
      </c>
      <c r="E22" s="12">
        <v>1.7810999999999999</v>
      </c>
      <c r="F22" s="12">
        <v>1.8509</v>
      </c>
      <c r="G22" s="12">
        <v>1.9073</v>
      </c>
      <c r="H22" s="12">
        <v>1.9301999999999999</v>
      </c>
      <c r="I22" s="12">
        <v>1.9830000000000001</v>
      </c>
      <c r="J22" s="12">
        <v>2.0023</v>
      </c>
      <c r="K22" s="12">
        <v>2.0832000000000002</v>
      </c>
      <c r="L22" s="12">
        <v>2.1404999999999998</v>
      </c>
      <c r="M22" s="12">
        <v>2.2069000000000001</v>
      </c>
      <c r="N22" s="12">
        <v>2.2869000000000002</v>
      </c>
      <c r="O22" s="12">
        <v>2.3485999999999998</v>
      </c>
      <c r="P22" s="12">
        <v>2.4304999999999999</v>
      </c>
      <c r="Q22" s="12">
        <v>2.5070000000000001</v>
      </c>
      <c r="R22" s="12">
        <v>2.6583000000000001</v>
      </c>
      <c r="S22" s="12">
        <v>2.649</v>
      </c>
      <c r="T22" s="12">
        <v>2.6894999999999998</v>
      </c>
      <c r="U22" s="12">
        <v>2.7924000000000002</v>
      </c>
      <c r="V22" s="12">
        <v>2.8561000000000001</v>
      </c>
      <c r="W22" s="12">
        <v>3.0400999999999998</v>
      </c>
      <c r="X22" s="12">
        <v>3.0548999999999999</v>
      </c>
      <c r="Y22" s="12">
        <v>2.8696000000000002</v>
      </c>
      <c r="Z22" s="12">
        <v>3.1926000000000001</v>
      </c>
      <c r="AA22" s="12">
        <v>3.4184000000000001</v>
      </c>
      <c r="AB22" s="12">
        <v>3.6597</v>
      </c>
      <c r="AC22" s="12">
        <v>3.7665999999999999</v>
      </c>
      <c r="AD22" s="12" t="s">
        <v>73</v>
      </c>
    </row>
    <row r="23" spans="1:30" x14ac:dyDescent="0.3">
      <c r="A23" s="13" t="s">
        <v>569</v>
      </c>
      <c r="B23" s="14" t="s">
        <v>591</v>
      </c>
      <c r="C23" t="s">
        <v>105</v>
      </c>
      <c r="D23" s="5" t="s">
        <v>106</v>
      </c>
      <c r="E23" s="12">
        <v>2E-3</v>
      </c>
      <c r="F23" s="12">
        <v>2E-3</v>
      </c>
      <c r="G23" s="12">
        <v>2E-3</v>
      </c>
      <c r="H23" s="12">
        <v>2E-3</v>
      </c>
      <c r="I23" s="12">
        <v>1.9E-3</v>
      </c>
      <c r="J23" s="12">
        <v>2E-3</v>
      </c>
      <c r="K23" s="12">
        <v>2E-3</v>
      </c>
      <c r="L23" s="12">
        <v>2E-3</v>
      </c>
      <c r="M23" s="12">
        <v>2.2000000000000001E-3</v>
      </c>
      <c r="N23" s="12">
        <v>2.2000000000000001E-3</v>
      </c>
      <c r="O23" s="12">
        <v>2.0999999999999999E-3</v>
      </c>
      <c r="P23" s="12">
        <v>2.2000000000000001E-3</v>
      </c>
      <c r="Q23" s="12">
        <v>2.2000000000000001E-3</v>
      </c>
      <c r="R23" s="12">
        <v>2.2000000000000001E-3</v>
      </c>
      <c r="S23" s="12">
        <v>2.2000000000000001E-3</v>
      </c>
      <c r="T23" s="12">
        <v>2.2000000000000001E-3</v>
      </c>
      <c r="U23" s="12">
        <v>2.2000000000000001E-3</v>
      </c>
      <c r="V23" s="12">
        <v>2.2000000000000001E-3</v>
      </c>
      <c r="W23" s="12">
        <v>2.2000000000000001E-3</v>
      </c>
      <c r="X23" s="12">
        <v>2.2000000000000001E-3</v>
      </c>
      <c r="Y23" s="12">
        <v>2.2000000000000001E-3</v>
      </c>
      <c r="Z23" s="12">
        <v>2.2000000000000001E-3</v>
      </c>
      <c r="AA23" s="12">
        <v>2.2000000000000001E-3</v>
      </c>
      <c r="AB23" s="12">
        <v>2.0999999999999999E-3</v>
      </c>
      <c r="AC23" s="12">
        <v>2.0999999999999999E-3</v>
      </c>
      <c r="AD23" s="12" t="s">
        <v>73</v>
      </c>
    </row>
    <row r="24" spans="1:30" x14ac:dyDescent="0.3">
      <c r="A24" s="13" t="s">
        <v>569</v>
      </c>
      <c r="B24" s="14" t="s">
        <v>592</v>
      </c>
      <c r="C24" t="s">
        <v>107</v>
      </c>
      <c r="D24" s="5" t="s">
        <v>108</v>
      </c>
      <c r="E24" s="12">
        <v>0.40649999999999997</v>
      </c>
      <c r="F24" s="12">
        <v>0.36899999999999999</v>
      </c>
      <c r="G24" s="12">
        <v>0.35799999999999998</v>
      </c>
      <c r="H24" s="12">
        <v>0.36919999999999997</v>
      </c>
      <c r="I24" s="12">
        <v>0.374</v>
      </c>
      <c r="J24" s="12">
        <v>0.42930000000000001</v>
      </c>
      <c r="K24" s="12">
        <v>0.46100000000000002</v>
      </c>
      <c r="L24" s="12">
        <v>0.46739999999999998</v>
      </c>
      <c r="M24" s="12">
        <v>0.49469999999999997</v>
      </c>
      <c r="N24" s="12">
        <v>0.43880000000000002</v>
      </c>
      <c r="O24" s="12">
        <v>0.43709999999999999</v>
      </c>
      <c r="P24" s="12">
        <v>0.44379999999999997</v>
      </c>
      <c r="Q24" s="12">
        <v>0.42909999999999998</v>
      </c>
      <c r="R24" s="12">
        <v>0.44069999999999998</v>
      </c>
      <c r="S24" s="12">
        <v>0.43969999999999998</v>
      </c>
      <c r="T24" s="12">
        <v>0.44240000000000002</v>
      </c>
      <c r="U24" s="12">
        <v>0.45779999999999998</v>
      </c>
      <c r="V24" s="12">
        <v>0.46189999999999998</v>
      </c>
      <c r="W24" s="12">
        <v>0.45900000000000002</v>
      </c>
      <c r="X24" s="12">
        <v>0.44319999999999998</v>
      </c>
      <c r="Y24" s="12">
        <v>0.41599999999999998</v>
      </c>
      <c r="Z24" s="12">
        <v>0.40939999999999999</v>
      </c>
      <c r="AA24" s="12">
        <v>0.38250000000000001</v>
      </c>
      <c r="AB24" s="12">
        <v>0.36</v>
      </c>
      <c r="AC24" s="12">
        <v>0.34010000000000001</v>
      </c>
      <c r="AD24" s="12" t="s">
        <v>73</v>
      </c>
    </row>
    <row r="25" spans="1:30" x14ac:dyDescent="0.3">
      <c r="A25" s="13" t="s">
        <v>569</v>
      </c>
      <c r="B25" s="14" t="s">
        <v>593</v>
      </c>
      <c r="C25" t="s">
        <v>109</v>
      </c>
      <c r="D25" s="5" t="s">
        <v>110</v>
      </c>
      <c r="E25" s="12">
        <v>12.923</v>
      </c>
      <c r="F25" s="12">
        <v>12.297000000000001</v>
      </c>
      <c r="G25" s="12">
        <v>12.524800000000001</v>
      </c>
      <c r="H25" s="12">
        <v>12.9063</v>
      </c>
      <c r="I25" s="12">
        <v>13.1706</v>
      </c>
      <c r="J25" s="12">
        <v>13.5946</v>
      </c>
      <c r="K25" s="12">
        <v>14.088699999999999</v>
      </c>
      <c r="L25" s="12">
        <v>14.583</v>
      </c>
      <c r="M25" s="12">
        <v>15.132300000000001</v>
      </c>
      <c r="N25" s="12">
        <v>15.809900000000001</v>
      </c>
      <c r="O25" s="12">
        <v>16.434799999999999</v>
      </c>
      <c r="P25" s="12">
        <v>16.780999999999999</v>
      </c>
      <c r="Q25" s="12">
        <v>17.1721</v>
      </c>
      <c r="R25" s="12">
        <v>17.590800000000002</v>
      </c>
      <c r="S25" s="12">
        <v>17.2483</v>
      </c>
      <c r="T25" s="12">
        <v>17.523900000000001</v>
      </c>
      <c r="U25" s="12">
        <v>17.746200000000002</v>
      </c>
      <c r="V25" s="12">
        <v>18.102399999999999</v>
      </c>
      <c r="W25" s="12">
        <v>18.577500000000001</v>
      </c>
      <c r="X25" s="12">
        <v>18.945499999999999</v>
      </c>
      <c r="Y25" s="12">
        <v>19.502300000000002</v>
      </c>
      <c r="Z25" s="12">
        <v>20.0107</v>
      </c>
      <c r="AA25" s="12">
        <v>20.640799999999999</v>
      </c>
      <c r="AB25" s="12">
        <v>21.2469</v>
      </c>
      <c r="AC25" s="12">
        <v>21.761199999999999</v>
      </c>
      <c r="AD25" s="12" t="s">
        <v>73</v>
      </c>
    </row>
    <row r="26" spans="1:30" x14ac:dyDescent="0.3">
      <c r="A26" s="13" t="s">
        <v>569</v>
      </c>
      <c r="B26" s="14" t="s">
        <v>594</v>
      </c>
      <c r="C26" t="s">
        <v>111</v>
      </c>
      <c r="D26" s="5" t="s">
        <v>112</v>
      </c>
      <c r="E26" s="12">
        <v>1.3651</v>
      </c>
      <c r="F26" s="12">
        <v>1.3322000000000001</v>
      </c>
      <c r="G26" s="12">
        <v>1.2894000000000001</v>
      </c>
      <c r="H26" s="12">
        <v>1.3758999999999999</v>
      </c>
      <c r="I26" s="12">
        <v>1.4597</v>
      </c>
      <c r="J26" s="12">
        <v>1.4830000000000001</v>
      </c>
      <c r="K26" s="12">
        <v>1.6548</v>
      </c>
      <c r="L26" s="12">
        <v>1.5706</v>
      </c>
      <c r="M26" s="12">
        <v>1.5471999999999999</v>
      </c>
      <c r="N26" s="12">
        <v>1.5909</v>
      </c>
      <c r="O26" s="12">
        <v>1.6215999999999999</v>
      </c>
      <c r="P26" s="12">
        <v>1.5641</v>
      </c>
      <c r="Q26" s="12">
        <v>1.5464</v>
      </c>
      <c r="R26" s="12">
        <v>1.6089</v>
      </c>
      <c r="S26" s="12">
        <v>1.5751999999999999</v>
      </c>
      <c r="T26" s="12">
        <v>1.5358000000000001</v>
      </c>
      <c r="U26" s="12">
        <v>1.5283</v>
      </c>
      <c r="V26" s="12">
        <v>1.5063</v>
      </c>
      <c r="W26" s="12">
        <v>1.4894000000000001</v>
      </c>
      <c r="X26" s="12">
        <v>1.4621</v>
      </c>
      <c r="Y26" s="12">
        <v>1.4555</v>
      </c>
      <c r="Z26" s="12">
        <v>1.1579999999999999</v>
      </c>
      <c r="AA26" s="12">
        <v>1.2074</v>
      </c>
      <c r="AB26" s="12">
        <v>1.1141000000000001</v>
      </c>
      <c r="AC26" s="12">
        <v>1.0398000000000001</v>
      </c>
      <c r="AD26" s="12" t="s">
        <v>73</v>
      </c>
    </row>
    <row r="27" spans="1:30" x14ac:dyDescent="0.3">
      <c r="A27" s="13" t="s">
        <v>569</v>
      </c>
      <c r="B27" s="14" t="s">
        <v>595</v>
      </c>
      <c r="C27" t="s">
        <v>113</v>
      </c>
      <c r="D27" s="5" t="s">
        <v>114</v>
      </c>
      <c r="E27" s="12">
        <v>3.6535000000000002</v>
      </c>
      <c r="F27" s="12">
        <v>3.4891999999999999</v>
      </c>
      <c r="G27" s="12">
        <v>2.8837000000000002</v>
      </c>
      <c r="H27" s="12">
        <v>2.8666</v>
      </c>
      <c r="I27" s="12">
        <v>2.9224999999999999</v>
      </c>
      <c r="J27" s="12">
        <v>3.0754999999999999</v>
      </c>
      <c r="K27" s="12">
        <v>3.1095999999999999</v>
      </c>
      <c r="L27" s="12">
        <v>3.0912999999999999</v>
      </c>
      <c r="M27" s="12">
        <v>3.206</v>
      </c>
      <c r="N27" s="12">
        <v>3.4584999999999999</v>
      </c>
      <c r="O27" s="12">
        <v>3.7543000000000002</v>
      </c>
      <c r="P27" s="12">
        <v>3.6185</v>
      </c>
      <c r="Q27" s="12">
        <v>3.1852999999999998</v>
      </c>
      <c r="R27" s="12">
        <v>2.9662999999999999</v>
      </c>
      <c r="S27" s="12">
        <v>2.3403</v>
      </c>
      <c r="T27" s="12">
        <v>2.4569000000000001</v>
      </c>
      <c r="U27" s="12">
        <v>2.1758000000000002</v>
      </c>
      <c r="V27" s="12">
        <v>1.6308</v>
      </c>
      <c r="W27" s="12">
        <v>1.6429</v>
      </c>
      <c r="X27" s="12">
        <v>1.4334</v>
      </c>
      <c r="Y27" s="12">
        <v>1.4621</v>
      </c>
      <c r="Z27" s="12">
        <v>1.5313000000000001</v>
      </c>
      <c r="AA27" s="12">
        <v>1.4878</v>
      </c>
      <c r="AB27" s="12">
        <v>1.5047999999999999</v>
      </c>
      <c r="AC27" s="12">
        <v>1.5098</v>
      </c>
      <c r="AD27" s="12" t="s">
        <v>73</v>
      </c>
    </row>
    <row r="28" spans="1:30" x14ac:dyDescent="0.3">
      <c r="A28" s="13" t="s">
        <v>569</v>
      </c>
      <c r="B28" s="14" t="s">
        <v>596</v>
      </c>
      <c r="C28" t="s">
        <v>8</v>
      </c>
      <c r="D28" s="5" t="s">
        <v>115</v>
      </c>
      <c r="E28" s="12">
        <v>324.52289999999999</v>
      </c>
      <c r="F28" s="12">
        <v>336.0489</v>
      </c>
      <c r="G28" s="12">
        <v>353.07400000000001</v>
      </c>
      <c r="H28" s="12">
        <v>372.91379999999998</v>
      </c>
      <c r="I28" s="12">
        <v>392.26620000000003</v>
      </c>
      <c r="J28" s="12">
        <v>398.89490000000001</v>
      </c>
      <c r="K28" s="12">
        <v>397.07670000000002</v>
      </c>
      <c r="L28" s="12">
        <v>388.9076</v>
      </c>
      <c r="M28" s="12">
        <v>397.27159999999998</v>
      </c>
      <c r="N28" s="12">
        <v>405.6497</v>
      </c>
      <c r="O28" s="12">
        <v>415.85680000000002</v>
      </c>
      <c r="P28" s="12">
        <v>425.58940000000001</v>
      </c>
      <c r="Q28" s="12">
        <v>423.2285</v>
      </c>
      <c r="R28" s="12">
        <v>427.98509999999999</v>
      </c>
      <c r="S28" s="12">
        <v>431.55630000000002</v>
      </c>
      <c r="T28" s="12">
        <v>439.83210000000003</v>
      </c>
      <c r="U28" s="12">
        <v>444.27679999999998</v>
      </c>
      <c r="V28" s="12">
        <v>439.36930000000001</v>
      </c>
      <c r="W28" s="12">
        <v>436.58909999999997</v>
      </c>
      <c r="X28" s="12">
        <v>438.75200000000001</v>
      </c>
      <c r="Y28" s="12">
        <v>444.68220000000002</v>
      </c>
      <c r="Z28" s="12">
        <v>457.35070000000002</v>
      </c>
      <c r="AA28" s="12">
        <v>476.2004</v>
      </c>
      <c r="AB28" s="12">
        <v>485.03410000000002</v>
      </c>
      <c r="AC28" s="12">
        <v>471.81119999999999</v>
      </c>
      <c r="AD28" s="12" t="s">
        <v>73</v>
      </c>
    </row>
    <row r="29" spans="1:30" x14ac:dyDescent="0.3">
      <c r="A29" s="13" t="s">
        <v>569</v>
      </c>
      <c r="B29" s="14" t="s">
        <v>597</v>
      </c>
      <c r="C29" t="s">
        <v>116</v>
      </c>
      <c r="D29" s="5" t="s">
        <v>117</v>
      </c>
      <c r="E29" s="12">
        <v>6.4999999999999997E-3</v>
      </c>
      <c r="F29" s="12">
        <v>6.4999999999999997E-3</v>
      </c>
      <c r="G29" s="12">
        <v>6.4999999999999997E-3</v>
      </c>
      <c r="H29" s="12">
        <v>6.4999999999999997E-3</v>
      </c>
      <c r="I29" s="12">
        <v>6.4999999999999997E-3</v>
      </c>
      <c r="J29" s="12">
        <v>6.4999999999999997E-3</v>
      </c>
      <c r="K29" s="12">
        <v>6.4999999999999997E-3</v>
      </c>
      <c r="L29" s="12">
        <v>6.4999999999999997E-3</v>
      </c>
      <c r="M29" s="12">
        <v>6.4999999999999997E-3</v>
      </c>
      <c r="N29" s="12">
        <v>6.4999999999999997E-3</v>
      </c>
      <c r="O29" s="12">
        <v>6.4999999999999997E-3</v>
      </c>
      <c r="P29" s="12">
        <v>6.4999999999999997E-3</v>
      </c>
      <c r="Q29" s="12">
        <v>6.4999999999999997E-3</v>
      </c>
      <c r="R29" s="12">
        <v>6.4999999999999997E-3</v>
      </c>
      <c r="S29" s="12">
        <v>6.4999999999999997E-3</v>
      </c>
      <c r="T29" s="12">
        <v>6.4999999999999997E-3</v>
      </c>
      <c r="U29" s="12">
        <v>6.4999999999999997E-3</v>
      </c>
      <c r="V29" s="12">
        <v>6.4999999999999997E-3</v>
      </c>
      <c r="W29" s="12">
        <v>6.4999999999999997E-3</v>
      </c>
      <c r="X29" s="12">
        <v>6.6E-3</v>
      </c>
      <c r="Y29" s="12">
        <v>6.7000000000000002E-3</v>
      </c>
      <c r="Z29" s="12">
        <v>6.7999999999999996E-3</v>
      </c>
      <c r="AA29" s="12">
        <v>6.7999999999999996E-3</v>
      </c>
      <c r="AB29" s="12">
        <v>6.8999999999999999E-3</v>
      </c>
      <c r="AC29" s="12">
        <v>6.8999999999999999E-3</v>
      </c>
      <c r="AD29" s="12" t="s">
        <v>73</v>
      </c>
    </row>
    <row r="30" spans="1:30" x14ac:dyDescent="0.3">
      <c r="A30" s="13" t="s">
        <v>569</v>
      </c>
      <c r="B30" s="14" t="s">
        <v>598</v>
      </c>
      <c r="C30" t="s">
        <v>118</v>
      </c>
      <c r="D30" s="5" t="s">
        <v>119</v>
      </c>
      <c r="E30" s="12">
        <v>1.8800000000000001E-2</v>
      </c>
      <c r="F30" s="12">
        <v>2.0799999999999999E-2</v>
      </c>
      <c r="G30" s="12">
        <v>1.9800000000000002E-2</v>
      </c>
      <c r="H30" s="12">
        <v>2.2100000000000002E-2</v>
      </c>
      <c r="I30" s="12">
        <v>2.0799999999999999E-2</v>
      </c>
      <c r="J30" s="12">
        <v>2.1299999999999999E-2</v>
      </c>
      <c r="K30" s="12">
        <v>2.2200000000000001E-2</v>
      </c>
      <c r="L30" s="12">
        <v>2.3199999999999998E-2</v>
      </c>
      <c r="M30" s="12">
        <v>2.3400000000000001E-2</v>
      </c>
      <c r="N30" s="12">
        <v>2.23E-2</v>
      </c>
      <c r="O30" s="12">
        <v>2.3599999999999999E-2</v>
      </c>
      <c r="P30" s="12">
        <v>2.0400000000000001E-2</v>
      </c>
      <c r="Q30" s="12">
        <v>2.18E-2</v>
      </c>
      <c r="R30" s="12">
        <v>2.1999999999999999E-2</v>
      </c>
      <c r="S30" s="12">
        <v>2.1299999999999999E-2</v>
      </c>
      <c r="T30" s="12">
        <v>2.3E-2</v>
      </c>
      <c r="U30" s="12">
        <v>2.2800000000000001E-2</v>
      </c>
      <c r="V30" s="12">
        <v>2.1700000000000001E-2</v>
      </c>
      <c r="W30" s="12">
        <v>2.1700000000000001E-2</v>
      </c>
      <c r="X30" s="12">
        <v>2.0400000000000001E-2</v>
      </c>
      <c r="Y30" s="12">
        <v>2.3199999999999998E-2</v>
      </c>
      <c r="Z30" s="12">
        <v>2.2800000000000001E-2</v>
      </c>
      <c r="AA30" s="12">
        <v>2.23E-2</v>
      </c>
      <c r="AB30" s="12">
        <v>2.1600000000000001E-2</v>
      </c>
      <c r="AC30" s="12">
        <v>2.12E-2</v>
      </c>
      <c r="AD30" s="12" t="s">
        <v>73</v>
      </c>
    </row>
    <row r="31" spans="1:30" x14ac:dyDescent="0.3">
      <c r="A31" s="13" t="s">
        <v>569</v>
      </c>
      <c r="B31" s="14" t="s">
        <v>599</v>
      </c>
      <c r="C31" t="s">
        <v>120</v>
      </c>
      <c r="D31" s="5" t="s">
        <v>121</v>
      </c>
      <c r="E31" s="12">
        <v>3.1307999999999998</v>
      </c>
      <c r="F31" s="12">
        <v>2.8371</v>
      </c>
      <c r="G31" s="12">
        <v>2.6215999999999999</v>
      </c>
      <c r="H31" s="12">
        <v>2.8127</v>
      </c>
      <c r="I31" s="12">
        <v>2.8563999999999998</v>
      </c>
      <c r="J31" s="12">
        <v>2.6577999999999999</v>
      </c>
      <c r="K31" s="12">
        <v>2.4580000000000002</v>
      </c>
      <c r="L31" s="12">
        <v>2.5994999999999999</v>
      </c>
      <c r="M31" s="12">
        <v>2.4954999999999998</v>
      </c>
      <c r="N31" s="12">
        <v>2.3687999999999998</v>
      </c>
      <c r="O31" s="12">
        <v>2.2168999999999999</v>
      </c>
      <c r="P31" s="12">
        <v>2.2317999999999998</v>
      </c>
      <c r="Q31" s="12">
        <v>2.1787999999999998</v>
      </c>
      <c r="R31" s="12">
        <v>2.0792000000000002</v>
      </c>
      <c r="S31" s="12">
        <v>2.1793</v>
      </c>
      <c r="T31" s="12">
        <v>2.1735000000000002</v>
      </c>
      <c r="U31" s="12">
        <v>2.153</v>
      </c>
      <c r="V31" s="12">
        <v>2.1819999999999999</v>
      </c>
      <c r="W31" s="12">
        <v>2.1383000000000001</v>
      </c>
      <c r="X31" s="12">
        <v>2.0754000000000001</v>
      </c>
      <c r="Y31" s="12">
        <v>2.2025000000000001</v>
      </c>
      <c r="Z31" s="12">
        <v>2.1825999999999999</v>
      </c>
      <c r="AA31" s="12">
        <v>2.0720999999999998</v>
      </c>
      <c r="AB31" s="12">
        <v>2.0640999999999998</v>
      </c>
      <c r="AC31" s="12">
        <v>2.0486</v>
      </c>
      <c r="AD31" s="12" t="s">
        <v>73</v>
      </c>
    </row>
    <row r="32" spans="1:30" x14ac:dyDescent="0.3">
      <c r="A32" s="13" t="s">
        <v>569</v>
      </c>
      <c r="B32" s="14" t="s">
        <v>600</v>
      </c>
      <c r="C32" t="s">
        <v>122</v>
      </c>
      <c r="D32" s="5" t="s">
        <v>123</v>
      </c>
      <c r="E32" s="12">
        <v>7.2114000000000003</v>
      </c>
      <c r="F32" s="12">
        <v>7.4861000000000004</v>
      </c>
      <c r="G32" s="12">
        <v>7.625</v>
      </c>
      <c r="H32" s="12">
        <v>9.8269000000000002</v>
      </c>
      <c r="I32" s="12">
        <v>10.0167</v>
      </c>
      <c r="J32" s="12">
        <v>10.308199999999999</v>
      </c>
      <c r="K32" s="12">
        <v>10.5318</v>
      </c>
      <c r="L32" s="12">
        <v>10.6882</v>
      </c>
      <c r="M32" s="12">
        <v>11.2232</v>
      </c>
      <c r="N32" s="12">
        <v>11.514799999999999</v>
      </c>
      <c r="O32" s="12">
        <v>11.9785</v>
      </c>
      <c r="P32" s="12">
        <v>12.178100000000001</v>
      </c>
      <c r="Q32" s="12">
        <v>12.546799999999999</v>
      </c>
      <c r="R32" s="12">
        <v>12.8027</v>
      </c>
      <c r="S32" s="12">
        <v>13.128</v>
      </c>
      <c r="T32" s="12">
        <v>13.388999999999999</v>
      </c>
      <c r="U32" s="12">
        <v>13.8569</v>
      </c>
      <c r="V32" s="12">
        <v>14.059200000000001</v>
      </c>
      <c r="W32" s="12">
        <v>14.389200000000001</v>
      </c>
      <c r="X32" s="12">
        <v>14.778</v>
      </c>
      <c r="Y32" s="12">
        <v>12.1195</v>
      </c>
      <c r="Z32" s="12">
        <v>15.3216</v>
      </c>
      <c r="AA32" s="12">
        <v>15.250299999999999</v>
      </c>
      <c r="AB32" s="12">
        <v>14.446899999999999</v>
      </c>
      <c r="AC32" s="12">
        <v>14.394399999999999</v>
      </c>
      <c r="AD32" s="12" t="s">
        <v>73</v>
      </c>
    </row>
    <row r="33" spans="1:30" x14ac:dyDescent="0.3">
      <c r="A33" s="13" t="s">
        <v>569</v>
      </c>
      <c r="B33" s="14" t="s">
        <v>601</v>
      </c>
      <c r="C33" t="s">
        <v>124</v>
      </c>
      <c r="D33" s="5" t="s">
        <v>125</v>
      </c>
      <c r="E33" s="12">
        <v>0.56399999999999995</v>
      </c>
      <c r="F33" s="12">
        <v>0.59240000000000004</v>
      </c>
      <c r="G33" s="12">
        <v>0.55369999999999997</v>
      </c>
      <c r="H33" s="12">
        <v>0.57889999999999997</v>
      </c>
      <c r="I33" s="12">
        <v>0.621</v>
      </c>
      <c r="J33" s="12">
        <v>0.66810000000000003</v>
      </c>
      <c r="K33" s="12">
        <v>0.76119999999999999</v>
      </c>
      <c r="L33" s="12">
        <v>0.83179999999999998</v>
      </c>
      <c r="M33" s="12">
        <v>0.90649999999999997</v>
      </c>
      <c r="N33" s="12">
        <v>1.0494000000000001</v>
      </c>
      <c r="O33" s="12">
        <v>1.2029000000000001</v>
      </c>
      <c r="P33" s="12">
        <v>1.3113999999999999</v>
      </c>
      <c r="Q33" s="12">
        <v>1.2984</v>
      </c>
      <c r="R33" s="12">
        <v>1.5653999999999999</v>
      </c>
      <c r="S33" s="12">
        <v>1.5518000000000001</v>
      </c>
      <c r="T33" s="12">
        <v>1.5206</v>
      </c>
      <c r="U33" s="12">
        <v>1.6907000000000001</v>
      </c>
      <c r="V33" s="12">
        <v>2.1331000000000002</v>
      </c>
      <c r="W33" s="12">
        <v>2.1345000000000001</v>
      </c>
      <c r="X33" s="12">
        <v>1.9111</v>
      </c>
      <c r="Y33" s="12">
        <v>1.7394000000000001</v>
      </c>
      <c r="Z33" s="12">
        <v>2.4601000000000002</v>
      </c>
      <c r="AA33" s="12">
        <v>2.5129000000000001</v>
      </c>
      <c r="AB33" s="12">
        <v>2.7759</v>
      </c>
      <c r="AC33" s="12">
        <v>2.9026999999999998</v>
      </c>
      <c r="AD33" s="12" t="s">
        <v>73</v>
      </c>
    </row>
    <row r="34" spans="1:30" x14ac:dyDescent="0.3">
      <c r="A34" s="13" t="s">
        <v>569</v>
      </c>
      <c r="B34" s="14" t="s">
        <v>602</v>
      </c>
      <c r="C34" t="s">
        <v>126</v>
      </c>
      <c r="D34" s="5" t="s">
        <v>127</v>
      </c>
      <c r="E34" s="12">
        <v>6.6400000000000001E-2</v>
      </c>
      <c r="F34" s="12">
        <v>6.2399999999999997E-2</v>
      </c>
      <c r="G34" s="12">
        <v>6.2600000000000003E-2</v>
      </c>
      <c r="H34" s="12">
        <v>6.1699999999999998E-2</v>
      </c>
      <c r="I34" s="12">
        <v>6.7500000000000004E-2</v>
      </c>
      <c r="J34" s="12">
        <v>6.6799999999999998E-2</v>
      </c>
      <c r="K34" s="12">
        <v>6.4600000000000005E-2</v>
      </c>
      <c r="L34" s="12">
        <v>6.1199999999999997E-2</v>
      </c>
      <c r="M34" s="12">
        <v>6.0299999999999999E-2</v>
      </c>
      <c r="N34" s="12">
        <v>6.5000000000000002E-2</v>
      </c>
      <c r="O34" s="12">
        <v>6.7599999999999993E-2</v>
      </c>
      <c r="P34" s="12">
        <v>6.7500000000000004E-2</v>
      </c>
      <c r="Q34" s="12">
        <v>6.8699999999999997E-2</v>
      </c>
      <c r="R34" s="12">
        <v>6.9800000000000001E-2</v>
      </c>
      <c r="S34" s="12">
        <v>7.0900000000000005E-2</v>
      </c>
      <c r="T34" s="12">
        <v>7.2099999999999997E-2</v>
      </c>
      <c r="U34" s="12">
        <v>7.3099999999999998E-2</v>
      </c>
      <c r="V34" s="12">
        <v>6.4100000000000004E-2</v>
      </c>
      <c r="W34" s="12">
        <v>6.3799999999999996E-2</v>
      </c>
      <c r="X34" s="12">
        <v>6.4500000000000002E-2</v>
      </c>
      <c r="Y34" s="12">
        <v>6.8599999999999994E-2</v>
      </c>
      <c r="Z34" s="12">
        <v>6.9400000000000003E-2</v>
      </c>
      <c r="AA34" s="12">
        <v>7.0000000000000007E-2</v>
      </c>
      <c r="AB34" s="12">
        <v>7.0999999999999994E-2</v>
      </c>
      <c r="AC34" s="12">
        <v>7.2300000000000003E-2</v>
      </c>
      <c r="AD34" s="12" t="s">
        <v>73</v>
      </c>
    </row>
    <row r="35" spans="1:30" x14ac:dyDescent="0.3">
      <c r="A35" s="13" t="s">
        <v>569</v>
      </c>
      <c r="B35" s="14" t="s">
        <v>603</v>
      </c>
      <c r="C35" t="s">
        <v>128</v>
      </c>
      <c r="D35" s="5" t="s">
        <v>129</v>
      </c>
      <c r="E35" s="12">
        <v>13.6485</v>
      </c>
      <c r="F35" s="12">
        <v>13.6629</v>
      </c>
      <c r="G35" s="12">
        <v>13.5014</v>
      </c>
      <c r="H35" s="12">
        <v>15.079700000000001</v>
      </c>
      <c r="I35" s="12">
        <v>14.364599999999999</v>
      </c>
      <c r="J35" s="12">
        <v>16.925599999999999</v>
      </c>
      <c r="K35" s="12">
        <v>17.712700000000002</v>
      </c>
      <c r="L35" s="12">
        <v>18.215299999999999</v>
      </c>
      <c r="M35" s="12">
        <v>18.6953</v>
      </c>
      <c r="N35" s="12">
        <v>19.283999999999999</v>
      </c>
      <c r="O35" s="12">
        <v>19.784099999999999</v>
      </c>
      <c r="P35" s="12">
        <v>20.579000000000001</v>
      </c>
      <c r="Q35" s="12">
        <v>20.3413</v>
      </c>
      <c r="R35" s="12">
        <v>20.2545</v>
      </c>
      <c r="S35" s="12">
        <v>20.387</v>
      </c>
      <c r="T35" s="12">
        <v>20.365600000000001</v>
      </c>
      <c r="U35" s="12">
        <v>20.954000000000001</v>
      </c>
      <c r="V35" s="12">
        <v>21.5549</v>
      </c>
      <c r="W35" s="12">
        <v>21.926500000000001</v>
      </c>
      <c r="X35" s="12">
        <v>21.853899999999999</v>
      </c>
      <c r="Y35" s="12">
        <v>21.8476</v>
      </c>
      <c r="Z35" s="12">
        <v>23.293199999999999</v>
      </c>
      <c r="AA35" s="12">
        <v>22.304200000000002</v>
      </c>
      <c r="AB35" s="12">
        <v>23.623999999999999</v>
      </c>
      <c r="AC35" s="12">
        <v>23.8279</v>
      </c>
      <c r="AD35" s="12" t="s">
        <v>73</v>
      </c>
    </row>
    <row r="36" spans="1:30" x14ac:dyDescent="0.3">
      <c r="A36" s="13" t="s">
        <v>569</v>
      </c>
      <c r="B36" s="14" t="s">
        <v>604</v>
      </c>
      <c r="C36" t="s">
        <v>130</v>
      </c>
      <c r="D36" s="5" t="s">
        <v>131</v>
      </c>
      <c r="E36" s="12">
        <v>7.3944000000000001</v>
      </c>
      <c r="F36" s="12">
        <v>7.3262999999999998</v>
      </c>
      <c r="G36" s="12">
        <v>7.1371000000000002</v>
      </c>
      <c r="H36" s="12">
        <v>7.3516000000000004</v>
      </c>
      <c r="I36" s="12">
        <v>7.4455999999999998</v>
      </c>
      <c r="J36" s="12">
        <v>7.5576999999999996</v>
      </c>
      <c r="K36" s="12">
        <v>7.4741999999999997</v>
      </c>
      <c r="L36" s="12">
        <v>7.3902000000000001</v>
      </c>
      <c r="M36" s="12">
        <v>6.3823999999999996</v>
      </c>
      <c r="N36" s="12">
        <v>6.2680999999999996</v>
      </c>
      <c r="O36" s="12">
        <v>6.3205999999999998</v>
      </c>
      <c r="P36" s="12">
        <v>6.5065999999999997</v>
      </c>
      <c r="Q36" s="12">
        <v>6.8367000000000004</v>
      </c>
      <c r="R36" s="12">
        <v>7.1441999999999997</v>
      </c>
      <c r="S36" s="12">
        <v>7.3330000000000002</v>
      </c>
      <c r="T36" s="12">
        <v>7.5904999999999996</v>
      </c>
      <c r="U36" s="12">
        <v>7.2084999999999999</v>
      </c>
      <c r="V36" s="12">
        <v>7.2028999999999996</v>
      </c>
      <c r="W36" s="12">
        <v>7.1976000000000004</v>
      </c>
      <c r="X36" s="12">
        <v>7.3506999999999998</v>
      </c>
      <c r="Y36" s="12">
        <v>7.3465999999999996</v>
      </c>
      <c r="Z36" s="12">
        <v>7.4569999999999999</v>
      </c>
      <c r="AA36" s="12">
        <v>7.4962999999999997</v>
      </c>
      <c r="AB36" s="12">
        <v>7.4123999999999999</v>
      </c>
      <c r="AC36" s="12">
        <v>7.4448999999999996</v>
      </c>
      <c r="AD36" s="12" t="s">
        <v>73</v>
      </c>
    </row>
    <row r="37" spans="1:30" x14ac:dyDescent="0.3">
      <c r="A37" s="13" t="s">
        <v>569</v>
      </c>
      <c r="B37" s="14" t="s">
        <v>605</v>
      </c>
      <c r="C37" t="s">
        <v>9</v>
      </c>
      <c r="D37" s="5" t="s">
        <v>132</v>
      </c>
      <c r="E37" s="12">
        <v>30.8992</v>
      </c>
      <c r="F37" s="12">
        <v>31.822299999999998</v>
      </c>
      <c r="G37" s="12">
        <v>32.229199999999999</v>
      </c>
      <c r="H37" s="12">
        <v>31.8689</v>
      </c>
      <c r="I37" s="12">
        <v>33.564399999999999</v>
      </c>
      <c r="J37" s="12">
        <v>34.064100000000003</v>
      </c>
      <c r="K37" s="12">
        <v>33.755000000000003</v>
      </c>
      <c r="L37" s="12">
        <v>32.61</v>
      </c>
      <c r="M37" s="12">
        <v>31.541599999999999</v>
      </c>
      <c r="N37" s="12">
        <v>30.360099999999999</v>
      </c>
      <c r="O37" s="12">
        <v>29.861699999999999</v>
      </c>
      <c r="P37" s="12">
        <v>29.646999999999998</v>
      </c>
      <c r="Q37" s="12">
        <v>30.378399999999999</v>
      </c>
      <c r="R37" s="12">
        <v>30.9116</v>
      </c>
      <c r="S37" s="12">
        <v>31.103300000000001</v>
      </c>
      <c r="T37" s="12">
        <v>30.924499999999998</v>
      </c>
      <c r="U37" s="12">
        <v>31.023399999999999</v>
      </c>
      <c r="V37" s="12">
        <v>30.952200000000001</v>
      </c>
      <c r="W37" s="12">
        <v>31.445799999999998</v>
      </c>
      <c r="X37" s="12">
        <v>31.426400000000001</v>
      </c>
      <c r="Y37" s="12">
        <v>31.192599999999999</v>
      </c>
      <c r="Z37" s="12">
        <v>31.1694</v>
      </c>
      <c r="AA37" s="12">
        <v>31.195</v>
      </c>
      <c r="AB37" s="12">
        <v>30.6326</v>
      </c>
      <c r="AC37" s="12">
        <v>30.528500000000001</v>
      </c>
      <c r="AD37" s="12" t="s">
        <v>73</v>
      </c>
    </row>
    <row r="38" spans="1:30" x14ac:dyDescent="0.3">
      <c r="A38" s="13" t="s">
        <v>569</v>
      </c>
      <c r="B38" s="14" t="s">
        <v>606</v>
      </c>
      <c r="C38" t="s">
        <v>133</v>
      </c>
      <c r="D38" s="5" t="s">
        <v>134</v>
      </c>
      <c r="E38" s="12">
        <v>3.3E-3</v>
      </c>
      <c r="F38" s="12">
        <v>3.3999999999999998E-3</v>
      </c>
      <c r="G38" s="12">
        <v>3.3999999999999998E-3</v>
      </c>
      <c r="H38" s="12">
        <v>3.5000000000000001E-3</v>
      </c>
      <c r="I38" s="12">
        <v>3.5000000000000001E-3</v>
      </c>
      <c r="J38" s="12">
        <v>3.5000000000000001E-3</v>
      </c>
      <c r="K38" s="12">
        <v>3.5999999999999999E-3</v>
      </c>
      <c r="L38" s="12">
        <v>4.3E-3</v>
      </c>
      <c r="M38" s="12">
        <v>4.7000000000000002E-3</v>
      </c>
      <c r="N38" s="12">
        <v>3.8999999999999998E-3</v>
      </c>
      <c r="O38" s="12">
        <v>3.8E-3</v>
      </c>
      <c r="P38" s="12">
        <v>3.8E-3</v>
      </c>
      <c r="Q38" s="12">
        <v>3.7000000000000002E-3</v>
      </c>
      <c r="R38" s="12">
        <v>3.7000000000000002E-3</v>
      </c>
      <c r="S38" s="12">
        <v>3.8E-3</v>
      </c>
      <c r="T38" s="12">
        <v>3.8999999999999998E-3</v>
      </c>
      <c r="U38" s="12">
        <v>4.1000000000000003E-3</v>
      </c>
      <c r="V38" s="12">
        <v>4.1000000000000003E-3</v>
      </c>
      <c r="W38" s="12">
        <v>4.1000000000000003E-3</v>
      </c>
      <c r="X38" s="12">
        <v>4.1000000000000003E-3</v>
      </c>
      <c r="Y38" s="12">
        <v>4.1999999999999997E-3</v>
      </c>
      <c r="Z38" s="12">
        <v>4.3E-3</v>
      </c>
      <c r="AA38" s="12">
        <v>4.3E-3</v>
      </c>
      <c r="AB38" s="12">
        <v>4.3E-3</v>
      </c>
      <c r="AC38" s="12">
        <v>4.4000000000000003E-3</v>
      </c>
      <c r="AD38" s="12" t="s">
        <v>73</v>
      </c>
    </row>
    <row r="39" spans="1:30" x14ac:dyDescent="0.3">
      <c r="A39" s="13" t="s">
        <v>569</v>
      </c>
      <c r="B39" s="14" t="s">
        <v>607</v>
      </c>
      <c r="C39" t="s">
        <v>135</v>
      </c>
      <c r="D39" s="5" t="s">
        <v>136</v>
      </c>
      <c r="E39" s="12">
        <v>3.9904999999999999</v>
      </c>
      <c r="F39" s="12">
        <v>4.0633999999999997</v>
      </c>
      <c r="G39" s="12">
        <v>4.1375999999999999</v>
      </c>
      <c r="H39" s="12">
        <v>4.2061999999999999</v>
      </c>
      <c r="I39" s="12">
        <v>4.2731000000000003</v>
      </c>
      <c r="J39" s="12">
        <v>4.3596000000000004</v>
      </c>
      <c r="K39" s="12">
        <v>4.5011999999999999</v>
      </c>
      <c r="L39" s="12">
        <v>4.8177000000000003</v>
      </c>
      <c r="M39" s="12">
        <v>4.7721999999999998</v>
      </c>
      <c r="N39" s="12">
        <v>4.9085999999999999</v>
      </c>
      <c r="O39" s="12">
        <v>5.0206</v>
      </c>
      <c r="P39" s="12">
        <v>5.4682000000000004</v>
      </c>
      <c r="Q39" s="12">
        <v>5.5640000000000001</v>
      </c>
      <c r="R39" s="12">
        <v>5.6238000000000001</v>
      </c>
      <c r="S39" s="12">
        <v>5.6951000000000001</v>
      </c>
      <c r="T39" s="12">
        <v>5.8193000000000001</v>
      </c>
      <c r="U39" s="12">
        <v>5.9496000000000002</v>
      </c>
      <c r="V39" s="12">
        <v>5.8461999999999996</v>
      </c>
      <c r="W39" s="12">
        <v>5.9869000000000003</v>
      </c>
      <c r="X39" s="12">
        <v>5.9749999999999996</v>
      </c>
      <c r="Y39" s="12">
        <v>6.1454000000000004</v>
      </c>
      <c r="Z39" s="12">
        <v>6.1875</v>
      </c>
      <c r="AA39" s="12">
        <v>6.2946</v>
      </c>
      <c r="AB39" s="12">
        <v>6.3741000000000003</v>
      </c>
      <c r="AC39" s="12">
        <v>6.4504999999999999</v>
      </c>
      <c r="AD39" s="12" t="s">
        <v>73</v>
      </c>
    </row>
    <row r="40" spans="1:30" x14ac:dyDescent="0.3">
      <c r="A40" s="13" t="s">
        <v>569</v>
      </c>
      <c r="B40" s="14" t="s">
        <v>608</v>
      </c>
      <c r="C40" t="s">
        <v>137</v>
      </c>
      <c r="D40" s="5" t="s">
        <v>138</v>
      </c>
      <c r="E40" s="12">
        <v>17.370899999999999</v>
      </c>
      <c r="F40" s="12">
        <v>18.382200000000001</v>
      </c>
      <c r="G40" s="12">
        <v>19.458500000000001</v>
      </c>
      <c r="H40" s="12">
        <v>20.5807</v>
      </c>
      <c r="I40" s="12">
        <v>21.733899999999998</v>
      </c>
      <c r="J40" s="12">
        <v>23.0214</v>
      </c>
      <c r="K40" s="12">
        <v>24.342199999999998</v>
      </c>
      <c r="L40" s="12">
        <v>25.778400000000001</v>
      </c>
      <c r="M40" s="12">
        <v>27.323799999999999</v>
      </c>
      <c r="N40" s="12">
        <v>28.9236</v>
      </c>
      <c r="O40" s="12">
        <v>30.662700000000001</v>
      </c>
      <c r="P40" s="12">
        <v>32.331000000000003</v>
      </c>
      <c r="Q40" s="12">
        <v>34.236499999999999</v>
      </c>
      <c r="R40" s="12">
        <v>36.342100000000002</v>
      </c>
      <c r="S40" s="12">
        <v>38.3718</v>
      </c>
      <c r="T40" s="12">
        <v>41.631100000000004</v>
      </c>
      <c r="U40" s="12">
        <v>44.061999999999998</v>
      </c>
      <c r="V40" s="12">
        <v>46.697499999999998</v>
      </c>
      <c r="W40" s="12">
        <v>49.444899999999997</v>
      </c>
      <c r="X40" s="12">
        <v>52.376399999999997</v>
      </c>
      <c r="Y40" s="12">
        <v>55.460099999999997</v>
      </c>
      <c r="Z40" s="12">
        <v>58.115099999999998</v>
      </c>
      <c r="AA40" s="12">
        <v>61.980499999999999</v>
      </c>
      <c r="AB40" s="12">
        <v>65.873699999999999</v>
      </c>
      <c r="AC40" s="12">
        <v>69.167699999999996</v>
      </c>
      <c r="AD40" s="12" t="s">
        <v>73</v>
      </c>
    </row>
    <row r="41" spans="1:30" x14ac:dyDescent="0.3">
      <c r="A41" s="13" t="s">
        <v>569</v>
      </c>
      <c r="B41" s="14" t="s">
        <v>609</v>
      </c>
      <c r="C41" t="s">
        <v>139</v>
      </c>
      <c r="D41" s="5" t="s">
        <v>140</v>
      </c>
      <c r="E41" s="12" t="s">
        <v>73</v>
      </c>
      <c r="F41" s="12" t="s">
        <v>73</v>
      </c>
      <c r="G41" s="12" t="s">
        <v>73</v>
      </c>
      <c r="H41" s="12" t="s">
        <v>73</v>
      </c>
      <c r="I41" s="12" t="s">
        <v>73</v>
      </c>
      <c r="J41" s="12" t="s">
        <v>73</v>
      </c>
      <c r="K41" s="12" t="s">
        <v>73</v>
      </c>
      <c r="L41" s="12" t="s">
        <v>73</v>
      </c>
      <c r="M41" s="12" t="s">
        <v>73</v>
      </c>
      <c r="N41" s="12" t="s">
        <v>73</v>
      </c>
      <c r="O41" s="12" t="s">
        <v>73</v>
      </c>
      <c r="P41" s="12" t="s">
        <v>73</v>
      </c>
      <c r="Q41" s="12" t="s">
        <v>73</v>
      </c>
      <c r="R41" s="12" t="s">
        <v>73</v>
      </c>
      <c r="S41" s="12" t="s">
        <v>73</v>
      </c>
      <c r="T41" s="12" t="s">
        <v>73</v>
      </c>
      <c r="U41" s="12" t="s">
        <v>73</v>
      </c>
      <c r="V41" s="12" t="s">
        <v>73</v>
      </c>
      <c r="W41" s="12" t="s">
        <v>73</v>
      </c>
      <c r="X41" s="12" t="s">
        <v>73</v>
      </c>
      <c r="Y41" s="12" t="s">
        <v>73</v>
      </c>
      <c r="Z41" s="12" t="s">
        <v>73</v>
      </c>
      <c r="AA41" s="12" t="s">
        <v>73</v>
      </c>
      <c r="AB41" s="12" t="s">
        <v>73</v>
      </c>
      <c r="AC41" s="12" t="s">
        <v>73</v>
      </c>
      <c r="AD41" s="12" t="s">
        <v>73</v>
      </c>
    </row>
    <row r="42" spans="1:30" x14ac:dyDescent="0.3">
      <c r="A42" s="13" t="s">
        <v>569</v>
      </c>
      <c r="B42" s="14" t="s">
        <v>610</v>
      </c>
      <c r="C42" t="s">
        <v>10</v>
      </c>
      <c r="D42" s="5" t="s">
        <v>141</v>
      </c>
      <c r="E42" s="12">
        <v>9.0012000000000008</v>
      </c>
      <c r="F42" s="12">
        <v>8.9113000000000007</v>
      </c>
      <c r="G42" s="12">
        <v>8.8224</v>
      </c>
      <c r="H42" s="12">
        <v>8.7841000000000005</v>
      </c>
      <c r="I42" s="12">
        <v>8.9029000000000007</v>
      </c>
      <c r="J42" s="12">
        <v>8.8806999999999992</v>
      </c>
      <c r="K42" s="12">
        <v>8.7887000000000004</v>
      </c>
      <c r="L42" s="12">
        <v>8.4908999999999999</v>
      </c>
      <c r="M42" s="12">
        <v>8.6450999999999993</v>
      </c>
      <c r="N42" s="12">
        <v>8.7544000000000004</v>
      </c>
      <c r="O42" s="12">
        <v>8.7017000000000007</v>
      </c>
      <c r="P42" s="12">
        <v>8.6254000000000008</v>
      </c>
      <c r="Q42" s="12">
        <v>8.6754999999999995</v>
      </c>
      <c r="R42" s="12">
        <v>7.1548999999999996</v>
      </c>
      <c r="S42" s="12">
        <v>6.7965999999999998</v>
      </c>
      <c r="T42" s="12">
        <v>6.4142999999999999</v>
      </c>
      <c r="U42" s="12">
        <v>6.5835999999999997</v>
      </c>
      <c r="V42" s="12">
        <v>6.6588000000000003</v>
      </c>
      <c r="W42" s="12">
        <v>6.8836000000000004</v>
      </c>
      <c r="X42" s="12">
        <v>7.1222000000000003</v>
      </c>
      <c r="Y42" s="12">
        <v>7.2805</v>
      </c>
      <c r="Z42" s="12">
        <v>6.8800999999999997</v>
      </c>
      <c r="AA42" s="12">
        <v>6.7648999999999999</v>
      </c>
      <c r="AB42" s="12">
        <v>6.6330999999999998</v>
      </c>
      <c r="AC42" s="12">
        <v>6.6464999999999996</v>
      </c>
      <c r="AD42" s="12" t="s">
        <v>73</v>
      </c>
    </row>
    <row r="43" spans="1:30" x14ac:dyDescent="0.3">
      <c r="A43" s="13" t="s">
        <v>569</v>
      </c>
      <c r="B43" s="14" t="s">
        <v>611</v>
      </c>
      <c r="C43" t="s">
        <v>11</v>
      </c>
      <c r="D43" s="5" t="s">
        <v>142</v>
      </c>
      <c r="E43" s="12">
        <v>513.07510000000002</v>
      </c>
      <c r="F43" s="12">
        <v>497.26569999999998</v>
      </c>
      <c r="G43" s="12">
        <v>485.17899999999997</v>
      </c>
      <c r="H43" s="12">
        <v>469.42129999999997</v>
      </c>
      <c r="I43" s="12">
        <v>487.49930000000001</v>
      </c>
      <c r="J43" s="12">
        <v>487.99549999999999</v>
      </c>
      <c r="K43" s="12">
        <v>488.41520000000003</v>
      </c>
      <c r="L43" s="12">
        <v>480.17660000000001</v>
      </c>
      <c r="M43" s="12">
        <v>489.46129999999999</v>
      </c>
      <c r="N43" s="12">
        <v>488.61700000000002</v>
      </c>
      <c r="O43" s="12">
        <v>486.75540000000001</v>
      </c>
      <c r="P43" s="12">
        <v>483.73630000000003</v>
      </c>
      <c r="Q43" s="12">
        <v>483.37970000000001</v>
      </c>
      <c r="R43" s="12">
        <v>483.20519999999999</v>
      </c>
      <c r="S43" s="12">
        <v>484.94229999999999</v>
      </c>
      <c r="T43" s="12">
        <v>487.3929</v>
      </c>
      <c r="U43" s="12">
        <v>488.18490000000003</v>
      </c>
      <c r="V43" s="12">
        <v>481.19229999999999</v>
      </c>
      <c r="W43" s="12">
        <v>478.80900000000003</v>
      </c>
      <c r="X43" s="12">
        <v>465.55900000000003</v>
      </c>
      <c r="Y43" s="12">
        <v>475.70549999999997</v>
      </c>
      <c r="Z43" s="12">
        <v>480.2183</v>
      </c>
      <c r="AA43" s="12">
        <v>477.15499999999997</v>
      </c>
      <c r="AB43" s="12">
        <v>500.24299999999999</v>
      </c>
      <c r="AC43" s="12">
        <v>498.9837</v>
      </c>
      <c r="AD43" s="12" t="s">
        <v>73</v>
      </c>
    </row>
    <row r="44" spans="1:30" x14ac:dyDescent="0.3">
      <c r="A44" s="13" t="s">
        <v>569</v>
      </c>
      <c r="B44" s="14" t="s">
        <v>612</v>
      </c>
      <c r="C44" t="s">
        <v>12</v>
      </c>
      <c r="D44" s="5" t="s">
        <v>143</v>
      </c>
      <c r="E44" s="12">
        <v>47.561700000000002</v>
      </c>
      <c r="F44" s="12">
        <v>47.877499999999998</v>
      </c>
      <c r="G44" s="12">
        <v>48.149099999999997</v>
      </c>
      <c r="H44" s="12">
        <v>48.676499999999997</v>
      </c>
      <c r="I44" s="12">
        <v>49.024900000000002</v>
      </c>
      <c r="J44" s="12">
        <v>49.9482</v>
      </c>
      <c r="K44" s="12">
        <v>50.3491</v>
      </c>
      <c r="L44" s="12">
        <v>51.456000000000003</v>
      </c>
      <c r="M44" s="12">
        <v>52.283700000000003</v>
      </c>
      <c r="N44" s="12">
        <v>52.050899999999999</v>
      </c>
      <c r="O44" s="12">
        <v>53.1813</v>
      </c>
      <c r="P44" s="12">
        <v>50.209000000000003</v>
      </c>
      <c r="Q44" s="12">
        <v>47.668399999999998</v>
      </c>
      <c r="R44" s="12">
        <v>47.3491</v>
      </c>
      <c r="S44" s="12">
        <v>45.0824</v>
      </c>
      <c r="T44" s="12">
        <v>44.5227</v>
      </c>
      <c r="U44" s="12">
        <v>45.7483</v>
      </c>
      <c r="V44" s="12">
        <v>48.799900000000001</v>
      </c>
      <c r="W44" s="12">
        <v>51.840400000000002</v>
      </c>
      <c r="X44" s="12">
        <v>54.288699999999999</v>
      </c>
      <c r="Y44" s="12">
        <v>56.105899999999998</v>
      </c>
      <c r="Z44" s="12">
        <v>58.7012</v>
      </c>
      <c r="AA44" s="12">
        <v>58.7654</v>
      </c>
      <c r="AB44" s="12">
        <v>58.737200000000001</v>
      </c>
      <c r="AC44" s="12">
        <v>58.859200000000001</v>
      </c>
      <c r="AD44" s="12" t="s">
        <v>73</v>
      </c>
    </row>
    <row r="45" spans="1:30" x14ac:dyDescent="0.3">
      <c r="A45" s="13" t="s">
        <v>569</v>
      </c>
      <c r="B45" s="14" t="s">
        <v>613</v>
      </c>
      <c r="C45" t="s">
        <v>144</v>
      </c>
      <c r="D45" s="5" t="s">
        <v>145</v>
      </c>
      <c r="E45" s="12">
        <v>7.9500000000000001E-2</v>
      </c>
      <c r="F45" s="12">
        <v>8.1199999999999994E-2</v>
      </c>
      <c r="G45" s="12">
        <v>8.2900000000000001E-2</v>
      </c>
      <c r="H45" s="12">
        <v>7.3200000000000001E-2</v>
      </c>
      <c r="I45" s="12">
        <v>7.5899999999999995E-2</v>
      </c>
      <c r="J45" s="12">
        <v>7.3499999999999996E-2</v>
      </c>
      <c r="K45" s="12">
        <v>7.4999999999999997E-2</v>
      </c>
      <c r="L45" s="12">
        <v>7.4800000000000005E-2</v>
      </c>
      <c r="M45" s="12">
        <v>7.4099999999999999E-2</v>
      </c>
      <c r="N45" s="12">
        <v>7.3099999999999998E-2</v>
      </c>
      <c r="O45" s="12">
        <v>7.0900000000000005E-2</v>
      </c>
      <c r="P45" s="12">
        <v>7.1499999999999994E-2</v>
      </c>
      <c r="Q45" s="12">
        <v>7.1400000000000005E-2</v>
      </c>
      <c r="R45" s="12">
        <v>7.1599999999999997E-2</v>
      </c>
      <c r="S45" s="12">
        <v>7.1400000000000005E-2</v>
      </c>
      <c r="T45" s="12">
        <v>7.1499999999999994E-2</v>
      </c>
      <c r="U45" s="12">
        <v>7.1800000000000003E-2</v>
      </c>
      <c r="V45" s="12">
        <v>7.2099999999999997E-2</v>
      </c>
      <c r="W45" s="12">
        <v>7.2300000000000003E-2</v>
      </c>
      <c r="X45" s="12">
        <v>7.2400000000000006E-2</v>
      </c>
      <c r="Y45" s="12">
        <v>7.22E-2</v>
      </c>
      <c r="Z45" s="12">
        <v>7.2300000000000003E-2</v>
      </c>
      <c r="AA45" s="12">
        <v>7.2400000000000006E-2</v>
      </c>
      <c r="AB45" s="12">
        <v>7.2499999999999995E-2</v>
      </c>
      <c r="AC45" s="12">
        <v>7.2499999999999995E-2</v>
      </c>
      <c r="AD45" s="12" t="s">
        <v>73</v>
      </c>
    </row>
    <row r="46" spans="1:30" x14ac:dyDescent="0.3">
      <c r="A46" s="13" t="s">
        <v>569</v>
      </c>
      <c r="B46" s="14" t="s">
        <v>614</v>
      </c>
      <c r="C46" t="s">
        <v>146</v>
      </c>
      <c r="D46" s="5" t="s">
        <v>147</v>
      </c>
      <c r="E46" s="12">
        <v>1.8523000000000001</v>
      </c>
      <c r="F46" s="12">
        <v>1.802</v>
      </c>
      <c r="G46" s="12">
        <v>1.7503</v>
      </c>
      <c r="H46" s="12">
        <v>1.7508999999999999</v>
      </c>
      <c r="I46" s="12">
        <v>1.7518</v>
      </c>
      <c r="J46" s="12">
        <v>1.7521</v>
      </c>
      <c r="K46" s="12">
        <v>1.7532000000000001</v>
      </c>
      <c r="L46" s="12">
        <v>1.7535000000000001</v>
      </c>
      <c r="M46" s="12">
        <v>1.7554000000000001</v>
      </c>
      <c r="N46" s="12">
        <v>1.7552000000000001</v>
      </c>
      <c r="O46" s="12">
        <v>1.9209000000000001</v>
      </c>
      <c r="P46" s="12">
        <v>1.9193</v>
      </c>
      <c r="Q46" s="12">
        <v>2.0619000000000001</v>
      </c>
      <c r="R46" s="12">
        <v>2.1648999999999998</v>
      </c>
      <c r="S46" s="12">
        <v>2.2258</v>
      </c>
      <c r="T46" s="12">
        <v>2.2909000000000002</v>
      </c>
      <c r="U46" s="12">
        <v>2.3435999999999999</v>
      </c>
      <c r="V46" s="12">
        <v>2.4001999999999999</v>
      </c>
      <c r="W46" s="12">
        <v>2.4725999999999999</v>
      </c>
      <c r="X46" s="12">
        <v>2.5478000000000001</v>
      </c>
      <c r="Y46" s="12">
        <v>2.6833999999999998</v>
      </c>
      <c r="Z46" s="12">
        <v>2.8542000000000001</v>
      </c>
      <c r="AA46" s="12">
        <v>3.0381</v>
      </c>
      <c r="AB46" s="12">
        <v>3.3298999999999999</v>
      </c>
      <c r="AC46" s="12">
        <v>3.5030999999999999</v>
      </c>
      <c r="AD46" s="12" t="s">
        <v>73</v>
      </c>
    </row>
    <row r="47" spans="1:30" x14ac:dyDescent="0.3">
      <c r="A47" s="13" t="s">
        <v>569</v>
      </c>
      <c r="B47" s="14" t="s">
        <v>615</v>
      </c>
      <c r="C47" t="s">
        <v>148</v>
      </c>
      <c r="D47" s="5" t="s">
        <v>149</v>
      </c>
      <c r="E47" s="12">
        <v>0.1613</v>
      </c>
      <c r="F47" s="12">
        <v>0.16489999999999999</v>
      </c>
      <c r="G47" s="12">
        <v>0.17100000000000001</v>
      </c>
      <c r="H47" s="12">
        <v>0.17829999999999999</v>
      </c>
      <c r="I47" s="12">
        <v>0.2326</v>
      </c>
      <c r="J47" s="12">
        <v>0.28720000000000001</v>
      </c>
      <c r="K47" s="12">
        <v>0.3458</v>
      </c>
      <c r="L47" s="12">
        <v>0.40770000000000001</v>
      </c>
      <c r="M47" s="12">
        <v>0.44479999999999997</v>
      </c>
      <c r="N47" s="12">
        <v>0.4385</v>
      </c>
      <c r="O47" s="12">
        <v>0.46989999999999998</v>
      </c>
      <c r="P47" s="12">
        <v>0.4743</v>
      </c>
      <c r="Q47" s="12">
        <v>0.47449999999999998</v>
      </c>
      <c r="R47" s="12">
        <v>0.47460000000000002</v>
      </c>
      <c r="S47" s="12">
        <v>0.47739999999999999</v>
      </c>
      <c r="T47" s="12">
        <v>0.47670000000000001</v>
      </c>
      <c r="U47" s="12">
        <v>0.47599999999999998</v>
      </c>
      <c r="V47" s="12">
        <v>0.47470000000000001</v>
      </c>
      <c r="W47" s="12">
        <v>0.47349999999999998</v>
      </c>
      <c r="X47" s="12">
        <v>0.47389999999999999</v>
      </c>
      <c r="Y47" s="12">
        <v>0.47249999999999998</v>
      </c>
      <c r="Z47" s="12">
        <v>0.47189999999999999</v>
      </c>
      <c r="AA47" s="12">
        <v>0.47170000000000001</v>
      </c>
      <c r="AB47" s="12">
        <v>0.46260000000000001</v>
      </c>
      <c r="AC47" s="12">
        <v>0.46039999999999998</v>
      </c>
      <c r="AD47" s="12" t="s">
        <v>73</v>
      </c>
    </row>
    <row r="48" spans="1:30" x14ac:dyDescent="0.3">
      <c r="A48" s="13" t="s">
        <v>569</v>
      </c>
      <c r="B48" s="14" t="s">
        <v>616</v>
      </c>
      <c r="C48" t="s">
        <v>13</v>
      </c>
      <c r="D48" s="5" t="s">
        <v>150</v>
      </c>
      <c r="E48" s="12">
        <v>3.0602999999999998</v>
      </c>
      <c r="F48" s="12">
        <v>2.8898999999999999</v>
      </c>
      <c r="G48" s="12">
        <v>2.7338</v>
      </c>
      <c r="H48" s="12">
        <v>2.6520999999999999</v>
      </c>
      <c r="I48" s="12">
        <v>2.5636999999999999</v>
      </c>
      <c r="J48" s="12">
        <v>2.6796000000000002</v>
      </c>
      <c r="K48" s="12">
        <v>2.5771000000000002</v>
      </c>
      <c r="L48" s="12">
        <v>2.7618999999999998</v>
      </c>
      <c r="M48" s="12">
        <v>2.9651999999999998</v>
      </c>
      <c r="N48" s="12">
        <v>3.0329000000000002</v>
      </c>
      <c r="O48" s="12">
        <v>3.1757</v>
      </c>
      <c r="P48" s="12">
        <v>3.2073999999999998</v>
      </c>
      <c r="Q48" s="12">
        <v>2.9874999999999998</v>
      </c>
      <c r="R48" s="12">
        <v>3.0617999999999999</v>
      </c>
      <c r="S48" s="12">
        <v>2.9377</v>
      </c>
      <c r="T48" s="12">
        <v>2.9811999999999999</v>
      </c>
      <c r="U48" s="12">
        <v>3.1419999999999999</v>
      </c>
      <c r="V48" s="12">
        <v>3.2351000000000001</v>
      </c>
      <c r="W48" s="12">
        <v>3.4266999999999999</v>
      </c>
      <c r="X48" s="12">
        <v>3.4990999999999999</v>
      </c>
      <c r="Y48" s="12">
        <v>3.1261999999999999</v>
      </c>
      <c r="Z48" s="12">
        <v>3.4655</v>
      </c>
      <c r="AA48" s="12">
        <v>3.5188999999999999</v>
      </c>
      <c r="AB48" s="12">
        <v>4.3963999999999999</v>
      </c>
      <c r="AC48" s="12">
        <v>4.383</v>
      </c>
      <c r="AD48" s="12" t="s">
        <v>73</v>
      </c>
    </row>
    <row r="49" spans="1:30" x14ac:dyDescent="0.3">
      <c r="A49" s="13" t="s">
        <v>569</v>
      </c>
      <c r="B49" s="14" t="s">
        <v>617</v>
      </c>
      <c r="C49" t="s">
        <v>151</v>
      </c>
      <c r="D49" s="5" t="s">
        <v>152</v>
      </c>
      <c r="E49" s="12">
        <v>2.1522000000000001</v>
      </c>
      <c r="F49" s="12">
        <v>2.1934</v>
      </c>
      <c r="G49" s="12">
        <v>2.2343999999999999</v>
      </c>
      <c r="H49" s="12">
        <v>2.2732999999999999</v>
      </c>
      <c r="I49" s="12">
        <v>2.3159999999999998</v>
      </c>
      <c r="J49" s="12">
        <v>2.3692000000000002</v>
      </c>
      <c r="K49" s="12">
        <v>2.4224000000000001</v>
      </c>
      <c r="L49" s="12">
        <v>2.4455</v>
      </c>
      <c r="M49" s="12">
        <v>2.5078</v>
      </c>
      <c r="N49" s="12">
        <v>2.5642999999999998</v>
      </c>
      <c r="O49" s="12">
        <v>2.6419999999999999</v>
      </c>
      <c r="P49" s="12">
        <v>2.5956999999999999</v>
      </c>
      <c r="Q49" s="12">
        <v>2.8464</v>
      </c>
      <c r="R49" s="12">
        <v>2.9643000000000002</v>
      </c>
      <c r="S49" s="12">
        <v>3.0076000000000001</v>
      </c>
      <c r="T49" s="12">
        <v>3.0539000000000001</v>
      </c>
      <c r="U49" s="12">
        <v>3.1476000000000002</v>
      </c>
      <c r="V49" s="12">
        <v>3.2967</v>
      </c>
      <c r="W49" s="12">
        <v>3.3704000000000001</v>
      </c>
      <c r="X49" s="12">
        <v>3.4195000000000002</v>
      </c>
      <c r="Y49" s="12">
        <v>3.3828999999999998</v>
      </c>
      <c r="Z49" s="12">
        <v>3.5358000000000001</v>
      </c>
      <c r="AA49" s="12">
        <v>3.5095999999999998</v>
      </c>
      <c r="AB49" s="12">
        <v>3.7948</v>
      </c>
      <c r="AC49" s="12">
        <v>3.8818000000000001</v>
      </c>
      <c r="AD49" s="12" t="s">
        <v>73</v>
      </c>
    </row>
    <row r="50" spans="1:30" x14ac:dyDescent="0.3">
      <c r="A50" s="13" t="s">
        <v>569</v>
      </c>
      <c r="B50" s="14" t="s">
        <v>618</v>
      </c>
      <c r="C50" t="s">
        <v>153</v>
      </c>
      <c r="D50" s="5" t="s">
        <v>154</v>
      </c>
      <c r="E50" s="12">
        <v>1.4507000000000001</v>
      </c>
      <c r="F50" s="12">
        <v>1.5052000000000001</v>
      </c>
      <c r="G50" s="12">
        <v>1.4864999999999999</v>
      </c>
      <c r="H50" s="12">
        <v>1.5532999999999999</v>
      </c>
      <c r="I50" s="12">
        <v>1.6762999999999999</v>
      </c>
      <c r="J50" s="12">
        <v>1.6329</v>
      </c>
      <c r="K50" s="12">
        <v>1.6533</v>
      </c>
      <c r="L50" s="12">
        <v>1.5799000000000001</v>
      </c>
      <c r="M50" s="12">
        <v>1.4912000000000001</v>
      </c>
      <c r="N50" s="12">
        <v>1.4645999999999999</v>
      </c>
      <c r="O50" s="12">
        <v>1.4161999999999999</v>
      </c>
      <c r="P50" s="12">
        <v>1.4799</v>
      </c>
      <c r="Q50" s="12">
        <v>1.5387999999999999</v>
      </c>
      <c r="R50" s="12">
        <v>1.5270999999999999</v>
      </c>
      <c r="S50" s="12">
        <v>1.6293</v>
      </c>
      <c r="T50" s="12">
        <v>1.6831</v>
      </c>
      <c r="U50" s="12">
        <v>1.69</v>
      </c>
      <c r="V50" s="12">
        <v>1.71</v>
      </c>
      <c r="W50" s="12">
        <v>1.6049</v>
      </c>
      <c r="X50" s="12">
        <v>1.6297999999999999</v>
      </c>
      <c r="Y50" s="12">
        <v>1.6191</v>
      </c>
      <c r="Z50" s="12">
        <v>1.6247</v>
      </c>
      <c r="AA50" s="12">
        <v>1.5752999999999999</v>
      </c>
      <c r="AB50" s="12">
        <v>1.512</v>
      </c>
      <c r="AC50" s="12">
        <v>1.4934000000000001</v>
      </c>
      <c r="AD50" s="12" t="s">
        <v>73</v>
      </c>
    </row>
    <row r="51" spans="1:30" x14ac:dyDescent="0.3">
      <c r="A51" s="13" t="s">
        <v>569</v>
      </c>
      <c r="B51" s="14" t="s">
        <v>619</v>
      </c>
      <c r="C51" t="s">
        <v>155</v>
      </c>
      <c r="D51" s="5" t="s">
        <v>156</v>
      </c>
      <c r="E51" s="12">
        <v>8.1136999999999997</v>
      </c>
      <c r="F51" s="12">
        <v>7.8997999999999999</v>
      </c>
      <c r="G51" s="12">
        <v>7.9160000000000004</v>
      </c>
      <c r="H51" s="12">
        <v>7.9340000000000002</v>
      </c>
      <c r="I51" s="12">
        <v>7.51</v>
      </c>
      <c r="J51" s="12">
        <v>6.8601000000000001</v>
      </c>
      <c r="K51" s="12">
        <v>7.1703999999999999</v>
      </c>
      <c r="L51" s="12">
        <v>7.3357999999999999</v>
      </c>
      <c r="M51" s="12">
        <v>7.6139000000000001</v>
      </c>
      <c r="N51" s="12">
        <v>8.0955999999999992</v>
      </c>
      <c r="O51" s="12">
        <v>8.0885999999999996</v>
      </c>
      <c r="P51" s="12">
        <v>8.3217999999999996</v>
      </c>
      <c r="Q51" s="12">
        <v>8.3925000000000001</v>
      </c>
      <c r="R51" s="12">
        <v>8.4550000000000001</v>
      </c>
      <c r="S51" s="12">
        <v>8.4539000000000009</v>
      </c>
      <c r="T51" s="12">
        <v>8.0765999999999991</v>
      </c>
      <c r="U51" s="12">
        <v>8.1915999999999993</v>
      </c>
      <c r="V51" s="12">
        <v>7.8289</v>
      </c>
      <c r="W51" s="12">
        <v>7.8109000000000002</v>
      </c>
      <c r="X51" s="12">
        <v>7.7195</v>
      </c>
      <c r="Y51" s="12">
        <v>7.2901999999999996</v>
      </c>
      <c r="Z51" s="12">
        <v>7.0612000000000004</v>
      </c>
      <c r="AA51" s="12">
        <v>6.7823000000000002</v>
      </c>
      <c r="AB51" s="12">
        <v>6.5511999999999997</v>
      </c>
      <c r="AC51" s="12">
        <v>6.4221000000000004</v>
      </c>
      <c r="AD51" s="12" t="s">
        <v>73</v>
      </c>
    </row>
    <row r="52" spans="1:30" x14ac:dyDescent="0.3">
      <c r="A52" s="13" t="s">
        <v>569</v>
      </c>
      <c r="B52" s="14" t="s">
        <v>620</v>
      </c>
      <c r="C52" t="s">
        <v>157</v>
      </c>
      <c r="D52" s="5" t="s">
        <v>158</v>
      </c>
      <c r="E52" s="12" t="s">
        <v>73</v>
      </c>
      <c r="F52" s="12" t="s">
        <v>73</v>
      </c>
      <c r="G52" s="12" t="s">
        <v>73</v>
      </c>
      <c r="H52" s="12" t="s">
        <v>73</v>
      </c>
      <c r="I52" s="12" t="s">
        <v>73</v>
      </c>
      <c r="J52" s="12" t="s">
        <v>73</v>
      </c>
      <c r="K52" s="12" t="s">
        <v>73</v>
      </c>
      <c r="L52" s="12" t="s">
        <v>73</v>
      </c>
      <c r="M52" s="12" t="s">
        <v>73</v>
      </c>
      <c r="N52" s="12" t="s">
        <v>73</v>
      </c>
      <c r="O52" s="12" t="s">
        <v>73</v>
      </c>
      <c r="P52" s="12" t="s">
        <v>73</v>
      </c>
      <c r="Q52" s="12" t="s">
        <v>73</v>
      </c>
      <c r="R52" s="12" t="s">
        <v>73</v>
      </c>
      <c r="S52" s="12" t="s">
        <v>73</v>
      </c>
      <c r="T52" s="12" t="s">
        <v>73</v>
      </c>
      <c r="U52" s="12" t="s">
        <v>73</v>
      </c>
      <c r="V52" s="12" t="s">
        <v>73</v>
      </c>
      <c r="W52" s="12" t="s">
        <v>73</v>
      </c>
      <c r="X52" s="12" t="s">
        <v>73</v>
      </c>
      <c r="Y52" s="12" t="s">
        <v>73</v>
      </c>
      <c r="Z52" s="12" t="s">
        <v>73</v>
      </c>
      <c r="AA52" s="12" t="s">
        <v>73</v>
      </c>
      <c r="AB52" s="12" t="s">
        <v>73</v>
      </c>
      <c r="AC52" s="12" t="s">
        <v>73</v>
      </c>
      <c r="AD52" s="12" t="s">
        <v>73</v>
      </c>
    </row>
    <row r="53" spans="1:30" x14ac:dyDescent="0.3">
      <c r="A53" s="13" t="s">
        <v>569</v>
      </c>
      <c r="B53" s="14" t="s">
        <v>621</v>
      </c>
      <c r="C53" t="s">
        <v>159</v>
      </c>
      <c r="D53" s="5" t="s">
        <v>160</v>
      </c>
      <c r="E53" s="12">
        <v>0.34899999999999998</v>
      </c>
      <c r="F53" s="12">
        <v>0.37290000000000001</v>
      </c>
      <c r="G53" s="12">
        <v>0.39479999999999998</v>
      </c>
      <c r="H53" s="12">
        <v>0.37780000000000002</v>
      </c>
      <c r="I53" s="12">
        <v>0.36870000000000003</v>
      </c>
      <c r="J53" s="12">
        <v>0.34699999999999998</v>
      </c>
      <c r="K53" s="12">
        <v>0.35160000000000002</v>
      </c>
      <c r="L53" s="12">
        <v>0.34699999999999998</v>
      </c>
      <c r="M53" s="12">
        <v>0.34839999999999999</v>
      </c>
      <c r="N53" s="12">
        <v>0.3498</v>
      </c>
      <c r="O53" s="12">
        <v>0.3649</v>
      </c>
      <c r="P53" s="12">
        <v>0.37140000000000001</v>
      </c>
      <c r="Q53" s="12">
        <v>0.36280000000000001</v>
      </c>
      <c r="R53" s="12">
        <v>0.35189999999999999</v>
      </c>
      <c r="S53" s="12">
        <v>0.36170000000000002</v>
      </c>
      <c r="T53" s="12">
        <v>0.35560000000000003</v>
      </c>
      <c r="U53" s="12">
        <v>0.37459999999999999</v>
      </c>
      <c r="V53" s="12">
        <v>0.39419999999999999</v>
      </c>
      <c r="W53" s="12">
        <v>0.40350000000000003</v>
      </c>
      <c r="X53" s="12">
        <v>0.41880000000000001</v>
      </c>
      <c r="Y53" s="12">
        <v>0.45710000000000001</v>
      </c>
      <c r="Z53" s="12">
        <v>0.46389999999999998</v>
      </c>
      <c r="AA53" s="12">
        <v>0.44890000000000002</v>
      </c>
      <c r="AB53" s="12">
        <v>0.4511</v>
      </c>
      <c r="AC53" s="12">
        <v>0.4597</v>
      </c>
      <c r="AD53" s="12" t="s">
        <v>73</v>
      </c>
    </row>
    <row r="54" spans="1:30" x14ac:dyDescent="0.3">
      <c r="A54" s="13" t="s">
        <v>569</v>
      </c>
      <c r="B54" s="14" t="s">
        <v>622</v>
      </c>
      <c r="C54" t="s">
        <v>161</v>
      </c>
      <c r="D54" s="5" t="s">
        <v>162</v>
      </c>
      <c r="E54" s="12">
        <v>5.8753000000000002</v>
      </c>
      <c r="F54" s="12">
        <v>5.9326999999999996</v>
      </c>
      <c r="G54" s="12">
        <v>5.694</v>
      </c>
      <c r="H54" s="12">
        <v>5.4988000000000001</v>
      </c>
      <c r="I54" s="12">
        <v>5.3628999999999998</v>
      </c>
      <c r="J54" s="12">
        <v>5.1520999999999999</v>
      </c>
      <c r="K54" s="12">
        <v>5.1154999999999999</v>
      </c>
      <c r="L54" s="12">
        <v>5.1207000000000003</v>
      </c>
      <c r="M54" s="12">
        <v>5.1601999999999997</v>
      </c>
      <c r="N54" s="12">
        <v>5.0312999999999999</v>
      </c>
      <c r="O54" s="12">
        <v>5.0035999999999996</v>
      </c>
      <c r="P54" s="12">
        <v>4.95</v>
      </c>
      <c r="Q54" s="12">
        <v>4.9654999999999996</v>
      </c>
      <c r="R54" s="12">
        <v>5.0301</v>
      </c>
      <c r="S54" s="12">
        <v>5.1104000000000003</v>
      </c>
      <c r="T54" s="12">
        <v>5.2138999999999998</v>
      </c>
      <c r="U54" s="12">
        <v>5.2382999999999997</v>
      </c>
      <c r="V54" s="12">
        <v>5.226</v>
      </c>
      <c r="W54" s="12">
        <v>5.0647000000000002</v>
      </c>
      <c r="X54" s="12">
        <v>5.0731000000000002</v>
      </c>
      <c r="Y54" s="12">
        <v>4.9885000000000002</v>
      </c>
      <c r="Z54" s="12">
        <v>5.0347</v>
      </c>
      <c r="AA54" s="12">
        <v>5.0999999999999996</v>
      </c>
      <c r="AB54" s="12">
        <v>5.0568</v>
      </c>
      <c r="AC54" s="12">
        <v>5.0507</v>
      </c>
      <c r="AD54" s="12" t="s">
        <v>73</v>
      </c>
    </row>
    <row r="55" spans="1:30" x14ac:dyDescent="0.3">
      <c r="A55" s="13" t="s">
        <v>569</v>
      </c>
      <c r="B55" s="14" t="s">
        <v>623</v>
      </c>
      <c r="C55" t="s">
        <v>14</v>
      </c>
      <c r="D55" s="5" t="s">
        <v>163</v>
      </c>
      <c r="E55" s="12">
        <v>7.1601999999999997</v>
      </c>
      <c r="F55" s="12">
        <v>7.3207000000000004</v>
      </c>
      <c r="G55" s="12">
        <v>7.2077</v>
      </c>
      <c r="H55" s="12">
        <v>7.1391999999999998</v>
      </c>
      <c r="I55" s="12">
        <v>7.0484</v>
      </c>
      <c r="J55" s="12">
        <v>6.8639999999999999</v>
      </c>
      <c r="K55" s="12">
        <v>6.7275999999999998</v>
      </c>
      <c r="L55" s="12">
        <v>6.8417000000000003</v>
      </c>
      <c r="M55" s="12">
        <v>6.6879999999999997</v>
      </c>
      <c r="N55" s="12">
        <v>6.6371000000000002</v>
      </c>
      <c r="O55" s="12">
        <v>6.9336000000000002</v>
      </c>
      <c r="P55" s="12">
        <v>6.9035000000000002</v>
      </c>
      <c r="Q55" s="12">
        <v>6.9077000000000002</v>
      </c>
      <c r="R55" s="12">
        <v>6.8395000000000001</v>
      </c>
      <c r="S55" s="12">
        <v>6.7624000000000004</v>
      </c>
      <c r="T55" s="12">
        <v>6.7881999999999998</v>
      </c>
      <c r="U55" s="12">
        <v>6.8121999999999998</v>
      </c>
      <c r="V55" s="12">
        <v>6.7827000000000002</v>
      </c>
      <c r="W55" s="12">
        <v>6.8131000000000004</v>
      </c>
      <c r="X55" s="12">
        <v>6.7938000000000001</v>
      </c>
      <c r="Y55" s="12">
        <v>6.9329000000000001</v>
      </c>
      <c r="Z55" s="12">
        <v>6.8356000000000003</v>
      </c>
      <c r="AA55" s="12">
        <v>6.4641000000000002</v>
      </c>
      <c r="AB55" s="12">
        <v>6.3384</v>
      </c>
      <c r="AC55" s="12">
        <v>6.3395999999999999</v>
      </c>
      <c r="AD55" s="12" t="s">
        <v>73</v>
      </c>
    </row>
    <row r="56" spans="1:30" x14ac:dyDescent="0.3">
      <c r="A56" s="13" t="s">
        <v>569</v>
      </c>
      <c r="B56" s="14" t="s">
        <v>624</v>
      </c>
      <c r="C56" t="s">
        <v>164</v>
      </c>
      <c r="D56" s="5" t="s">
        <v>165</v>
      </c>
      <c r="E56" s="12">
        <v>0.50249999999999995</v>
      </c>
      <c r="F56" s="12">
        <v>0.50309999999999999</v>
      </c>
      <c r="G56" s="12">
        <v>0.50319999999999998</v>
      </c>
      <c r="H56" s="12">
        <v>0.50470000000000004</v>
      </c>
      <c r="I56" s="12">
        <v>0.50980000000000003</v>
      </c>
      <c r="J56" s="12">
        <v>0.51019999999999999</v>
      </c>
      <c r="K56" s="12">
        <v>0.50239999999999996</v>
      </c>
      <c r="L56" s="12">
        <v>0.50290000000000001</v>
      </c>
      <c r="M56" s="12">
        <v>0.50290000000000001</v>
      </c>
      <c r="N56" s="12">
        <v>0.50449999999999995</v>
      </c>
      <c r="O56" s="12">
        <v>0.50449999999999995</v>
      </c>
      <c r="P56" s="12">
        <v>0.50409999999999999</v>
      </c>
      <c r="Q56" s="12">
        <v>0.50800000000000001</v>
      </c>
      <c r="R56" s="12">
        <v>0.50800000000000001</v>
      </c>
      <c r="S56" s="12">
        <v>0.50990000000000002</v>
      </c>
      <c r="T56" s="12">
        <v>0.51170000000000004</v>
      </c>
      <c r="U56" s="12">
        <v>0.51380000000000003</v>
      </c>
      <c r="V56" s="12">
        <v>0.51580000000000004</v>
      </c>
      <c r="W56" s="12">
        <v>0.51739999999999997</v>
      </c>
      <c r="X56" s="12">
        <v>0.51119999999999999</v>
      </c>
      <c r="Y56" s="12">
        <v>0.51100000000000001</v>
      </c>
      <c r="Z56" s="12">
        <v>0.51100000000000001</v>
      </c>
      <c r="AA56" s="12">
        <v>0.5111</v>
      </c>
      <c r="AB56" s="12">
        <v>0.52180000000000004</v>
      </c>
      <c r="AC56" s="12">
        <v>0.52270000000000005</v>
      </c>
      <c r="AD56" s="12" t="s">
        <v>73</v>
      </c>
    </row>
    <row r="57" spans="1:30" x14ac:dyDescent="0.3">
      <c r="A57" s="13" t="s">
        <v>569</v>
      </c>
      <c r="B57" s="14" t="s">
        <v>625</v>
      </c>
      <c r="C57" t="s">
        <v>166</v>
      </c>
      <c r="D57" s="5" t="s">
        <v>167</v>
      </c>
      <c r="E57" s="12">
        <v>2.5899999999999999E-2</v>
      </c>
      <c r="F57" s="12">
        <v>2.5899999999999999E-2</v>
      </c>
      <c r="G57" s="12">
        <v>2.5899999999999999E-2</v>
      </c>
      <c r="H57" s="12">
        <v>2.5899999999999999E-2</v>
      </c>
      <c r="I57" s="12">
        <v>2.5899999999999999E-2</v>
      </c>
      <c r="J57" s="12">
        <v>2.5899999999999999E-2</v>
      </c>
      <c r="K57" s="12">
        <v>2.5999999999999999E-2</v>
      </c>
      <c r="L57" s="12">
        <v>2.6100000000000002E-2</v>
      </c>
      <c r="M57" s="12">
        <v>2.6100000000000002E-2</v>
      </c>
      <c r="N57" s="12">
        <v>2.6100000000000002E-2</v>
      </c>
      <c r="O57" s="12">
        <v>2.63E-2</v>
      </c>
      <c r="P57" s="12">
        <v>2.6700000000000002E-2</v>
      </c>
      <c r="Q57" s="12">
        <v>2.7199999999999998E-2</v>
      </c>
      <c r="R57" s="12">
        <v>2.7099999999999999E-2</v>
      </c>
      <c r="S57" s="12">
        <v>2.7099999999999999E-2</v>
      </c>
      <c r="T57" s="12">
        <v>2.7E-2</v>
      </c>
      <c r="U57" s="12">
        <v>2.7E-2</v>
      </c>
      <c r="V57" s="12">
        <v>2.7E-2</v>
      </c>
      <c r="W57" s="12">
        <v>2.69E-2</v>
      </c>
      <c r="X57" s="12">
        <v>2.7099999999999999E-2</v>
      </c>
      <c r="Y57" s="12">
        <v>2.7099999999999999E-2</v>
      </c>
      <c r="Z57" s="12">
        <v>2.7099999999999999E-2</v>
      </c>
      <c r="AA57" s="12">
        <v>2.7199999999999998E-2</v>
      </c>
      <c r="AB57" s="12">
        <v>2.7199999999999998E-2</v>
      </c>
      <c r="AC57" s="12">
        <v>2.7199999999999998E-2</v>
      </c>
      <c r="AD57" s="12" t="s">
        <v>73</v>
      </c>
    </row>
    <row r="58" spans="1:30" x14ac:dyDescent="0.3">
      <c r="A58" s="13" t="s">
        <v>569</v>
      </c>
      <c r="B58" s="14" t="s">
        <v>626</v>
      </c>
      <c r="C58" t="s">
        <v>168</v>
      </c>
      <c r="D58" s="5" t="s">
        <v>169</v>
      </c>
      <c r="E58" s="12">
        <v>4.3498999999999999</v>
      </c>
      <c r="F58" s="12">
        <v>4.6036000000000001</v>
      </c>
      <c r="G58" s="12">
        <v>4.7602000000000002</v>
      </c>
      <c r="H58" s="12">
        <v>4.6877000000000004</v>
      </c>
      <c r="I58" s="12">
        <v>5.1971999999999996</v>
      </c>
      <c r="J58" s="12">
        <v>4.8257000000000003</v>
      </c>
      <c r="K58" s="12">
        <v>4.9363000000000001</v>
      </c>
      <c r="L58" s="12">
        <v>5.6703000000000001</v>
      </c>
      <c r="M58" s="12">
        <v>5.8406000000000002</v>
      </c>
      <c r="N58" s="12">
        <v>6.0442999999999998</v>
      </c>
      <c r="O58" s="12">
        <v>6.2168000000000001</v>
      </c>
      <c r="P58" s="12">
        <v>6.2840999999999996</v>
      </c>
      <c r="Q58" s="12">
        <v>6.2912999999999997</v>
      </c>
      <c r="R58" s="12">
        <v>6.3219000000000003</v>
      </c>
      <c r="S58" s="12">
        <v>6.3498999999999999</v>
      </c>
      <c r="T58" s="12">
        <v>6.33</v>
      </c>
      <c r="U58" s="12">
        <v>6.3691000000000004</v>
      </c>
      <c r="V58" s="12">
        <v>6.4530000000000003</v>
      </c>
      <c r="W58" s="12">
        <v>6.5453000000000001</v>
      </c>
      <c r="X58" s="12">
        <v>6.5503</v>
      </c>
      <c r="Y58" s="12">
        <v>6.5907999999999998</v>
      </c>
      <c r="Z58" s="12">
        <v>6.6734999999999998</v>
      </c>
      <c r="AA58" s="12">
        <v>6.7306999999999997</v>
      </c>
      <c r="AB58" s="12">
        <v>6.6970000000000001</v>
      </c>
      <c r="AC58" s="12">
        <v>6.7026000000000003</v>
      </c>
      <c r="AD58" s="12" t="s">
        <v>73</v>
      </c>
    </row>
    <row r="59" spans="1:30" x14ac:dyDescent="0.3">
      <c r="A59" s="13" t="s">
        <v>569</v>
      </c>
      <c r="B59" s="14" t="s">
        <v>627</v>
      </c>
      <c r="C59" t="s">
        <v>170</v>
      </c>
      <c r="D59" s="5" t="s">
        <v>171</v>
      </c>
      <c r="E59" s="12">
        <v>9.4341000000000008</v>
      </c>
      <c r="F59" s="12">
        <v>10.4419</v>
      </c>
      <c r="G59" s="12">
        <v>10.833600000000001</v>
      </c>
      <c r="H59" s="12">
        <v>11.692600000000001</v>
      </c>
      <c r="I59" s="12">
        <v>12.458299999999999</v>
      </c>
      <c r="J59" s="12">
        <v>11.1051</v>
      </c>
      <c r="K59" s="12">
        <v>11.152799999999999</v>
      </c>
      <c r="L59" s="12">
        <v>10.805</v>
      </c>
      <c r="M59" s="12">
        <v>10.869199999999999</v>
      </c>
      <c r="N59" s="12">
        <v>11.614800000000001</v>
      </c>
      <c r="O59" s="12">
        <v>11.737399999999999</v>
      </c>
      <c r="P59" s="12">
        <v>11.7096</v>
      </c>
      <c r="Q59" s="12">
        <v>11.5625</v>
      </c>
      <c r="R59" s="12">
        <v>11.5398</v>
      </c>
      <c r="S59" s="12">
        <v>10.325699999999999</v>
      </c>
      <c r="T59" s="12">
        <v>9.4575999999999993</v>
      </c>
      <c r="U59" s="12">
        <v>9.3785000000000007</v>
      </c>
      <c r="V59" s="12">
        <v>9.4573999999999998</v>
      </c>
      <c r="W59" s="12">
        <v>8.9400999999999993</v>
      </c>
      <c r="X59" s="12">
        <v>9.2833000000000006</v>
      </c>
      <c r="Y59" s="12">
        <v>9.5338999999999992</v>
      </c>
      <c r="Z59" s="12">
        <v>9.1851000000000003</v>
      </c>
      <c r="AA59" s="12">
        <v>8.7594999999999992</v>
      </c>
      <c r="AB59" s="12">
        <v>8.5376999999999992</v>
      </c>
      <c r="AC59" s="12">
        <v>8.4405000000000001</v>
      </c>
      <c r="AD59" s="12" t="s">
        <v>73</v>
      </c>
    </row>
    <row r="60" spans="1:30" x14ac:dyDescent="0.3">
      <c r="A60" s="13" t="s">
        <v>569</v>
      </c>
      <c r="B60" s="14" t="s">
        <v>628</v>
      </c>
      <c r="C60" t="s">
        <v>15</v>
      </c>
      <c r="D60" s="5" t="s">
        <v>172</v>
      </c>
      <c r="E60" s="12">
        <v>17.541899999999998</v>
      </c>
      <c r="F60" s="12">
        <v>17.244499999999999</v>
      </c>
      <c r="G60" s="12">
        <v>18.902699999999999</v>
      </c>
      <c r="H60" s="12">
        <v>19.463999999999999</v>
      </c>
      <c r="I60" s="12">
        <v>19.844000000000001</v>
      </c>
      <c r="J60" s="12">
        <v>19.953299999999999</v>
      </c>
      <c r="K60" s="12">
        <v>20.786000000000001</v>
      </c>
      <c r="L60" s="12">
        <v>22.046399999999998</v>
      </c>
      <c r="M60" s="12">
        <v>22.706299999999999</v>
      </c>
      <c r="N60" s="12">
        <v>20.152699999999999</v>
      </c>
      <c r="O60" s="12">
        <v>19.478999999999999</v>
      </c>
      <c r="P60" s="12">
        <v>21.020199999999999</v>
      </c>
      <c r="Q60" s="12">
        <v>21.924600000000002</v>
      </c>
      <c r="R60" s="12">
        <v>21.011399999999998</v>
      </c>
      <c r="S60" s="12">
        <v>20.8568</v>
      </c>
      <c r="T60" s="12">
        <v>20.217099999999999</v>
      </c>
      <c r="U60" s="12">
        <v>20.524000000000001</v>
      </c>
      <c r="V60" s="12">
        <v>19.2057</v>
      </c>
      <c r="W60" s="12">
        <v>17.3918</v>
      </c>
      <c r="X60" s="12">
        <v>12.2821</v>
      </c>
      <c r="Y60" s="12">
        <v>11.7445</v>
      </c>
      <c r="Z60" s="12">
        <v>11.8957</v>
      </c>
      <c r="AA60" s="12">
        <v>12.3201</v>
      </c>
      <c r="AB60" s="12">
        <v>13.819100000000001</v>
      </c>
      <c r="AC60" s="12">
        <v>13.3955</v>
      </c>
      <c r="AD60" s="12" t="s">
        <v>73</v>
      </c>
    </row>
    <row r="61" spans="1:30" x14ac:dyDescent="0.3">
      <c r="A61" s="13" t="s">
        <v>569</v>
      </c>
      <c r="B61" s="14" t="s">
        <v>629</v>
      </c>
      <c r="C61" t="s">
        <v>173</v>
      </c>
      <c r="D61" s="5" t="s">
        <v>174</v>
      </c>
      <c r="E61" s="12">
        <v>1.8839999999999999</v>
      </c>
      <c r="F61" s="12">
        <v>2.1252</v>
      </c>
      <c r="G61" s="12">
        <v>2.2530999999999999</v>
      </c>
      <c r="H61" s="12">
        <v>2.169</v>
      </c>
      <c r="I61" s="12">
        <v>2.1941000000000002</v>
      </c>
      <c r="J61" s="12">
        <v>2.1850000000000001</v>
      </c>
      <c r="K61" s="12">
        <v>2.2732999999999999</v>
      </c>
      <c r="L61" s="12">
        <v>2.3576999999999999</v>
      </c>
      <c r="M61" s="12">
        <v>2.4249999999999998</v>
      </c>
      <c r="N61" s="12">
        <v>2.3313000000000001</v>
      </c>
      <c r="O61" s="12">
        <v>2.1671999999999998</v>
      </c>
      <c r="P61" s="12">
        <v>1.8683000000000001</v>
      </c>
      <c r="Q61" s="12">
        <v>2.0354999999999999</v>
      </c>
      <c r="R61" s="12">
        <v>1.6681999999999999</v>
      </c>
      <c r="S61" s="12">
        <v>1.9599</v>
      </c>
      <c r="T61" s="12">
        <v>1.9142999999999999</v>
      </c>
      <c r="U61" s="12">
        <v>1.7674000000000001</v>
      </c>
      <c r="V61" s="12">
        <v>1.7003999999999999</v>
      </c>
      <c r="W61" s="12">
        <v>1.5488</v>
      </c>
      <c r="X61" s="12">
        <v>1.4754</v>
      </c>
      <c r="Y61" s="12">
        <v>1.5876999999999999</v>
      </c>
      <c r="Z61" s="12">
        <v>1.6516999999999999</v>
      </c>
      <c r="AA61" s="12">
        <v>1.6211</v>
      </c>
      <c r="AB61" s="12">
        <v>1.5697000000000001</v>
      </c>
      <c r="AC61" s="12">
        <v>1.5704</v>
      </c>
      <c r="AD61" s="12" t="s">
        <v>73</v>
      </c>
    </row>
    <row r="62" spans="1:30" x14ac:dyDescent="0.3">
      <c r="A62" s="13" t="s">
        <v>569</v>
      </c>
      <c r="B62" s="14" t="s">
        <v>630</v>
      </c>
      <c r="C62" t="s">
        <v>175</v>
      </c>
      <c r="D62" s="5" t="s">
        <v>176</v>
      </c>
      <c r="E62" s="12">
        <v>1.2800000000000001E-2</v>
      </c>
      <c r="F62" s="12">
        <v>1.29E-2</v>
      </c>
      <c r="G62" s="12">
        <v>1.2999999999999999E-2</v>
      </c>
      <c r="H62" s="12">
        <v>1.3100000000000001E-2</v>
      </c>
      <c r="I62" s="12">
        <v>1.3100000000000001E-2</v>
      </c>
      <c r="J62" s="12">
        <v>1.32E-2</v>
      </c>
      <c r="K62" s="12">
        <v>1.3299999999999999E-2</v>
      </c>
      <c r="L62" s="12">
        <v>1.34E-2</v>
      </c>
      <c r="M62" s="12">
        <v>1.34E-2</v>
      </c>
      <c r="N62" s="12">
        <v>1.35E-2</v>
      </c>
      <c r="O62" s="12">
        <v>1.38E-2</v>
      </c>
      <c r="P62" s="12">
        <v>1.38E-2</v>
      </c>
      <c r="Q62" s="12">
        <v>1.4E-2</v>
      </c>
      <c r="R62" s="12">
        <v>1.41E-2</v>
      </c>
      <c r="S62" s="12">
        <v>1.4200000000000001E-2</v>
      </c>
      <c r="T62" s="12">
        <v>1.43E-2</v>
      </c>
      <c r="U62" s="12">
        <v>1.43E-2</v>
      </c>
      <c r="V62" s="12">
        <v>1.44E-2</v>
      </c>
      <c r="W62" s="12">
        <v>1.4500000000000001E-2</v>
      </c>
      <c r="X62" s="12">
        <v>1.46E-2</v>
      </c>
      <c r="Y62" s="12">
        <v>1.47E-2</v>
      </c>
      <c r="Z62" s="12">
        <v>1.47E-2</v>
      </c>
      <c r="AA62" s="12">
        <v>1.4800000000000001E-2</v>
      </c>
      <c r="AB62" s="12">
        <v>1.5299999999999999E-2</v>
      </c>
      <c r="AC62" s="12">
        <v>1.54E-2</v>
      </c>
      <c r="AD62" s="12" t="s">
        <v>73</v>
      </c>
    </row>
    <row r="63" spans="1:30" x14ac:dyDescent="0.3">
      <c r="A63" s="13" t="s">
        <v>569</v>
      </c>
      <c r="B63" s="14" t="s">
        <v>631</v>
      </c>
      <c r="C63" t="s">
        <v>177</v>
      </c>
      <c r="D63" s="5" t="s">
        <v>178</v>
      </c>
      <c r="E63" s="12">
        <v>2.9115000000000002</v>
      </c>
      <c r="F63" s="12">
        <v>2.7622</v>
      </c>
      <c r="G63" s="12">
        <v>2.7107999999999999</v>
      </c>
      <c r="H63" s="12">
        <v>2.7869999999999999</v>
      </c>
      <c r="I63" s="12">
        <v>2.8155000000000001</v>
      </c>
      <c r="J63" s="12">
        <v>2.8492999999999999</v>
      </c>
      <c r="K63" s="12">
        <v>2.7856999999999998</v>
      </c>
      <c r="L63" s="12">
        <v>2.9081000000000001</v>
      </c>
      <c r="M63" s="12">
        <v>2.9028999999999998</v>
      </c>
      <c r="N63" s="12">
        <v>2.9104999999999999</v>
      </c>
      <c r="O63" s="12">
        <v>2.8714</v>
      </c>
      <c r="P63" s="12">
        <v>2.9496000000000002</v>
      </c>
      <c r="Q63" s="12">
        <v>2.9687999999999999</v>
      </c>
      <c r="R63" s="12">
        <v>2.9971999999999999</v>
      </c>
      <c r="S63" s="12">
        <v>3.0085000000000002</v>
      </c>
      <c r="T63" s="12">
        <v>3.0217000000000001</v>
      </c>
      <c r="U63" s="12">
        <v>3.0444</v>
      </c>
      <c r="V63" s="12">
        <v>3.0630000000000002</v>
      </c>
      <c r="W63" s="12">
        <v>3.0808</v>
      </c>
      <c r="X63" s="12">
        <v>3.0905</v>
      </c>
      <c r="Y63" s="12">
        <v>3.0968</v>
      </c>
      <c r="Z63" s="12">
        <v>3.113</v>
      </c>
      <c r="AA63" s="12">
        <v>3.1284999999999998</v>
      </c>
      <c r="AB63" s="12">
        <v>3.1379000000000001</v>
      </c>
      <c r="AC63" s="12">
        <v>3.1494</v>
      </c>
      <c r="AD63" s="12" t="s">
        <v>73</v>
      </c>
    </row>
    <row r="64" spans="1:30" x14ac:dyDescent="0.3">
      <c r="A64" s="13" t="s">
        <v>569</v>
      </c>
      <c r="B64" s="14" t="s">
        <v>632</v>
      </c>
      <c r="C64" t="s">
        <v>16</v>
      </c>
      <c r="D64" s="5" t="s">
        <v>179</v>
      </c>
      <c r="E64" s="12">
        <v>0.79920000000000002</v>
      </c>
      <c r="F64" s="12">
        <v>0.79730000000000001</v>
      </c>
      <c r="G64" s="12">
        <v>0.8014</v>
      </c>
      <c r="H64" s="12">
        <v>0.79479999999999995</v>
      </c>
      <c r="I64" s="12">
        <v>0.82399999999999995</v>
      </c>
      <c r="J64" s="12">
        <v>0.77829999999999999</v>
      </c>
      <c r="K64" s="12">
        <v>0.80489999999999995</v>
      </c>
      <c r="L64" s="12">
        <v>0.77880000000000005</v>
      </c>
      <c r="M64" s="12">
        <v>0.7923</v>
      </c>
      <c r="N64" s="12">
        <v>0.79559999999999997</v>
      </c>
      <c r="O64" s="12">
        <v>0.80010000000000003</v>
      </c>
      <c r="P64" s="12">
        <v>0.82389999999999997</v>
      </c>
      <c r="Q64" s="12">
        <v>0.84130000000000005</v>
      </c>
      <c r="R64" s="12">
        <v>0.87749999999999995</v>
      </c>
      <c r="S64" s="12">
        <v>0.92869999999999997</v>
      </c>
      <c r="T64" s="12">
        <v>0.94240000000000002</v>
      </c>
      <c r="U64" s="12">
        <v>0.86909999999999998</v>
      </c>
      <c r="V64" s="12">
        <v>0.87970000000000004</v>
      </c>
      <c r="W64" s="12">
        <v>0.87739999999999996</v>
      </c>
      <c r="X64" s="12">
        <v>0.88419999999999999</v>
      </c>
      <c r="Y64" s="12">
        <v>0.88160000000000005</v>
      </c>
      <c r="Z64" s="12">
        <v>0.87219999999999998</v>
      </c>
      <c r="AA64" s="12">
        <v>0.86409999999999998</v>
      </c>
      <c r="AB64" s="12">
        <v>0.84119999999999995</v>
      </c>
      <c r="AC64" s="12">
        <v>0.84050000000000002</v>
      </c>
      <c r="AD64" s="12" t="s">
        <v>73</v>
      </c>
    </row>
    <row r="65" spans="1:30" x14ac:dyDescent="0.3">
      <c r="A65" s="13" t="s">
        <v>569</v>
      </c>
      <c r="B65" s="14" t="s">
        <v>633</v>
      </c>
      <c r="C65" t="s">
        <v>180</v>
      </c>
      <c r="D65" s="5" t="s">
        <v>181</v>
      </c>
      <c r="E65" s="12">
        <v>0.93230000000000002</v>
      </c>
      <c r="F65" s="12">
        <v>0.80469999999999997</v>
      </c>
      <c r="G65" s="12">
        <v>0.80369999999999997</v>
      </c>
      <c r="H65" s="12">
        <v>0.89359999999999995</v>
      </c>
      <c r="I65" s="12">
        <v>0.89880000000000004</v>
      </c>
      <c r="J65" s="12">
        <v>0.89580000000000004</v>
      </c>
      <c r="K65" s="12">
        <v>0.84789999999999999</v>
      </c>
      <c r="L65" s="12">
        <v>0.85270000000000001</v>
      </c>
      <c r="M65" s="12">
        <v>0.85189999999999999</v>
      </c>
      <c r="N65" s="12">
        <v>0.85109999999999997</v>
      </c>
      <c r="O65" s="12">
        <v>0.90469999999999995</v>
      </c>
      <c r="P65" s="12">
        <v>0.91320000000000001</v>
      </c>
      <c r="Q65" s="12">
        <v>0.92249999999999999</v>
      </c>
      <c r="R65" s="12">
        <v>0.91410000000000002</v>
      </c>
      <c r="S65" s="12">
        <v>0.9133</v>
      </c>
      <c r="T65" s="12">
        <v>0.90549999999999997</v>
      </c>
      <c r="U65" s="12">
        <v>0.89400000000000002</v>
      </c>
      <c r="V65" s="12">
        <v>0.8921</v>
      </c>
      <c r="W65" s="12">
        <v>0.88890000000000002</v>
      </c>
      <c r="X65" s="12">
        <v>0.89300000000000002</v>
      </c>
      <c r="Y65" s="12">
        <v>0.89959999999999996</v>
      </c>
      <c r="Z65" s="12">
        <v>0.89790000000000003</v>
      </c>
      <c r="AA65" s="12">
        <v>0.90139999999999998</v>
      </c>
      <c r="AB65" s="12">
        <v>0.80640000000000001</v>
      </c>
      <c r="AC65" s="12">
        <v>0.78869999999999996</v>
      </c>
      <c r="AD65" s="12" t="s">
        <v>73</v>
      </c>
    </row>
    <row r="66" spans="1:30" x14ac:dyDescent="0.3">
      <c r="A66" s="13" t="s">
        <v>569</v>
      </c>
      <c r="B66" s="14" t="s">
        <v>634</v>
      </c>
      <c r="C66" t="s">
        <v>17</v>
      </c>
      <c r="D66" s="5" t="s">
        <v>182</v>
      </c>
      <c r="E66" s="12">
        <v>34.5473</v>
      </c>
      <c r="F66" s="12">
        <v>37.080599999999997</v>
      </c>
      <c r="G66" s="12">
        <v>42.3645</v>
      </c>
      <c r="H66" s="12">
        <v>41.314</v>
      </c>
      <c r="I66" s="12">
        <v>41.881</v>
      </c>
      <c r="J66" s="12">
        <v>43.912300000000002</v>
      </c>
      <c r="K66" s="12">
        <v>47.376199999999997</v>
      </c>
      <c r="L66" s="12">
        <v>53.339100000000002</v>
      </c>
      <c r="M66" s="12">
        <v>56.186</v>
      </c>
      <c r="N66" s="12">
        <v>58.617199999999997</v>
      </c>
      <c r="O66" s="12">
        <v>62.015700000000002</v>
      </c>
      <c r="P66" s="12">
        <v>59.976100000000002</v>
      </c>
      <c r="Q66" s="12">
        <v>61.963299999999997</v>
      </c>
      <c r="R66" s="12">
        <v>63.819499999999998</v>
      </c>
      <c r="S66" s="12">
        <v>65.644000000000005</v>
      </c>
      <c r="T66" s="12">
        <v>67.151600000000002</v>
      </c>
      <c r="U66" s="12">
        <v>69.253</v>
      </c>
      <c r="V66" s="12">
        <v>70.880700000000004</v>
      </c>
      <c r="W66" s="12">
        <v>72.704700000000003</v>
      </c>
      <c r="X66" s="12">
        <v>79.118700000000004</v>
      </c>
      <c r="Y66" s="12">
        <v>83.814599999999999</v>
      </c>
      <c r="Z66" s="12">
        <v>78.875699999999995</v>
      </c>
      <c r="AA66" s="12">
        <v>80.1631</v>
      </c>
      <c r="AB66" s="12">
        <v>84.710099999999997</v>
      </c>
      <c r="AC66" s="12">
        <v>87.110100000000003</v>
      </c>
      <c r="AD66" s="12" t="s">
        <v>73</v>
      </c>
    </row>
    <row r="67" spans="1:30" x14ac:dyDescent="0.3">
      <c r="A67" s="13" t="s">
        <v>569</v>
      </c>
      <c r="B67" s="14" t="s">
        <v>635</v>
      </c>
      <c r="C67" t="s">
        <v>183</v>
      </c>
      <c r="D67" s="5" t="s">
        <v>184</v>
      </c>
      <c r="E67" s="12">
        <v>1.8200000000000001E-2</v>
      </c>
      <c r="F67" s="12">
        <v>1.83E-2</v>
      </c>
      <c r="G67" s="12">
        <v>1.83E-2</v>
      </c>
      <c r="H67" s="12">
        <v>1.83E-2</v>
      </c>
      <c r="I67" s="12">
        <v>1.83E-2</v>
      </c>
      <c r="J67" s="12">
        <v>1.7999999999999999E-2</v>
      </c>
      <c r="K67" s="12">
        <v>1.7899999999999999E-2</v>
      </c>
      <c r="L67" s="12">
        <v>1.7999999999999999E-2</v>
      </c>
      <c r="M67" s="12">
        <v>1.78E-2</v>
      </c>
      <c r="N67" s="12">
        <v>1.7899999999999999E-2</v>
      </c>
      <c r="O67" s="12">
        <v>1.78E-2</v>
      </c>
      <c r="P67" s="12">
        <v>1.7999999999999999E-2</v>
      </c>
      <c r="Q67" s="12">
        <v>1.8200000000000001E-2</v>
      </c>
      <c r="R67" s="12">
        <v>1.8200000000000001E-2</v>
      </c>
      <c r="S67" s="12">
        <v>1.9599999999999999E-2</v>
      </c>
      <c r="T67" s="12">
        <v>1.9800000000000002E-2</v>
      </c>
      <c r="U67" s="12">
        <v>0.02</v>
      </c>
      <c r="V67" s="12">
        <v>2.0299999999999999E-2</v>
      </c>
      <c r="W67" s="12">
        <v>2.0500000000000001E-2</v>
      </c>
      <c r="X67" s="12">
        <v>2.0400000000000001E-2</v>
      </c>
      <c r="Y67" s="12">
        <v>2.07E-2</v>
      </c>
      <c r="Z67" s="12">
        <v>2.0899999999999998E-2</v>
      </c>
      <c r="AA67" s="12">
        <v>2.06E-2</v>
      </c>
      <c r="AB67" s="12">
        <v>2.12E-2</v>
      </c>
      <c r="AC67" s="12">
        <v>2.1299999999999999E-2</v>
      </c>
      <c r="AD67" s="12" t="s">
        <v>73</v>
      </c>
    </row>
    <row r="68" spans="1:30" x14ac:dyDescent="0.3">
      <c r="A68" s="13" t="s">
        <v>569</v>
      </c>
      <c r="B68" s="14" t="s">
        <v>636</v>
      </c>
      <c r="C68" t="s">
        <v>185</v>
      </c>
      <c r="D68" s="5" t="s">
        <v>186</v>
      </c>
      <c r="E68" s="12">
        <v>0.75329999999999997</v>
      </c>
      <c r="F68" s="12">
        <v>0.76590000000000003</v>
      </c>
      <c r="G68" s="12">
        <v>0.73089999999999999</v>
      </c>
      <c r="H68" s="12">
        <v>0.72419999999999995</v>
      </c>
      <c r="I68" s="12">
        <v>0.72460000000000002</v>
      </c>
      <c r="J68" s="12">
        <v>0.72829999999999995</v>
      </c>
      <c r="K68" s="12">
        <v>0.72699999999999998</v>
      </c>
      <c r="L68" s="12">
        <v>0.72870000000000001</v>
      </c>
      <c r="M68" s="12">
        <v>0.73070000000000002</v>
      </c>
      <c r="N68" s="12">
        <v>0.72360000000000002</v>
      </c>
      <c r="O68" s="12">
        <v>0.71760000000000002</v>
      </c>
      <c r="P68" s="12">
        <v>0.71040000000000003</v>
      </c>
      <c r="Q68" s="12">
        <v>0.70979999999999999</v>
      </c>
      <c r="R68" s="12">
        <v>0.71619999999999995</v>
      </c>
      <c r="S68" s="12">
        <v>0.32540000000000002</v>
      </c>
      <c r="T68" s="12">
        <v>0.31340000000000001</v>
      </c>
      <c r="U68" s="12">
        <v>0.31950000000000001</v>
      </c>
      <c r="V68" s="12">
        <v>0.34489999999999998</v>
      </c>
      <c r="W68" s="12">
        <v>0.34620000000000001</v>
      </c>
      <c r="X68" s="12">
        <v>0.42259999999999998</v>
      </c>
      <c r="Y68" s="12">
        <v>0.35820000000000002</v>
      </c>
      <c r="Z68" s="12">
        <v>0.3049</v>
      </c>
      <c r="AA68" s="12">
        <v>0.32869999999999999</v>
      </c>
      <c r="AB68" s="12">
        <v>0.3916</v>
      </c>
      <c r="AC68" s="12">
        <v>0.40039999999999998</v>
      </c>
      <c r="AD68" s="12" t="s">
        <v>73</v>
      </c>
    </row>
    <row r="69" spans="1:30" x14ac:dyDescent="0.3">
      <c r="A69" s="13" t="s">
        <v>569</v>
      </c>
      <c r="B69" s="14" t="s">
        <v>637</v>
      </c>
      <c r="C69" t="s">
        <v>18</v>
      </c>
      <c r="D69" s="5" t="s">
        <v>187</v>
      </c>
      <c r="E69" s="12">
        <v>2.8372999999999999</v>
      </c>
      <c r="F69" s="12">
        <v>2.8056000000000001</v>
      </c>
      <c r="G69" s="12">
        <v>2.8195000000000001</v>
      </c>
      <c r="H69" s="12">
        <v>2.7968999999999999</v>
      </c>
      <c r="I69" s="12">
        <v>2.7332999999999998</v>
      </c>
      <c r="J69" s="12">
        <v>2.649</v>
      </c>
      <c r="K69" s="12">
        <v>2.6696</v>
      </c>
      <c r="L69" s="12">
        <v>2.6219999999999999</v>
      </c>
      <c r="M69" s="12">
        <v>2.6153</v>
      </c>
      <c r="N69" s="12">
        <v>2.6198000000000001</v>
      </c>
      <c r="O69" s="12">
        <v>2.6556000000000002</v>
      </c>
      <c r="P69" s="12">
        <v>2.6379999999999999</v>
      </c>
      <c r="Q69" s="12">
        <v>2.6347</v>
      </c>
      <c r="R69" s="12">
        <v>2.6469999999999998</v>
      </c>
      <c r="S69" s="12">
        <v>2.649</v>
      </c>
      <c r="T69" s="12">
        <v>2.6577000000000002</v>
      </c>
      <c r="U69" s="12">
        <v>2.6442999999999999</v>
      </c>
      <c r="V69" s="12">
        <v>2.5779000000000001</v>
      </c>
      <c r="W69" s="12">
        <v>2.4820000000000002</v>
      </c>
      <c r="X69" s="12">
        <v>2.4443999999999999</v>
      </c>
      <c r="Y69" s="12">
        <v>2.4296000000000002</v>
      </c>
      <c r="Z69" s="12">
        <v>2.4001999999999999</v>
      </c>
      <c r="AA69" s="12">
        <v>2.3601999999999999</v>
      </c>
      <c r="AB69" s="12">
        <v>2.3466999999999998</v>
      </c>
      <c r="AC69" s="12">
        <v>2.3551000000000002</v>
      </c>
      <c r="AD69" s="12" t="s">
        <v>73</v>
      </c>
    </row>
    <row r="70" spans="1:30" x14ac:dyDescent="0.3">
      <c r="A70" s="13" t="s">
        <v>569</v>
      </c>
      <c r="B70" s="14" t="s">
        <v>638</v>
      </c>
      <c r="C70" t="s">
        <v>19</v>
      </c>
      <c r="D70" s="5" t="s">
        <v>188</v>
      </c>
      <c r="E70" s="12">
        <v>52.623699999999999</v>
      </c>
      <c r="F70" s="12">
        <v>52.531100000000002</v>
      </c>
      <c r="G70" s="12">
        <v>51.3339</v>
      </c>
      <c r="H70" s="12">
        <v>49.804299999999998</v>
      </c>
      <c r="I70" s="12">
        <v>49.187199999999997</v>
      </c>
      <c r="J70" s="12">
        <v>48.656300000000002</v>
      </c>
      <c r="K70" s="12">
        <v>48.554400000000001</v>
      </c>
      <c r="L70" s="12">
        <v>49.337699999999998</v>
      </c>
      <c r="M70" s="12">
        <v>49.5702</v>
      </c>
      <c r="N70" s="12">
        <v>49.157800000000002</v>
      </c>
      <c r="O70" s="12">
        <v>49.125799999999998</v>
      </c>
      <c r="P70" s="12">
        <v>48.088000000000001</v>
      </c>
      <c r="Q70" s="12">
        <v>48.013599999999997</v>
      </c>
      <c r="R70" s="12">
        <v>48.060400000000001</v>
      </c>
      <c r="S70" s="12">
        <v>48.201500000000003</v>
      </c>
      <c r="T70" s="12">
        <v>48.627400000000002</v>
      </c>
      <c r="U70" s="12">
        <v>48.374699999999997</v>
      </c>
      <c r="V70" s="12">
        <v>47.6113</v>
      </c>
      <c r="W70" s="12">
        <v>47.076300000000003</v>
      </c>
      <c r="X70" s="12">
        <v>46.111699999999999</v>
      </c>
      <c r="Y70" s="12">
        <v>45.275399999999998</v>
      </c>
      <c r="Z70" s="12">
        <v>44.122700000000002</v>
      </c>
      <c r="AA70" s="12">
        <v>42.976199999999999</v>
      </c>
      <c r="AB70" s="12">
        <v>42.326700000000002</v>
      </c>
      <c r="AC70" s="12">
        <v>42.2515</v>
      </c>
      <c r="AD70" s="12" t="s">
        <v>73</v>
      </c>
    </row>
    <row r="71" spans="1:30" x14ac:dyDescent="0.3">
      <c r="A71" s="13" t="s">
        <v>569</v>
      </c>
      <c r="B71" s="14" t="s">
        <v>639</v>
      </c>
      <c r="C71" t="s">
        <v>189</v>
      </c>
      <c r="D71" s="5" t="s">
        <v>190</v>
      </c>
      <c r="E71" s="12">
        <v>3.3799999999999997E-2</v>
      </c>
      <c r="F71" s="12">
        <v>2.93E-2</v>
      </c>
      <c r="G71" s="12">
        <v>2.47E-2</v>
      </c>
      <c r="H71" s="12">
        <v>2.5999999999999999E-2</v>
      </c>
      <c r="I71" s="12">
        <v>2.9000000000000001E-2</v>
      </c>
      <c r="J71" s="12">
        <v>2.5600000000000001E-2</v>
      </c>
      <c r="K71" s="12">
        <v>2.47E-2</v>
      </c>
      <c r="L71" s="12">
        <v>2.64E-2</v>
      </c>
      <c r="M71" s="12">
        <v>2.63E-2</v>
      </c>
      <c r="N71" s="12">
        <v>2.63E-2</v>
      </c>
      <c r="O71" s="12">
        <v>2.5700000000000001E-2</v>
      </c>
      <c r="P71" s="12">
        <v>2.58E-2</v>
      </c>
      <c r="Q71" s="12">
        <v>2.6200000000000001E-2</v>
      </c>
      <c r="R71" s="12">
        <v>2.63E-2</v>
      </c>
      <c r="S71" s="12">
        <v>2.6200000000000001E-2</v>
      </c>
      <c r="T71" s="12">
        <v>2.6200000000000001E-2</v>
      </c>
      <c r="U71" s="12">
        <v>2.63E-2</v>
      </c>
      <c r="V71" s="12">
        <v>2.64E-2</v>
      </c>
      <c r="W71" s="12">
        <v>2.64E-2</v>
      </c>
      <c r="X71" s="12">
        <v>2.64E-2</v>
      </c>
      <c r="Y71" s="12">
        <v>2.6599999999999999E-2</v>
      </c>
      <c r="Z71" s="12">
        <v>2.6599999999999999E-2</v>
      </c>
      <c r="AA71" s="12">
        <v>2.6599999999999999E-2</v>
      </c>
      <c r="AB71" s="12">
        <v>2.7799999999999998E-2</v>
      </c>
      <c r="AC71" s="12">
        <v>2.81E-2</v>
      </c>
      <c r="AD71" s="12" t="s">
        <v>73</v>
      </c>
    </row>
    <row r="72" spans="1:30" x14ac:dyDescent="0.3">
      <c r="A72" s="13" t="s">
        <v>569</v>
      </c>
      <c r="B72" s="14" t="s">
        <v>640</v>
      </c>
      <c r="C72" t="s">
        <v>191</v>
      </c>
      <c r="D72" s="5" t="s">
        <v>192</v>
      </c>
      <c r="E72" s="12">
        <v>9.7000000000000003E-2</v>
      </c>
      <c r="F72" s="12">
        <v>9.6799999999999997E-2</v>
      </c>
      <c r="G72" s="12">
        <v>9.6299999999999997E-2</v>
      </c>
      <c r="H72" s="12">
        <v>9.5399999999999999E-2</v>
      </c>
      <c r="I72" s="12">
        <v>9.5399999999999999E-2</v>
      </c>
      <c r="J72" s="12">
        <v>9.5699999999999993E-2</v>
      </c>
      <c r="K72" s="12">
        <v>9.5699999999999993E-2</v>
      </c>
      <c r="L72" s="12">
        <v>9.7000000000000003E-2</v>
      </c>
      <c r="M72" s="12">
        <v>9.8500000000000004E-2</v>
      </c>
      <c r="N72" s="12">
        <v>9.8699999999999996E-2</v>
      </c>
      <c r="O72" s="12">
        <v>0.10009999999999999</v>
      </c>
      <c r="P72" s="12">
        <v>0.1011</v>
      </c>
      <c r="Q72" s="12">
        <v>0.1033</v>
      </c>
      <c r="R72" s="12">
        <v>0.1065</v>
      </c>
      <c r="S72" s="12">
        <v>0.1077</v>
      </c>
      <c r="T72" s="12">
        <v>0.1087</v>
      </c>
      <c r="U72" s="12">
        <v>0.10970000000000001</v>
      </c>
      <c r="V72" s="12">
        <v>0.1094</v>
      </c>
      <c r="W72" s="12">
        <v>0.109</v>
      </c>
      <c r="X72" s="12">
        <v>0.11020000000000001</v>
      </c>
      <c r="Y72" s="12">
        <v>0.111</v>
      </c>
      <c r="Z72" s="12">
        <v>0.1118</v>
      </c>
      <c r="AA72" s="12">
        <v>0.1118</v>
      </c>
      <c r="AB72" s="12">
        <v>0.1125</v>
      </c>
      <c r="AC72" s="12">
        <v>0.1132</v>
      </c>
      <c r="AD72" s="12" t="s">
        <v>73</v>
      </c>
    </row>
    <row r="73" spans="1:30" x14ac:dyDescent="0.3">
      <c r="A73" s="13" t="s">
        <v>569</v>
      </c>
      <c r="B73" s="14" t="s">
        <v>641</v>
      </c>
      <c r="C73" t="s">
        <v>193</v>
      </c>
      <c r="D73" s="5" t="s">
        <v>194</v>
      </c>
      <c r="E73" s="12">
        <v>0.43759999999999999</v>
      </c>
      <c r="F73" s="12">
        <v>0.41310000000000002</v>
      </c>
      <c r="G73" s="12">
        <v>0.41310000000000002</v>
      </c>
      <c r="H73" s="12">
        <v>0.49490000000000001</v>
      </c>
      <c r="I73" s="12">
        <v>0.51970000000000005</v>
      </c>
      <c r="J73" s="12">
        <v>0.53110000000000002</v>
      </c>
      <c r="K73" s="12">
        <v>0.5403</v>
      </c>
      <c r="L73" s="12">
        <v>0.54479999999999995</v>
      </c>
      <c r="M73" s="12">
        <v>0.60060000000000002</v>
      </c>
      <c r="N73" s="12">
        <v>0.71060000000000001</v>
      </c>
      <c r="O73" s="12">
        <v>0.73909999999999998</v>
      </c>
      <c r="P73" s="12">
        <v>0.58389999999999997</v>
      </c>
      <c r="Q73" s="12">
        <v>0.60089999999999999</v>
      </c>
      <c r="R73" s="12">
        <v>0.65159999999999996</v>
      </c>
      <c r="S73" s="12">
        <v>0.69589999999999996</v>
      </c>
      <c r="T73" s="12">
        <v>0.75</v>
      </c>
      <c r="U73" s="12">
        <v>0.68540000000000001</v>
      </c>
      <c r="V73" s="12">
        <v>0.62819999999999998</v>
      </c>
      <c r="W73" s="12">
        <v>0.5393</v>
      </c>
      <c r="X73" s="12">
        <v>0.5635</v>
      </c>
      <c r="Y73" s="12">
        <v>0.53759999999999997</v>
      </c>
      <c r="Z73" s="12">
        <v>0.47549999999999998</v>
      </c>
      <c r="AA73" s="12">
        <v>0.51380000000000003</v>
      </c>
      <c r="AB73" s="12">
        <v>0.54700000000000004</v>
      </c>
      <c r="AC73" s="12">
        <v>0.53869999999999996</v>
      </c>
      <c r="AD73" s="12" t="s">
        <v>73</v>
      </c>
    </row>
    <row r="74" spans="1:30" x14ac:dyDescent="0.3">
      <c r="A74" s="13" t="s">
        <v>569</v>
      </c>
      <c r="B74" s="14" t="s">
        <v>642</v>
      </c>
      <c r="C74" t="s">
        <v>195</v>
      </c>
      <c r="D74" s="5" t="s">
        <v>196</v>
      </c>
      <c r="E74" s="12">
        <v>2.9093</v>
      </c>
      <c r="F74" s="12">
        <v>2.8972000000000002</v>
      </c>
      <c r="G74" s="12">
        <v>2.9403000000000001</v>
      </c>
      <c r="H74" s="12">
        <v>2.9660000000000002</v>
      </c>
      <c r="I74" s="12">
        <v>2.8231000000000002</v>
      </c>
      <c r="J74" s="12">
        <v>2.7917999999999998</v>
      </c>
      <c r="K74" s="12">
        <v>2.6111</v>
      </c>
      <c r="L74" s="12">
        <v>2.4339</v>
      </c>
      <c r="M74" s="12">
        <v>2.3660000000000001</v>
      </c>
      <c r="N74" s="12">
        <v>2.3148</v>
      </c>
      <c r="O74" s="12">
        <v>2.3675000000000002</v>
      </c>
      <c r="P74" s="12">
        <v>2.3734000000000002</v>
      </c>
      <c r="Q74" s="12">
        <v>2.6533000000000002</v>
      </c>
      <c r="R74" s="12">
        <v>2.7320000000000002</v>
      </c>
      <c r="S74" s="12">
        <v>2.7784</v>
      </c>
      <c r="T74" s="12">
        <v>2.3239000000000001</v>
      </c>
      <c r="U74" s="12">
        <v>2.3542000000000001</v>
      </c>
      <c r="V74" s="12">
        <v>2.2839</v>
      </c>
      <c r="W74" s="12">
        <v>2.173</v>
      </c>
      <c r="X74" s="12">
        <v>2.1002000000000001</v>
      </c>
      <c r="Y74" s="12">
        <v>2.0901000000000001</v>
      </c>
      <c r="Z74" s="12">
        <v>2.2082000000000002</v>
      </c>
      <c r="AA74" s="12">
        <v>2.2059000000000002</v>
      </c>
      <c r="AB74" s="12">
        <v>2.0590999999999999</v>
      </c>
      <c r="AC74" s="12">
        <v>2.0609999999999999</v>
      </c>
      <c r="AD74" s="12" t="s">
        <v>73</v>
      </c>
    </row>
    <row r="75" spans="1:30" x14ac:dyDescent="0.3">
      <c r="A75" s="13" t="s">
        <v>569</v>
      </c>
      <c r="B75" s="14" t="s">
        <v>643</v>
      </c>
      <c r="C75" t="s">
        <v>20</v>
      </c>
      <c r="D75" s="5" t="s">
        <v>197</v>
      </c>
      <c r="E75" s="12">
        <v>42.204300000000003</v>
      </c>
      <c r="F75" s="12">
        <v>41.982100000000003</v>
      </c>
      <c r="G75" s="12">
        <v>41.317900000000002</v>
      </c>
      <c r="H75" s="12">
        <v>40.5032</v>
      </c>
      <c r="I75" s="12">
        <v>39.4482</v>
      </c>
      <c r="J75" s="12">
        <v>38.639000000000003</v>
      </c>
      <c r="K75" s="12">
        <v>37.950400000000002</v>
      </c>
      <c r="L75" s="12">
        <v>38.149799999999999</v>
      </c>
      <c r="M75" s="12">
        <v>39.169499999999999</v>
      </c>
      <c r="N75" s="12">
        <v>39.195</v>
      </c>
      <c r="O75" s="12">
        <v>38.980800000000002</v>
      </c>
      <c r="P75" s="12">
        <v>38.824100000000001</v>
      </c>
      <c r="Q75" s="12">
        <v>39.008699999999997</v>
      </c>
      <c r="R75" s="12">
        <v>39.458500000000001</v>
      </c>
      <c r="S75" s="12">
        <v>39.656300000000002</v>
      </c>
      <c r="T75" s="12">
        <v>39.626100000000001</v>
      </c>
      <c r="U75" s="12">
        <v>39.299700000000001</v>
      </c>
      <c r="V75" s="12">
        <v>38.988</v>
      </c>
      <c r="W75" s="12">
        <v>37.938800000000001</v>
      </c>
      <c r="X75" s="12">
        <v>37.1083</v>
      </c>
      <c r="Y75" s="12">
        <v>36.294800000000002</v>
      </c>
      <c r="Z75" s="12">
        <v>35.152900000000002</v>
      </c>
      <c r="AA75" s="12">
        <v>34.527099999999997</v>
      </c>
      <c r="AB75" s="12">
        <v>33.971899999999998</v>
      </c>
      <c r="AC75" s="12">
        <v>33.969200000000001</v>
      </c>
      <c r="AD75" s="12" t="s">
        <v>73</v>
      </c>
    </row>
    <row r="76" spans="1:30" x14ac:dyDescent="0.3">
      <c r="A76" s="13" t="s">
        <v>569</v>
      </c>
      <c r="B76" s="14" t="s">
        <v>644</v>
      </c>
      <c r="C76" t="s">
        <v>198</v>
      </c>
      <c r="D76" s="5" t="s">
        <v>199</v>
      </c>
      <c r="E76" s="12">
        <v>2.5672999999999999</v>
      </c>
      <c r="F76" s="12">
        <v>2.6591999999999998</v>
      </c>
      <c r="G76" s="12">
        <v>2.6960999999999999</v>
      </c>
      <c r="H76" s="12">
        <v>2.7319</v>
      </c>
      <c r="I76" s="12">
        <v>2.8170000000000002</v>
      </c>
      <c r="J76" s="12">
        <v>2.8773</v>
      </c>
      <c r="K76" s="12">
        <v>2.9213</v>
      </c>
      <c r="L76" s="12">
        <v>2.9037999999999999</v>
      </c>
      <c r="M76" s="12">
        <v>3.1063999999999998</v>
      </c>
      <c r="N76" s="12">
        <v>3.2944</v>
      </c>
      <c r="O76" s="12">
        <v>3.4590000000000001</v>
      </c>
      <c r="P76" s="12">
        <v>3.5918000000000001</v>
      </c>
      <c r="Q76" s="12">
        <v>3.7012999999999998</v>
      </c>
      <c r="R76" s="12">
        <v>3.9178000000000002</v>
      </c>
      <c r="S76" s="12">
        <v>4.0903</v>
      </c>
      <c r="T76" s="12">
        <v>4.2781000000000002</v>
      </c>
      <c r="U76" s="12">
        <v>4.4951999999999996</v>
      </c>
      <c r="V76" s="12">
        <v>4.7305000000000001</v>
      </c>
      <c r="W76" s="12">
        <v>4.7263000000000002</v>
      </c>
      <c r="X76" s="12">
        <v>5.1026999999999996</v>
      </c>
      <c r="Y76" s="12">
        <v>5.3937999999999997</v>
      </c>
      <c r="Z76" s="12">
        <v>5.7423000000000002</v>
      </c>
      <c r="AA76" s="12">
        <v>5.9359999999999999</v>
      </c>
      <c r="AB76" s="12">
        <v>6.1506999999999996</v>
      </c>
      <c r="AC76" s="12">
        <v>6.2047999999999996</v>
      </c>
      <c r="AD76" s="12" t="s">
        <v>73</v>
      </c>
    </row>
    <row r="77" spans="1:30" x14ac:dyDescent="0.3">
      <c r="A77" s="13" t="s">
        <v>569</v>
      </c>
      <c r="B77" s="14" t="s">
        <v>645</v>
      </c>
      <c r="C77" t="s">
        <v>200</v>
      </c>
      <c r="D77" s="5" t="s">
        <v>201</v>
      </c>
      <c r="E77" s="12" t="s">
        <v>73</v>
      </c>
      <c r="F77" s="12" t="s">
        <v>73</v>
      </c>
      <c r="G77" s="12" t="s">
        <v>73</v>
      </c>
      <c r="H77" s="12" t="s">
        <v>73</v>
      </c>
      <c r="I77" s="12" t="s">
        <v>73</v>
      </c>
      <c r="J77" s="12" t="s">
        <v>73</v>
      </c>
      <c r="K77" s="12" t="s">
        <v>73</v>
      </c>
      <c r="L77" s="12" t="s">
        <v>73</v>
      </c>
      <c r="M77" s="12" t="s">
        <v>73</v>
      </c>
      <c r="N77" s="12" t="s">
        <v>73</v>
      </c>
      <c r="O77" s="12" t="s">
        <v>73</v>
      </c>
      <c r="P77" s="12" t="s">
        <v>73</v>
      </c>
      <c r="Q77" s="12" t="s">
        <v>73</v>
      </c>
      <c r="R77" s="12" t="s">
        <v>73</v>
      </c>
      <c r="S77" s="12" t="s">
        <v>73</v>
      </c>
      <c r="T77" s="12" t="s">
        <v>73</v>
      </c>
      <c r="U77" s="12" t="s">
        <v>73</v>
      </c>
      <c r="V77" s="12" t="s">
        <v>73</v>
      </c>
      <c r="W77" s="12" t="s">
        <v>73</v>
      </c>
      <c r="X77" s="12" t="s">
        <v>73</v>
      </c>
      <c r="Y77" s="12" t="s">
        <v>73</v>
      </c>
      <c r="Z77" s="12" t="s">
        <v>73</v>
      </c>
      <c r="AA77" s="12" t="s">
        <v>73</v>
      </c>
      <c r="AB77" s="12" t="s">
        <v>73</v>
      </c>
      <c r="AC77" s="12" t="s">
        <v>73</v>
      </c>
      <c r="AD77" s="12" t="s">
        <v>73</v>
      </c>
    </row>
    <row r="78" spans="1:30" x14ac:dyDescent="0.3">
      <c r="A78" s="13" t="s">
        <v>569</v>
      </c>
      <c r="B78" s="14" t="s">
        <v>646</v>
      </c>
      <c r="C78" t="s">
        <v>21</v>
      </c>
      <c r="D78" s="5" t="s">
        <v>202</v>
      </c>
      <c r="E78" s="12">
        <v>4.9269999999999996</v>
      </c>
      <c r="F78" s="12">
        <v>4.8593999999999999</v>
      </c>
      <c r="G78" s="12">
        <v>4.8658000000000001</v>
      </c>
      <c r="H78" s="12">
        <v>4.8261000000000003</v>
      </c>
      <c r="I78" s="12">
        <v>4.8925000000000001</v>
      </c>
      <c r="J78" s="12">
        <v>4.7919</v>
      </c>
      <c r="K78" s="12">
        <v>4.8365</v>
      </c>
      <c r="L78" s="12">
        <v>4.9198000000000004</v>
      </c>
      <c r="M78" s="12">
        <v>4.9574999999999996</v>
      </c>
      <c r="N78" s="12">
        <v>4.8182999999999998</v>
      </c>
      <c r="O78" s="12">
        <v>4.8785999999999996</v>
      </c>
      <c r="P78" s="12">
        <v>4.8506999999999998</v>
      </c>
      <c r="Q78" s="12">
        <v>4.8226000000000004</v>
      </c>
      <c r="R78" s="12">
        <v>4.6784999999999997</v>
      </c>
      <c r="S78" s="12">
        <v>4.6006999999999998</v>
      </c>
      <c r="T78" s="12">
        <v>4.5460000000000003</v>
      </c>
      <c r="U78" s="12">
        <v>4.5148000000000001</v>
      </c>
      <c r="V78" s="12">
        <v>4.5646000000000004</v>
      </c>
      <c r="W78" s="12">
        <v>4.2431000000000001</v>
      </c>
      <c r="X78" s="12">
        <v>4.1989999999999998</v>
      </c>
      <c r="Y78" s="12">
        <v>4.1970000000000001</v>
      </c>
      <c r="Z78" s="12">
        <v>4.1691000000000003</v>
      </c>
      <c r="AA78" s="12">
        <v>3.9691999999999998</v>
      </c>
      <c r="AB78" s="12">
        <v>4.1486999999999998</v>
      </c>
      <c r="AC78" s="12">
        <v>4.1006</v>
      </c>
      <c r="AD78" s="12" t="s">
        <v>73</v>
      </c>
    </row>
    <row r="79" spans="1:30" x14ac:dyDescent="0.3">
      <c r="A79" s="13" t="s">
        <v>569</v>
      </c>
      <c r="B79" s="14" t="s">
        <v>647</v>
      </c>
      <c r="C79" t="s">
        <v>203</v>
      </c>
      <c r="D79" s="5" t="s">
        <v>204</v>
      </c>
      <c r="E79" s="12">
        <v>4.7000000000000002E-3</v>
      </c>
      <c r="F79" s="12">
        <v>4.7000000000000002E-3</v>
      </c>
      <c r="G79" s="12">
        <v>4.4000000000000003E-3</v>
      </c>
      <c r="H79" s="12">
        <v>4.4999999999999997E-3</v>
      </c>
      <c r="I79" s="12">
        <v>4.4000000000000003E-3</v>
      </c>
      <c r="J79" s="12">
        <v>4.4000000000000003E-3</v>
      </c>
      <c r="K79" s="12">
        <v>4.4999999999999997E-3</v>
      </c>
      <c r="L79" s="12">
        <v>4.5999999999999999E-3</v>
      </c>
      <c r="M79" s="12">
        <v>4.5999999999999999E-3</v>
      </c>
      <c r="N79" s="12">
        <v>4.5999999999999999E-3</v>
      </c>
      <c r="O79" s="12">
        <v>4.5999999999999999E-3</v>
      </c>
      <c r="P79" s="12">
        <v>4.5999999999999999E-3</v>
      </c>
      <c r="Q79" s="12">
        <v>4.5999999999999999E-3</v>
      </c>
      <c r="R79" s="12">
        <v>4.7000000000000002E-3</v>
      </c>
      <c r="S79" s="12">
        <v>4.4999999999999997E-3</v>
      </c>
      <c r="T79" s="12">
        <v>4.4999999999999997E-3</v>
      </c>
      <c r="U79" s="12">
        <v>4.4000000000000003E-3</v>
      </c>
      <c r="V79" s="12">
        <v>4.4000000000000003E-3</v>
      </c>
      <c r="W79" s="12">
        <v>4.4000000000000003E-3</v>
      </c>
      <c r="X79" s="12">
        <v>4.4000000000000003E-3</v>
      </c>
      <c r="Y79" s="12">
        <v>4.4000000000000003E-3</v>
      </c>
      <c r="Z79" s="12">
        <v>4.4000000000000003E-3</v>
      </c>
      <c r="AA79" s="12">
        <v>4.4000000000000003E-3</v>
      </c>
      <c r="AB79" s="12">
        <v>4.4999999999999997E-3</v>
      </c>
      <c r="AC79" s="12">
        <v>4.4999999999999997E-3</v>
      </c>
      <c r="AD79" s="12" t="s">
        <v>73</v>
      </c>
    </row>
    <row r="80" spans="1:30" x14ac:dyDescent="0.3">
      <c r="A80" s="13" t="s">
        <v>569</v>
      </c>
      <c r="B80" s="14" t="s">
        <v>648</v>
      </c>
      <c r="C80" t="s">
        <v>205</v>
      </c>
      <c r="D80" s="5" t="s">
        <v>206</v>
      </c>
      <c r="E80" s="12">
        <v>0.01</v>
      </c>
      <c r="F80" s="12">
        <v>0.01</v>
      </c>
      <c r="G80" s="12">
        <v>1.01E-2</v>
      </c>
      <c r="H80" s="12">
        <v>1.0200000000000001E-2</v>
      </c>
      <c r="I80" s="12">
        <v>1.0200000000000001E-2</v>
      </c>
      <c r="J80" s="12">
        <v>1.0200000000000001E-2</v>
      </c>
      <c r="K80" s="12">
        <v>1.0200000000000001E-2</v>
      </c>
      <c r="L80" s="12">
        <v>1.0200000000000001E-2</v>
      </c>
      <c r="M80" s="12">
        <v>1.0500000000000001E-2</v>
      </c>
      <c r="N80" s="12">
        <v>1.0500000000000001E-2</v>
      </c>
      <c r="O80" s="12">
        <v>1.0200000000000001E-2</v>
      </c>
      <c r="P80" s="12">
        <v>1.0200000000000001E-2</v>
      </c>
      <c r="Q80" s="12">
        <v>1.04E-2</v>
      </c>
      <c r="R80" s="12">
        <v>1.03E-2</v>
      </c>
      <c r="S80" s="12">
        <v>1.04E-2</v>
      </c>
      <c r="T80" s="12">
        <v>1.04E-2</v>
      </c>
      <c r="U80" s="12">
        <v>1.04E-2</v>
      </c>
      <c r="V80" s="12">
        <v>1.04E-2</v>
      </c>
      <c r="W80" s="12">
        <v>1.04E-2</v>
      </c>
      <c r="X80" s="12">
        <v>1.04E-2</v>
      </c>
      <c r="Y80" s="12">
        <v>1.04E-2</v>
      </c>
      <c r="Z80" s="12">
        <v>1.04E-2</v>
      </c>
      <c r="AA80" s="12">
        <v>1.04E-2</v>
      </c>
      <c r="AB80" s="12">
        <v>1.3100000000000001E-2</v>
      </c>
      <c r="AC80" s="12">
        <v>1.37E-2</v>
      </c>
      <c r="AD80" s="12" t="s">
        <v>73</v>
      </c>
    </row>
    <row r="81" spans="1:30" x14ac:dyDescent="0.3">
      <c r="A81" s="13" t="s">
        <v>569</v>
      </c>
      <c r="B81" s="14" t="s">
        <v>649</v>
      </c>
      <c r="C81" t="s">
        <v>207</v>
      </c>
      <c r="D81" s="5" t="s">
        <v>208</v>
      </c>
      <c r="E81" s="12">
        <v>2.2000000000000001E-3</v>
      </c>
      <c r="F81" s="12">
        <v>2.2000000000000001E-3</v>
      </c>
      <c r="G81" s="12">
        <v>2.3E-3</v>
      </c>
      <c r="H81" s="12">
        <v>2.3E-3</v>
      </c>
      <c r="I81" s="12">
        <v>2.3E-3</v>
      </c>
      <c r="J81" s="12">
        <v>2.3E-3</v>
      </c>
      <c r="K81" s="12">
        <v>2.3E-3</v>
      </c>
      <c r="L81" s="12">
        <v>2.3999999999999998E-3</v>
      </c>
      <c r="M81" s="12">
        <v>2.3999999999999998E-3</v>
      </c>
      <c r="N81" s="12">
        <v>2.3999999999999998E-3</v>
      </c>
      <c r="O81" s="12">
        <v>2.3999999999999998E-3</v>
      </c>
      <c r="P81" s="12">
        <v>2.5000000000000001E-3</v>
      </c>
      <c r="Q81" s="12">
        <v>2.5999999999999999E-3</v>
      </c>
      <c r="R81" s="12">
        <v>2.5999999999999999E-3</v>
      </c>
      <c r="S81" s="12">
        <v>2.5999999999999999E-3</v>
      </c>
      <c r="T81" s="12">
        <v>2.5999999999999999E-3</v>
      </c>
      <c r="U81" s="12">
        <v>2.5999999999999999E-3</v>
      </c>
      <c r="V81" s="12">
        <v>2.7000000000000001E-3</v>
      </c>
      <c r="W81" s="12">
        <v>2.7000000000000001E-3</v>
      </c>
      <c r="X81" s="12">
        <v>2.7000000000000001E-3</v>
      </c>
      <c r="Y81" s="12">
        <v>2.7000000000000001E-3</v>
      </c>
      <c r="Z81" s="12">
        <v>2.7000000000000001E-3</v>
      </c>
      <c r="AA81" s="12">
        <v>2.8E-3</v>
      </c>
      <c r="AB81" s="12">
        <v>2.8E-3</v>
      </c>
      <c r="AC81" s="12">
        <v>2.8E-3</v>
      </c>
      <c r="AD81" s="12" t="s">
        <v>73</v>
      </c>
    </row>
    <row r="82" spans="1:30" x14ac:dyDescent="0.3">
      <c r="A82" s="13" t="s">
        <v>569</v>
      </c>
      <c r="B82" s="14" t="s">
        <v>650</v>
      </c>
      <c r="C82" t="s">
        <v>209</v>
      </c>
      <c r="D82" s="5" t="s">
        <v>210</v>
      </c>
      <c r="E82" s="12">
        <v>4.3733000000000004</v>
      </c>
      <c r="F82" s="12">
        <v>4.5655000000000001</v>
      </c>
      <c r="G82" s="12">
        <v>4.6585000000000001</v>
      </c>
      <c r="H82" s="12">
        <v>4.3335999999999997</v>
      </c>
      <c r="I82" s="12">
        <v>4.5685000000000002</v>
      </c>
      <c r="J82" s="12">
        <v>4.7203999999999997</v>
      </c>
      <c r="K82" s="12">
        <v>4.8460000000000001</v>
      </c>
      <c r="L82" s="12">
        <v>5.1590999999999996</v>
      </c>
      <c r="M82" s="12">
        <v>5.4654999999999996</v>
      </c>
      <c r="N82" s="12">
        <v>5.7816999999999998</v>
      </c>
      <c r="O82" s="12">
        <v>6.0354000000000001</v>
      </c>
      <c r="P82" s="12">
        <v>5.9916999999999998</v>
      </c>
      <c r="Q82" s="12">
        <v>6.1295999999999999</v>
      </c>
      <c r="R82" s="12">
        <v>6.2096999999999998</v>
      </c>
      <c r="S82" s="12">
        <v>6.5362</v>
      </c>
      <c r="T82" s="12">
        <v>6.7042999999999999</v>
      </c>
      <c r="U82" s="12">
        <v>6.8365999999999998</v>
      </c>
      <c r="V82" s="12">
        <v>6.9115000000000002</v>
      </c>
      <c r="W82" s="12">
        <v>7.0479000000000003</v>
      </c>
      <c r="X82" s="12">
        <v>7.1292999999999997</v>
      </c>
      <c r="Y82" s="12">
        <v>7.2439</v>
      </c>
      <c r="Z82" s="12">
        <v>7.3392999999999997</v>
      </c>
      <c r="AA82" s="12">
        <v>7.4513999999999996</v>
      </c>
      <c r="AB82" s="12">
        <v>7.4756</v>
      </c>
      <c r="AC82" s="12">
        <v>7.4756</v>
      </c>
      <c r="AD82" s="12" t="s">
        <v>73</v>
      </c>
    </row>
    <row r="83" spans="1:30" x14ac:dyDescent="0.3">
      <c r="A83" s="13" t="s">
        <v>569</v>
      </c>
      <c r="B83" s="14" t="s">
        <v>651</v>
      </c>
      <c r="C83" t="s">
        <v>211</v>
      </c>
      <c r="D83" s="5" t="s">
        <v>212</v>
      </c>
      <c r="E83" s="12">
        <v>3.9077000000000002</v>
      </c>
      <c r="F83" s="12">
        <v>3.9411999999999998</v>
      </c>
      <c r="G83" s="12">
        <v>4.1529999999999996</v>
      </c>
      <c r="H83" s="12">
        <v>4.3796999999999997</v>
      </c>
      <c r="I83" s="12">
        <v>4.6189999999999998</v>
      </c>
      <c r="J83" s="12">
        <v>4.8712</v>
      </c>
      <c r="K83" s="12">
        <v>5.1463999999999999</v>
      </c>
      <c r="L83" s="12">
        <v>5.4199000000000002</v>
      </c>
      <c r="M83" s="12">
        <v>5.7168999999999999</v>
      </c>
      <c r="N83" s="12">
        <v>5.9836999999999998</v>
      </c>
      <c r="O83" s="12">
        <v>7.3365999999999998</v>
      </c>
      <c r="P83" s="12">
        <v>7.2592999999999996</v>
      </c>
      <c r="Q83" s="12">
        <v>7.7694000000000001</v>
      </c>
      <c r="R83" s="12">
        <v>8.3057999999999996</v>
      </c>
      <c r="S83" s="12">
        <v>8.6114999999999995</v>
      </c>
      <c r="T83" s="12">
        <v>9.1660000000000004</v>
      </c>
      <c r="U83" s="12">
        <v>9.6103000000000005</v>
      </c>
      <c r="V83" s="12">
        <v>10.0944</v>
      </c>
      <c r="W83" s="12">
        <v>10.668699999999999</v>
      </c>
      <c r="X83" s="12">
        <v>11.078099999999999</v>
      </c>
      <c r="Y83" s="12">
        <v>11.5289</v>
      </c>
      <c r="Z83" s="12">
        <v>12.421099999999999</v>
      </c>
      <c r="AA83" s="12">
        <v>13.298400000000001</v>
      </c>
      <c r="AB83" s="12">
        <v>13.3825</v>
      </c>
      <c r="AC83" s="12">
        <v>13.6859</v>
      </c>
      <c r="AD83" s="12" t="s">
        <v>73</v>
      </c>
    </row>
    <row r="84" spans="1:30" x14ac:dyDescent="0.3">
      <c r="A84" s="13" t="s">
        <v>569</v>
      </c>
      <c r="B84" s="14" t="s">
        <v>652</v>
      </c>
      <c r="C84" t="s">
        <v>213</v>
      </c>
      <c r="D84" s="5" t="s">
        <v>214</v>
      </c>
      <c r="E84" s="12">
        <v>0.83289999999999997</v>
      </c>
      <c r="F84" s="12">
        <v>0.79410000000000003</v>
      </c>
      <c r="G84" s="12">
        <v>0.79849999999999999</v>
      </c>
      <c r="H84" s="12">
        <v>0.80300000000000005</v>
      </c>
      <c r="I84" s="12">
        <v>0.80510000000000004</v>
      </c>
      <c r="J84" s="12">
        <v>0.84699999999999998</v>
      </c>
      <c r="K84" s="12">
        <v>0.88600000000000001</v>
      </c>
      <c r="L84" s="12">
        <v>0.95209999999999995</v>
      </c>
      <c r="M84" s="12">
        <v>1.0344</v>
      </c>
      <c r="N84" s="12">
        <v>1.1146</v>
      </c>
      <c r="O84" s="12">
        <v>1.1980999999999999</v>
      </c>
      <c r="P84" s="12">
        <v>1.1674</v>
      </c>
      <c r="Q84" s="12">
        <v>1.2376</v>
      </c>
      <c r="R84" s="12">
        <v>1.306</v>
      </c>
      <c r="S84" s="12">
        <v>1.1293</v>
      </c>
      <c r="T84" s="12">
        <v>1.2264999999999999</v>
      </c>
      <c r="U84" s="12">
        <v>1.2728999999999999</v>
      </c>
      <c r="V84" s="12">
        <v>1.2336</v>
      </c>
      <c r="W84" s="12">
        <v>1.2705</v>
      </c>
      <c r="X84" s="12">
        <v>1.3118000000000001</v>
      </c>
      <c r="Y84" s="12">
        <v>1.3128</v>
      </c>
      <c r="Z84" s="12">
        <v>1.3568</v>
      </c>
      <c r="AA84" s="12">
        <v>1.3668</v>
      </c>
      <c r="AB84" s="12">
        <v>1.3711</v>
      </c>
      <c r="AC84" s="12">
        <v>1.3772</v>
      </c>
      <c r="AD84" s="12" t="s">
        <v>73</v>
      </c>
    </row>
    <row r="85" spans="1:30" x14ac:dyDescent="0.3">
      <c r="A85" s="13" t="s">
        <v>569</v>
      </c>
      <c r="B85" s="14" t="s">
        <v>653</v>
      </c>
      <c r="C85" t="s">
        <v>215</v>
      </c>
      <c r="D85" s="5" t="s">
        <v>216</v>
      </c>
      <c r="E85" s="12">
        <v>1.0003</v>
      </c>
      <c r="F85" s="12">
        <v>1.0609</v>
      </c>
      <c r="G85" s="12">
        <v>0.95150000000000001</v>
      </c>
      <c r="H85" s="12">
        <v>1.1035999999999999</v>
      </c>
      <c r="I85" s="12">
        <v>1.0245</v>
      </c>
      <c r="J85" s="12">
        <v>0.94020000000000004</v>
      </c>
      <c r="K85" s="12">
        <v>0.94269999999999998</v>
      </c>
      <c r="L85" s="12">
        <v>0.96089999999999998</v>
      </c>
      <c r="M85" s="12">
        <v>1.0454000000000001</v>
      </c>
      <c r="N85" s="12">
        <v>1.0952</v>
      </c>
      <c r="O85" s="12">
        <v>1.1312</v>
      </c>
      <c r="P85" s="12">
        <v>1.2109000000000001</v>
      </c>
      <c r="Q85" s="12">
        <v>1.2383</v>
      </c>
      <c r="R85" s="12">
        <v>1.4138999999999999</v>
      </c>
      <c r="S85" s="12">
        <v>1.5801000000000001</v>
      </c>
      <c r="T85" s="12">
        <v>1.6383000000000001</v>
      </c>
      <c r="U85" s="12">
        <v>1.3352999999999999</v>
      </c>
      <c r="V85" s="12">
        <v>1.4991000000000001</v>
      </c>
      <c r="W85" s="12">
        <v>1.4534</v>
      </c>
      <c r="X85" s="12">
        <v>1.5331999999999999</v>
      </c>
      <c r="Y85" s="12">
        <v>1.5723</v>
      </c>
      <c r="Z85" s="12">
        <v>1.3524</v>
      </c>
      <c r="AA85" s="12">
        <v>1.3642000000000001</v>
      </c>
      <c r="AB85" s="12">
        <v>1.4348000000000001</v>
      </c>
      <c r="AC85" s="12">
        <v>1.6177999999999999</v>
      </c>
      <c r="AD85" s="12" t="s">
        <v>73</v>
      </c>
    </row>
    <row r="86" spans="1:30" x14ac:dyDescent="0.3">
      <c r="A86" s="13" t="s">
        <v>569</v>
      </c>
      <c r="B86" s="14" t="s">
        <v>654</v>
      </c>
      <c r="C86" t="s">
        <v>217</v>
      </c>
      <c r="D86" s="5" t="s">
        <v>218</v>
      </c>
      <c r="E86" s="12">
        <v>2.9929999999999999</v>
      </c>
      <c r="F86" s="12">
        <v>2.9876</v>
      </c>
      <c r="G86" s="12">
        <v>3.0011999999999999</v>
      </c>
      <c r="H86" s="12">
        <v>3.0097</v>
      </c>
      <c r="I86" s="12">
        <v>2.9899</v>
      </c>
      <c r="J86" s="12">
        <v>2.9986999999999999</v>
      </c>
      <c r="K86" s="12">
        <v>2.9912000000000001</v>
      </c>
      <c r="L86" s="12">
        <v>3.0207999999999999</v>
      </c>
      <c r="M86" s="12">
        <v>3.0116999999999998</v>
      </c>
      <c r="N86" s="12">
        <v>3.0373000000000001</v>
      </c>
      <c r="O86" s="12">
        <v>3.0581999999999998</v>
      </c>
      <c r="P86" s="12">
        <v>3.0728</v>
      </c>
      <c r="Q86" s="12">
        <v>3.0861000000000001</v>
      </c>
      <c r="R86" s="12">
        <v>3.1013000000000002</v>
      </c>
      <c r="S86" s="12">
        <v>3.1076999999999999</v>
      </c>
      <c r="T86" s="12">
        <v>3.1263999999999998</v>
      </c>
      <c r="U86" s="12">
        <v>3.2330000000000001</v>
      </c>
      <c r="V86" s="12">
        <v>3.2008000000000001</v>
      </c>
      <c r="W86" s="12">
        <v>3.4277000000000002</v>
      </c>
      <c r="X86" s="12">
        <v>3.1730999999999998</v>
      </c>
      <c r="Y86" s="12">
        <v>3.1513</v>
      </c>
      <c r="Z86" s="12">
        <v>3.1665000000000001</v>
      </c>
      <c r="AA86" s="12">
        <v>3.1703999999999999</v>
      </c>
      <c r="AB86" s="12">
        <v>3.2120000000000002</v>
      </c>
      <c r="AC86" s="12">
        <v>3.2235999999999998</v>
      </c>
      <c r="AD86" s="12" t="s">
        <v>73</v>
      </c>
    </row>
    <row r="87" spans="1:30" x14ac:dyDescent="0.3">
      <c r="A87" s="13" t="s">
        <v>569</v>
      </c>
      <c r="B87" s="14" t="s">
        <v>655</v>
      </c>
      <c r="C87" t="s">
        <v>219</v>
      </c>
      <c r="D87" s="5" t="s">
        <v>220</v>
      </c>
      <c r="E87" s="12">
        <v>2.9824999999999999</v>
      </c>
      <c r="F87" s="12">
        <v>3.0752999999999999</v>
      </c>
      <c r="G87" s="12">
        <v>3.7462</v>
      </c>
      <c r="H87" s="12">
        <v>4.2694999999999999</v>
      </c>
      <c r="I87" s="12">
        <v>4.3066000000000004</v>
      </c>
      <c r="J87" s="12">
        <v>3.9289000000000001</v>
      </c>
      <c r="K87" s="12">
        <v>3.9653999999999998</v>
      </c>
      <c r="L87" s="12">
        <v>4.5277000000000003</v>
      </c>
      <c r="M87" s="12">
        <v>4.7337999999999996</v>
      </c>
      <c r="N87" s="12">
        <v>5.0815000000000001</v>
      </c>
      <c r="O87" s="12">
        <v>5.2327000000000004</v>
      </c>
      <c r="P87" s="12">
        <v>4.8360000000000003</v>
      </c>
      <c r="Q87" s="12">
        <v>4.9539</v>
      </c>
      <c r="R87" s="12">
        <v>5.0061</v>
      </c>
      <c r="S87" s="12">
        <v>4.9771999999999998</v>
      </c>
      <c r="T87" s="12">
        <v>4.9928999999999997</v>
      </c>
      <c r="U87" s="12">
        <v>5.0088999999999997</v>
      </c>
      <c r="V87" s="12">
        <v>5.0282</v>
      </c>
      <c r="W87" s="12">
        <v>5.0510000000000002</v>
      </c>
      <c r="X87" s="12">
        <v>5.0751999999999997</v>
      </c>
      <c r="Y87" s="12">
        <v>5.1002999999999998</v>
      </c>
      <c r="Z87" s="12">
        <v>5.1147999999999998</v>
      </c>
      <c r="AA87" s="12">
        <v>5.1402999999999999</v>
      </c>
      <c r="AB87" s="12">
        <v>5.2190000000000003</v>
      </c>
      <c r="AC87" s="12">
        <v>5.2173999999999996</v>
      </c>
      <c r="AD87" s="12" t="s">
        <v>73</v>
      </c>
    </row>
    <row r="88" spans="1:30" x14ac:dyDescent="0.3">
      <c r="A88" s="13" t="s">
        <v>569</v>
      </c>
      <c r="B88" s="14" t="s">
        <v>656</v>
      </c>
      <c r="C88" t="s">
        <v>221</v>
      </c>
      <c r="D88" s="5" t="s">
        <v>222</v>
      </c>
      <c r="E88" s="12">
        <v>2.3199999999999998E-2</v>
      </c>
      <c r="F88" s="12">
        <v>2.41E-2</v>
      </c>
      <c r="G88" s="12">
        <v>2.2800000000000001E-2</v>
      </c>
      <c r="H88" s="12">
        <v>2.0799999999999999E-2</v>
      </c>
      <c r="I88" s="12">
        <v>2.0400000000000001E-2</v>
      </c>
      <c r="J88" s="12">
        <v>2.01E-2</v>
      </c>
      <c r="K88" s="12">
        <v>2.0400000000000001E-2</v>
      </c>
      <c r="L88" s="12">
        <v>1.67E-2</v>
      </c>
      <c r="M88" s="12">
        <v>1.66E-2</v>
      </c>
      <c r="N88" s="12">
        <v>1.8200000000000001E-2</v>
      </c>
      <c r="O88" s="12">
        <v>1.9199999999999998E-2</v>
      </c>
      <c r="P88" s="12">
        <v>1.95E-2</v>
      </c>
      <c r="Q88" s="12">
        <v>1.9699999999999999E-2</v>
      </c>
      <c r="R88" s="12">
        <v>1.9800000000000002E-2</v>
      </c>
      <c r="S88" s="12">
        <v>1.9800000000000002E-2</v>
      </c>
      <c r="T88" s="12">
        <v>1.2699999999999999E-2</v>
      </c>
      <c r="U88" s="12">
        <v>1.2800000000000001E-2</v>
      </c>
      <c r="V88" s="12">
        <v>1.4200000000000001E-2</v>
      </c>
      <c r="W88" s="12">
        <v>1.43E-2</v>
      </c>
      <c r="X88" s="12">
        <v>1.47E-2</v>
      </c>
      <c r="Y88" s="12">
        <v>1.5599999999999999E-2</v>
      </c>
      <c r="Z88" s="12">
        <v>1.4800000000000001E-2</v>
      </c>
      <c r="AA88" s="12">
        <v>1.4999999999999999E-2</v>
      </c>
      <c r="AB88" s="12">
        <v>1.5299999999999999E-2</v>
      </c>
      <c r="AC88" s="12">
        <v>1.5299999999999999E-2</v>
      </c>
      <c r="AD88" s="12" t="s">
        <v>73</v>
      </c>
    </row>
    <row r="89" spans="1:30" x14ac:dyDescent="0.3">
      <c r="A89" s="13" t="s">
        <v>569</v>
      </c>
      <c r="B89" s="14" t="s">
        <v>657</v>
      </c>
      <c r="C89" t="s">
        <v>223</v>
      </c>
      <c r="D89" s="5" t="s">
        <v>224</v>
      </c>
      <c r="E89" s="12">
        <v>3.8835000000000002</v>
      </c>
      <c r="F89" s="12">
        <v>3.8024</v>
      </c>
      <c r="G89" s="12">
        <v>3.7963</v>
      </c>
      <c r="H89" s="12">
        <v>3.7959000000000001</v>
      </c>
      <c r="I89" s="12">
        <v>3.8035999999999999</v>
      </c>
      <c r="J89" s="12">
        <v>3.5931000000000002</v>
      </c>
      <c r="K89" s="12">
        <v>3.54</v>
      </c>
      <c r="L89" s="12">
        <v>3.4874999999999998</v>
      </c>
      <c r="M89" s="12">
        <v>3.395</v>
      </c>
      <c r="N89" s="12">
        <v>3.3033999999999999</v>
      </c>
      <c r="O89" s="12">
        <v>3.2789000000000001</v>
      </c>
      <c r="P89" s="12">
        <v>3.2105999999999999</v>
      </c>
      <c r="Q89" s="12">
        <v>3.1819999999999999</v>
      </c>
      <c r="R89" s="12">
        <v>3.3340999999999998</v>
      </c>
      <c r="S89" s="12">
        <v>3.3483000000000001</v>
      </c>
      <c r="T89" s="12">
        <v>3.4264999999999999</v>
      </c>
      <c r="U89" s="12">
        <v>3.4885000000000002</v>
      </c>
      <c r="V89" s="12">
        <v>3.5175000000000001</v>
      </c>
      <c r="W89" s="12">
        <v>3.5960000000000001</v>
      </c>
      <c r="X89" s="12">
        <v>3.6067</v>
      </c>
      <c r="Y89" s="12">
        <v>3.6804000000000001</v>
      </c>
      <c r="Z89" s="12">
        <v>3.5988000000000002</v>
      </c>
      <c r="AA89" s="12">
        <v>3.5552000000000001</v>
      </c>
      <c r="AB89" s="12">
        <v>3.4621</v>
      </c>
      <c r="AC89" s="12">
        <v>3.4449000000000001</v>
      </c>
      <c r="AD89" s="12" t="s">
        <v>73</v>
      </c>
    </row>
    <row r="90" spans="1:30" x14ac:dyDescent="0.3">
      <c r="A90" s="13" t="s">
        <v>569</v>
      </c>
      <c r="B90" s="14" t="s">
        <v>658</v>
      </c>
      <c r="C90" t="s">
        <v>225</v>
      </c>
      <c r="D90" s="5" t="s">
        <v>226</v>
      </c>
      <c r="E90" s="12">
        <v>0.29820000000000002</v>
      </c>
      <c r="F90" s="12">
        <v>0.29770000000000002</v>
      </c>
      <c r="G90" s="12">
        <v>0.29210000000000003</v>
      </c>
      <c r="H90" s="12">
        <v>0.2903</v>
      </c>
      <c r="I90" s="12">
        <v>0.28649999999999998</v>
      </c>
      <c r="J90" s="12">
        <v>0.2863</v>
      </c>
      <c r="K90" s="12">
        <v>0.29470000000000002</v>
      </c>
      <c r="L90" s="12">
        <v>0.30109999999999998</v>
      </c>
      <c r="M90" s="12">
        <v>0.30570000000000003</v>
      </c>
      <c r="N90" s="12">
        <v>0.31230000000000002</v>
      </c>
      <c r="O90" s="12">
        <v>0.31240000000000001</v>
      </c>
      <c r="P90" s="12">
        <v>0.31180000000000002</v>
      </c>
      <c r="Q90" s="12">
        <v>0.30940000000000001</v>
      </c>
      <c r="R90" s="12">
        <v>0.29820000000000002</v>
      </c>
      <c r="S90" s="12">
        <v>0.31640000000000001</v>
      </c>
      <c r="T90" s="12">
        <v>0.32469999999999999</v>
      </c>
      <c r="U90" s="12">
        <v>0.32179999999999997</v>
      </c>
      <c r="V90" s="12">
        <v>0.31680000000000003</v>
      </c>
      <c r="W90" s="12">
        <v>0.31269999999999998</v>
      </c>
      <c r="X90" s="12">
        <v>0.30719999999999997</v>
      </c>
      <c r="Y90" s="12">
        <v>0.29759999999999998</v>
      </c>
      <c r="Z90" s="12">
        <v>0.2913</v>
      </c>
      <c r="AA90" s="12">
        <v>0.28360000000000002</v>
      </c>
      <c r="AB90" s="12">
        <v>0.2848</v>
      </c>
      <c r="AC90" s="12">
        <v>0.27929999999999999</v>
      </c>
      <c r="AD90" s="12" t="s">
        <v>73</v>
      </c>
    </row>
    <row r="91" spans="1:30" x14ac:dyDescent="0.3">
      <c r="A91" s="13" t="s">
        <v>569</v>
      </c>
      <c r="B91" s="14" t="s">
        <v>659</v>
      </c>
      <c r="C91" t="s">
        <v>22</v>
      </c>
      <c r="D91" s="5" t="s">
        <v>227</v>
      </c>
      <c r="E91" s="12">
        <v>485.1737</v>
      </c>
      <c r="F91" s="12">
        <v>487.59649999999999</v>
      </c>
      <c r="G91" s="12">
        <v>479.30610000000001</v>
      </c>
      <c r="H91" s="12">
        <v>484.3623</v>
      </c>
      <c r="I91" s="12">
        <v>489.95729999999998</v>
      </c>
      <c r="J91" s="12">
        <v>501.9948</v>
      </c>
      <c r="K91" s="12">
        <v>509.72250000000003</v>
      </c>
      <c r="L91" s="12">
        <v>519.9606</v>
      </c>
      <c r="M91" s="12">
        <v>523.47919999999999</v>
      </c>
      <c r="N91" s="12">
        <v>515.93420000000003</v>
      </c>
      <c r="O91" s="12">
        <v>519.78610000000003</v>
      </c>
      <c r="P91" s="12">
        <v>524.1318</v>
      </c>
      <c r="Q91" s="12">
        <v>521.73800000000006</v>
      </c>
      <c r="R91" s="12">
        <v>525.11120000000005</v>
      </c>
      <c r="S91" s="12">
        <v>525.55899999999997</v>
      </c>
      <c r="T91" s="12">
        <v>528.14269999999999</v>
      </c>
      <c r="U91" s="12">
        <v>533.11749999999995</v>
      </c>
      <c r="V91" s="12">
        <v>535.79190000000006</v>
      </c>
      <c r="W91" s="12">
        <v>539.94920000000002</v>
      </c>
      <c r="X91" s="12">
        <v>541.69159999999999</v>
      </c>
      <c r="Y91" s="12">
        <v>550.93230000000005</v>
      </c>
      <c r="Z91" s="12">
        <v>551.19060000000002</v>
      </c>
      <c r="AA91" s="12">
        <v>556.73109999999997</v>
      </c>
      <c r="AB91" s="12">
        <v>565.9067</v>
      </c>
      <c r="AC91" s="12">
        <v>572.26990000000001</v>
      </c>
      <c r="AD91" s="12" t="s">
        <v>73</v>
      </c>
    </row>
    <row r="92" spans="1:30" x14ac:dyDescent="0.3">
      <c r="A92" s="13" t="s">
        <v>569</v>
      </c>
      <c r="B92" s="14" t="s">
        <v>660</v>
      </c>
      <c r="C92" t="s">
        <v>23</v>
      </c>
      <c r="D92" s="5" t="s">
        <v>228</v>
      </c>
      <c r="E92" s="12">
        <v>77.019599999999997</v>
      </c>
      <c r="F92" s="12">
        <v>76.049099999999996</v>
      </c>
      <c r="G92" s="12">
        <v>76.958100000000002</v>
      </c>
      <c r="H92" s="12">
        <v>75.658299999999997</v>
      </c>
      <c r="I92" s="12">
        <v>77.483199999999997</v>
      </c>
      <c r="J92" s="12">
        <v>77.221599999999995</v>
      </c>
      <c r="K92" s="12">
        <v>77.896199999999993</v>
      </c>
      <c r="L92" s="12">
        <v>79.451700000000002</v>
      </c>
      <c r="M92" s="12">
        <v>81.250600000000006</v>
      </c>
      <c r="N92" s="12">
        <v>83.126900000000006</v>
      </c>
      <c r="O92" s="12">
        <v>85.529799999999994</v>
      </c>
      <c r="P92" s="12">
        <v>86.069699999999997</v>
      </c>
      <c r="Q92" s="12">
        <v>88.299899999999994</v>
      </c>
      <c r="R92" s="12">
        <v>81.357900000000001</v>
      </c>
      <c r="S92" s="12">
        <v>84.648700000000005</v>
      </c>
      <c r="T92" s="12">
        <v>85.364199999999997</v>
      </c>
      <c r="U92" s="12">
        <v>83.021199999999993</v>
      </c>
      <c r="V92" s="12">
        <v>86.078400000000002</v>
      </c>
      <c r="W92" s="12">
        <v>87.365099999999998</v>
      </c>
      <c r="X92" s="12">
        <v>85.889499999999998</v>
      </c>
      <c r="Y92" s="12">
        <v>86.2864</v>
      </c>
      <c r="Z92" s="12">
        <v>85.795699999999997</v>
      </c>
      <c r="AA92" s="12">
        <v>87.6006</v>
      </c>
      <c r="AB92" s="12">
        <v>86.819299999999998</v>
      </c>
      <c r="AC92" s="12">
        <v>88.398899999999998</v>
      </c>
      <c r="AD92" s="12" t="s">
        <v>73</v>
      </c>
    </row>
    <row r="93" spans="1:30" x14ac:dyDescent="0.3">
      <c r="A93" s="13" t="s">
        <v>569</v>
      </c>
      <c r="B93" s="14" t="s">
        <v>661</v>
      </c>
      <c r="C93" t="s">
        <v>24</v>
      </c>
      <c r="D93" s="5" t="s">
        <v>229</v>
      </c>
      <c r="E93" s="12">
        <v>25.157800000000002</v>
      </c>
      <c r="F93" s="12">
        <v>25.168399999999998</v>
      </c>
      <c r="G93" s="12">
        <v>24.3721</v>
      </c>
      <c r="H93" s="12">
        <v>24.5761</v>
      </c>
      <c r="I93" s="12">
        <v>24.793600000000001</v>
      </c>
      <c r="J93" s="12">
        <v>25.6508</v>
      </c>
      <c r="K93" s="12">
        <v>26.2943</v>
      </c>
      <c r="L93" s="12">
        <v>26.463100000000001</v>
      </c>
      <c r="M93" s="12">
        <v>23.732500000000002</v>
      </c>
      <c r="N93" s="12">
        <v>24.4603</v>
      </c>
      <c r="O93" s="12">
        <v>24.897200000000002</v>
      </c>
      <c r="P93" s="12">
        <v>24.491099999999999</v>
      </c>
      <c r="Q93" s="12">
        <v>25.029299999999999</v>
      </c>
      <c r="R93" s="12">
        <v>25.145600000000002</v>
      </c>
      <c r="S93" s="12">
        <v>18.111000000000001</v>
      </c>
      <c r="T93" s="12">
        <v>19.4391</v>
      </c>
      <c r="U93" s="12">
        <v>20.946899999999999</v>
      </c>
      <c r="V93" s="12">
        <v>19.7272</v>
      </c>
      <c r="W93" s="12">
        <v>20.3611</v>
      </c>
      <c r="X93" s="12">
        <v>22.010200000000001</v>
      </c>
      <c r="Y93" s="12">
        <v>22.9604</v>
      </c>
      <c r="Z93" s="12">
        <v>23.533000000000001</v>
      </c>
      <c r="AA93" s="12">
        <v>24.4404</v>
      </c>
      <c r="AB93" s="12">
        <v>23.507899999999999</v>
      </c>
      <c r="AC93" s="12">
        <v>23.954000000000001</v>
      </c>
      <c r="AD93" s="12" t="s">
        <v>73</v>
      </c>
    </row>
    <row r="94" spans="1:30" x14ac:dyDescent="0.3">
      <c r="A94" s="13" t="s">
        <v>569</v>
      </c>
      <c r="B94" s="14" t="s">
        <v>662</v>
      </c>
      <c r="C94" t="s">
        <v>230</v>
      </c>
      <c r="D94" s="5" t="s">
        <v>231</v>
      </c>
      <c r="E94" s="12">
        <v>3.1981000000000002</v>
      </c>
      <c r="F94" s="12">
        <v>3.2841999999999998</v>
      </c>
      <c r="G94" s="12">
        <v>3.4459</v>
      </c>
      <c r="H94" s="12">
        <v>3.0516000000000001</v>
      </c>
      <c r="I94" s="12">
        <v>3.1421999999999999</v>
      </c>
      <c r="J94" s="12">
        <v>3.5829</v>
      </c>
      <c r="K94" s="12">
        <v>3.5893000000000002</v>
      </c>
      <c r="L94" s="12">
        <v>3.7671000000000001</v>
      </c>
      <c r="M94" s="12">
        <v>3.9003000000000001</v>
      </c>
      <c r="N94" s="12">
        <v>4.6555</v>
      </c>
      <c r="O94" s="12">
        <v>4.6532</v>
      </c>
      <c r="P94" s="12">
        <v>4.8658000000000001</v>
      </c>
      <c r="Q94" s="12">
        <v>5.0098000000000003</v>
      </c>
      <c r="R94" s="12">
        <v>4.6557000000000004</v>
      </c>
      <c r="S94" s="12">
        <v>4.7129000000000003</v>
      </c>
      <c r="T94" s="12">
        <v>3.5215000000000001</v>
      </c>
      <c r="U94" s="12">
        <v>3.6616</v>
      </c>
      <c r="V94" s="12">
        <v>3.8109999999999999</v>
      </c>
      <c r="W94" s="12">
        <v>3.5972</v>
      </c>
      <c r="X94" s="12">
        <v>4.3727999999999998</v>
      </c>
      <c r="Y94" s="12">
        <v>4.3476999999999997</v>
      </c>
      <c r="Z94" s="12">
        <v>4.3620999999999999</v>
      </c>
      <c r="AA94" s="12">
        <v>3.9152999999999998</v>
      </c>
      <c r="AB94" s="12">
        <v>4.0317999999999996</v>
      </c>
      <c r="AC94" s="12">
        <v>4.3000999999999996</v>
      </c>
      <c r="AD94" s="12" t="s">
        <v>73</v>
      </c>
    </row>
    <row r="95" spans="1:30" x14ac:dyDescent="0.3">
      <c r="A95" s="13" t="s">
        <v>569</v>
      </c>
      <c r="B95" s="14" t="s">
        <v>663</v>
      </c>
      <c r="C95" t="s">
        <v>25</v>
      </c>
      <c r="D95" s="5" t="s">
        <v>232</v>
      </c>
      <c r="E95" s="12">
        <v>16.278700000000001</v>
      </c>
      <c r="F95" s="12">
        <v>16.371700000000001</v>
      </c>
      <c r="G95" s="12">
        <v>16.301200000000001</v>
      </c>
      <c r="H95" s="12">
        <v>16.250699999999998</v>
      </c>
      <c r="I95" s="12">
        <v>16.354399999999998</v>
      </c>
      <c r="J95" s="12">
        <v>16.03</v>
      </c>
      <c r="K95" s="12">
        <v>16.000900000000001</v>
      </c>
      <c r="L95" s="12">
        <v>15.7613</v>
      </c>
      <c r="M95" s="12">
        <v>15.6595</v>
      </c>
      <c r="N95" s="12">
        <v>15.5831</v>
      </c>
      <c r="O95" s="12">
        <v>15.118</v>
      </c>
      <c r="P95" s="12">
        <v>15.055400000000001</v>
      </c>
      <c r="Q95" s="12">
        <v>15.7257</v>
      </c>
      <c r="R95" s="12">
        <v>15.9794</v>
      </c>
      <c r="S95" s="12">
        <v>16.117899999999999</v>
      </c>
      <c r="T95" s="12">
        <v>16.3963</v>
      </c>
      <c r="U95" s="12">
        <v>17.046500000000002</v>
      </c>
      <c r="V95" s="12">
        <v>17.351500000000001</v>
      </c>
      <c r="W95" s="12">
        <v>15.5296</v>
      </c>
      <c r="X95" s="12">
        <v>15.5657</v>
      </c>
      <c r="Y95" s="12">
        <v>15.583</v>
      </c>
      <c r="Z95" s="12">
        <v>15.916</v>
      </c>
      <c r="AA95" s="12">
        <v>15.728400000000001</v>
      </c>
      <c r="AB95" s="12">
        <v>15.584199999999999</v>
      </c>
      <c r="AC95" s="12">
        <v>15.5829</v>
      </c>
      <c r="AD95" s="12" t="s">
        <v>73</v>
      </c>
    </row>
    <row r="96" spans="1:30" x14ac:dyDescent="0.3">
      <c r="A96" s="13" t="s">
        <v>569</v>
      </c>
      <c r="B96" s="14" t="s">
        <v>664</v>
      </c>
      <c r="C96" t="s">
        <v>233</v>
      </c>
      <c r="D96" s="5" t="s">
        <v>234</v>
      </c>
      <c r="E96" s="12" t="s">
        <v>73</v>
      </c>
      <c r="F96" s="12" t="s">
        <v>73</v>
      </c>
      <c r="G96" s="12" t="s">
        <v>73</v>
      </c>
      <c r="H96" s="12" t="s">
        <v>73</v>
      </c>
      <c r="I96" s="12" t="s">
        <v>73</v>
      </c>
      <c r="J96" s="12" t="s">
        <v>73</v>
      </c>
      <c r="K96" s="12" t="s">
        <v>73</v>
      </c>
      <c r="L96" s="12" t="s">
        <v>73</v>
      </c>
      <c r="M96" s="12" t="s">
        <v>73</v>
      </c>
      <c r="N96" s="12" t="s">
        <v>73</v>
      </c>
      <c r="O96" s="12" t="s">
        <v>73</v>
      </c>
      <c r="P96" s="12" t="s">
        <v>73</v>
      </c>
      <c r="Q96" s="12" t="s">
        <v>73</v>
      </c>
      <c r="R96" s="12" t="s">
        <v>73</v>
      </c>
      <c r="S96" s="12" t="s">
        <v>73</v>
      </c>
      <c r="T96" s="12" t="s">
        <v>73</v>
      </c>
      <c r="U96" s="12" t="s">
        <v>73</v>
      </c>
      <c r="V96" s="12" t="s">
        <v>73</v>
      </c>
      <c r="W96" s="12" t="s">
        <v>73</v>
      </c>
      <c r="X96" s="12" t="s">
        <v>73</v>
      </c>
      <c r="Y96" s="12" t="s">
        <v>73</v>
      </c>
      <c r="Z96" s="12" t="s">
        <v>73</v>
      </c>
      <c r="AA96" s="12" t="s">
        <v>73</v>
      </c>
      <c r="AB96" s="12" t="s">
        <v>73</v>
      </c>
      <c r="AC96" s="12" t="s">
        <v>73</v>
      </c>
      <c r="AD96" s="12" t="s">
        <v>73</v>
      </c>
    </row>
    <row r="97" spans="1:30" x14ac:dyDescent="0.3">
      <c r="A97" s="13" t="s">
        <v>569</v>
      </c>
      <c r="B97" s="14" t="s">
        <v>665</v>
      </c>
      <c r="C97" t="s">
        <v>235</v>
      </c>
      <c r="D97" s="5" t="s">
        <v>236</v>
      </c>
      <c r="E97" s="12">
        <v>1.3869</v>
      </c>
      <c r="F97" s="12">
        <v>1.4104000000000001</v>
      </c>
      <c r="G97" s="12">
        <v>1.3551</v>
      </c>
      <c r="H97" s="12">
        <v>1.3991</v>
      </c>
      <c r="I97" s="12">
        <v>1.3887</v>
      </c>
      <c r="J97" s="12">
        <v>1.3964000000000001</v>
      </c>
      <c r="K97" s="12">
        <v>1.5215000000000001</v>
      </c>
      <c r="L97" s="12">
        <v>1.4806999999999999</v>
      </c>
      <c r="M97" s="12">
        <v>1.5036</v>
      </c>
      <c r="N97" s="12">
        <v>1.4545999999999999</v>
      </c>
      <c r="O97" s="12">
        <v>1.5074000000000001</v>
      </c>
      <c r="P97" s="12">
        <v>1.5702</v>
      </c>
      <c r="Q97" s="12">
        <v>1.5648</v>
      </c>
      <c r="R97" s="12">
        <v>1.6608000000000001</v>
      </c>
      <c r="S97" s="12">
        <v>1.7424999999999999</v>
      </c>
      <c r="T97" s="12">
        <v>1.8279000000000001</v>
      </c>
      <c r="U97" s="12">
        <v>1.7814000000000001</v>
      </c>
      <c r="V97" s="12">
        <v>1.8502000000000001</v>
      </c>
      <c r="W97" s="12">
        <v>1.9581</v>
      </c>
      <c r="X97" s="12">
        <v>1.9834000000000001</v>
      </c>
      <c r="Y97" s="12">
        <v>1.9456</v>
      </c>
      <c r="Z97" s="12">
        <v>2.0592999999999999</v>
      </c>
      <c r="AA97" s="12">
        <v>2.0836000000000001</v>
      </c>
      <c r="AB97" s="12">
        <v>2.0289999999999999</v>
      </c>
      <c r="AC97" s="12">
        <v>2.0301</v>
      </c>
      <c r="AD97" s="12" t="s">
        <v>73</v>
      </c>
    </row>
    <row r="98" spans="1:30" x14ac:dyDescent="0.3">
      <c r="A98" s="13" t="s">
        <v>569</v>
      </c>
      <c r="B98" s="14" t="s">
        <v>666</v>
      </c>
      <c r="C98" t="s">
        <v>26</v>
      </c>
      <c r="D98" s="5" t="s">
        <v>237</v>
      </c>
      <c r="E98" s="12">
        <v>24.778700000000001</v>
      </c>
      <c r="F98" s="12">
        <v>21.689</v>
      </c>
      <c r="G98" s="12">
        <v>23.1084</v>
      </c>
      <c r="H98" s="12">
        <v>22.798400000000001</v>
      </c>
      <c r="I98" s="12">
        <v>22.777999999999999</v>
      </c>
      <c r="J98" s="12">
        <v>22.235800000000001</v>
      </c>
      <c r="K98" s="12">
        <v>21.911300000000001</v>
      </c>
      <c r="L98" s="12">
        <v>22.035499999999999</v>
      </c>
      <c r="M98" s="12">
        <v>22.812999999999999</v>
      </c>
      <c r="N98" s="12">
        <v>22.7041</v>
      </c>
      <c r="O98" s="12">
        <v>23.039100000000001</v>
      </c>
      <c r="P98" s="12">
        <v>22.327100000000002</v>
      </c>
      <c r="Q98" s="12">
        <v>22.5139</v>
      </c>
      <c r="R98" s="12">
        <v>22.1614</v>
      </c>
      <c r="S98" s="12">
        <v>21.730899999999998</v>
      </c>
      <c r="T98" s="12">
        <v>21.754100000000001</v>
      </c>
      <c r="U98" s="12">
        <v>22.111599999999999</v>
      </c>
      <c r="V98" s="12">
        <v>22.1356</v>
      </c>
      <c r="W98" s="12">
        <v>22.816400000000002</v>
      </c>
      <c r="X98" s="12">
        <v>22.7972</v>
      </c>
      <c r="Y98" s="12">
        <v>22.913699999999999</v>
      </c>
      <c r="Z98" s="12">
        <v>22.5396</v>
      </c>
      <c r="AA98" s="12">
        <v>22.142199999999999</v>
      </c>
      <c r="AB98" s="12">
        <v>21.972300000000001</v>
      </c>
      <c r="AC98" s="12">
        <v>21.922699999999999</v>
      </c>
      <c r="AD98" s="12" t="s">
        <v>73</v>
      </c>
    </row>
    <row r="99" spans="1:30" x14ac:dyDescent="0.3">
      <c r="A99" s="13" t="s">
        <v>569</v>
      </c>
      <c r="B99" s="14" t="s">
        <v>667</v>
      </c>
      <c r="C99" t="s">
        <v>238</v>
      </c>
      <c r="D99" s="5" t="s">
        <v>239</v>
      </c>
      <c r="E99" s="12">
        <v>0.84219999999999995</v>
      </c>
      <c r="F99" s="12">
        <v>0.83589999999999998</v>
      </c>
      <c r="G99" s="12">
        <v>0.8236</v>
      </c>
      <c r="H99" s="12">
        <v>0.86719999999999997</v>
      </c>
      <c r="I99" s="12">
        <v>0.78239999999999998</v>
      </c>
      <c r="J99" s="12">
        <v>0.73240000000000005</v>
      </c>
      <c r="K99" s="12">
        <v>0.48180000000000001</v>
      </c>
      <c r="L99" s="12">
        <v>0.44569999999999999</v>
      </c>
      <c r="M99" s="12">
        <v>0.44269999999999998</v>
      </c>
      <c r="N99" s="12">
        <v>0.43290000000000001</v>
      </c>
      <c r="O99" s="12">
        <v>0.44390000000000002</v>
      </c>
      <c r="P99" s="12">
        <v>0.44940000000000002</v>
      </c>
      <c r="Q99" s="12">
        <v>0.45979999999999999</v>
      </c>
      <c r="R99" s="12">
        <v>0.45860000000000001</v>
      </c>
      <c r="S99" s="12">
        <v>0.46060000000000001</v>
      </c>
      <c r="T99" s="12">
        <v>0.44540000000000002</v>
      </c>
      <c r="U99" s="12">
        <v>0.44679999999999997</v>
      </c>
      <c r="V99" s="12">
        <v>0.44919999999999999</v>
      </c>
      <c r="W99" s="12">
        <v>0.4491</v>
      </c>
      <c r="X99" s="12">
        <v>0.4481</v>
      </c>
      <c r="Y99" s="12">
        <v>0.44769999999999999</v>
      </c>
      <c r="Z99" s="12">
        <v>0.44529999999999997</v>
      </c>
      <c r="AA99" s="12">
        <v>0.43469999999999998</v>
      </c>
      <c r="AB99" s="12">
        <v>0.43309999999999998</v>
      </c>
      <c r="AC99" s="12">
        <v>0.43</v>
      </c>
      <c r="AD99" s="12" t="s">
        <v>73</v>
      </c>
    </row>
    <row r="100" spans="1:30" x14ac:dyDescent="0.3">
      <c r="A100" s="13" t="s">
        <v>569</v>
      </c>
      <c r="B100" s="14" t="s">
        <v>668</v>
      </c>
      <c r="C100" t="s">
        <v>27</v>
      </c>
      <c r="D100" s="5" t="s">
        <v>240</v>
      </c>
      <c r="E100" s="12">
        <v>34.800699999999999</v>
      </c>
      <c r="F100" s="12">
        <v>34.254899999999999</v>
      </c>
      <c r="G100" s="12">
        <v>34.446800000000003</v>
      </c>
      <c r="H100" s="12">
        <v>34.056199999999997</v>
      </c>
      <c r="I100" s="12">
        <v>34.704300000000003</v>
      </c>
      <c r="J100" s="12">
        <v>34.565100000000001</v>
      </c>
      <c r="K100" s="12">
        <v>35.913899999999998</v>
      </c>
      <c r="L100" s="12">
        <v>37.5199</v>
      </c>
      <c r="M100" s="12">
        <v>38.928400000000003</v>
      </c>
      <c r="N100" s="12">
        <v>40.450299999999999</v>
      </c>
      <c r="O100" s="12">
        <v>42.006</v>
      </c>
      <c r="P100" s="12">
        <v>39.970300000000002</v>
      </c>
      <c r="Q100" s="12">
        <v>39.788200000000003</v>
      </c>
      <c r="R100" s="12">
        <v>40.452300000000001</v>
      </c>
      <c r="S100" s="12">
        <v>39.824599999999997</v>
      </c>
      <c r="T100" s="12">
        <v>38.951700000000002</v>
      </c>
      <c r="U100" s="12">
        <v>38.682699999999997</v>
      </c>
      <c r="V100" s="12">
        <v>38.574199999999998</v>
      </c>
      <c r="W100" s="12">
        <v>38.666600000000003</v>
      </c>
      <c r="X100" s="12">
        <v>38.552700000000002</v>
      </c>
      <c r="Y100" s="12">
        <v>38.855800000000002</v>
      </c>
      <c r="Z100" s="12">
        <v>39.145800000000001</v>
      </c>
      <c r="AA100" s="12">
        <v>39.061999999999998</v>
      </c>
      <c r="AB100" s="12">
        <v>39.097099999999998</v>
      </c>
      <c r="AC100" s="12">
        <v>38.903300000000002</v>
      </c>
      <c r="AD100" s="12" t="s">
        <v>73</v>
      </c>
    </row>
    <row r="101" spans="1:30" x14ac:dyDescent="0.3">
      <c r="A101" s="13" t="s">
        <v>569</v>
      </c>
      <c r="B101" s="14" t="s">
        <v>669</v>
      </c>
      <c r="C101" t="s">
        <v>241</v>
      </c>
      <c r="D101" s="5" t="s">
        <v>242</v>
      </c>
      <c r="E101" s="12">
        <v>0.41589999999999999</v>
      </c>
      <c r="F101" s="12">
        <v>0.4133</v>
      </c>
      <c r="G101" s="12">
        <v>0.43590000000000001</v>
      </c>
      <c r="H101" s="12">
        <v>0.4572</v>
      </c>
      <c r="I101" s="12">
        <v>0.47449999999999998</v>
      </c>
      <c r="J101" s="12">
        <v>0.49419999999999997</v>
      </c>
      <c r="K101" s="12">
        <v>0.497</v>
      </c>
      <c r="L101" s="12">
        <v>0.57889999999999997</v>
      </c>
      <c r="M101" s="12">
        <v>0.71340000000000003</v>
      </c>
      <c r="N101" s="12">
        <v>0.60899999999999999</v>
      </c>
      <c r="O101" s="12">
        <v>0.6048</v>
      </c>
      <c r="P101" s="12">
        <v>0.62329999999999997</v>
      </c>
      <c r="Q101" s="12">
        <v>0.61499999999999999</v>
      </c>
      <c r="R101" s="12">
        <v>0.65510000000000002</v>
      </c>
      <c r="S101" s="12">
        <v>0.71740000000000004</v>
      </c>
      <c r="T101" s="12">
        <v>0.70220000000000005</v>
      </c>
      <c r="U101" s="12">
        <v>0.81059999999999999</v>
      </c>
      <c r="V101" s="12">
        <v>0.76549999999999996</v>
      </c>
      <c r="W101" s="12">
        <v>0.75790000000000002</v>
      </c>
      <c r="X101" s="12">
        <v>0.75800000000000001</v>
      </c>
      <c r="Y101" s="12">
        <v>0.75360000000000005</v>
      </c>
      <c r="Z101" s="12">
        <v>0.77610000000000001</v>
      </c>
      <c r="AA101" s="12">
        <v>0.75739999999999996</v>
      </c>
      <c r="AB101" s="12">
        <v>0.75639999999999996</v>
      </c>
      <c r="AC101" s="12">
        <v>0.75619999999999998</v>
      </c>
      <c r="AD101" s="12" t="s">
        <v>73</v>
      </c>
    </row>
    <row r="102" spans="1:30" x14ac:dyDescent="0.3">
      <c r="A102" s="13" t="s">
        <v>569</v>
      </c>
      <c r="B102" s="14" t="s">
        <v>670</v>
      </c>
      <c r="C102" t="s">
        <v>243</v>
      </c>
      <c r="D102" s="5" t="s">
        <v>244</v>
      </c>
      <c r="E102" s="12">
        <v>12.4903</v>
      </c>
      <c r="F102" s="12">
        <v>12.8485</v>
      </c>
      <c r="G102" s="12">
        <v>13.291700000000001</v>
      </c>
      <c r="H102" s="12">
        <v>14.1396</v>
      </c>
      <c r="I102" s="12">
        <v>14.9039</v>
      </c>
      <c r="J102" s="12">
        <v>16.031600000000001</v>
      </c>
      <c r="K102" s="12">
        <v>16.842300000000002</v>
      </c>
      <c r="L102" s="12">
        <v>17.671099999999999</v>
      </c>
      <c r="M102" s="12">
        <v>18.18</v>
      </c>
      <c r="N102" s="12">
        <v>18.828099999999999</v>
      </c>
      <c r="O102" s="12">
        <v>18.969899999999999</v>
      </c>
      <c r="P102" s="12">
        <v>19.587599999999998</v>
      </c>
      <c r="Q102" s="12">
        <v>18.657599999999999</v>
      </c>
      <c r="R102" s="12">
        <v>18.7347</v>
      </c>
      <c r="S102" s="12">
        <v>19.269400000000001</v>
      </c>
      <c r="T102" s="12">
        <v>20.4084</v>
      </c>
      <c r="U102" s="12">
        <v>21.082799999999999</v>
      </c>
      <c r="V102" s="12">
        <v>22.051600000000001</v>
      </c>
      <c r="W102" s="12">
        <v>23.124199999999998</v>
      </c>
      <c r="X102" s="12">
        <v>23.979399999999998</v>
      </c>
      <c r="Y102" s="12">
        <v>25.239599999999999</v>
      </c>
      <c r="Z102" s="12">
        <v>26.357199999999999</v>
      </c>
      <c r="AA102" s="12">
        <v>27.467400000000001</v>
      </c>
      <c r="AB102" s="12">
        <v>22.082899999999999</v>
      </c>
      <c r="AC102" s="12">
        <v>22.3279</v>
      </c>
      <c r="AD102" s="12" t="s">
        <v>73</v>
      </c>
    </row>
    <row r="103" spans="1:30" x14ac:dyDescent="0.3">
      <c r="A103" s="13" t="s">
        <v>569</v>
      </c>
      <c r="B103" s="14" t="s">
        <v>671</v>
      </c>
      <c r="C103" t="s">
        <v>245</v>
      </c>
      <c r="D103" s="5" t="s">
        <v>246</v>
      </c>
      <c r="E103" s="12">
        <v>16.237300000000001</v>
      </c>
      <c r="F103" s="12">
        <v>17.6645</v>
      </c>
      <c r="G103" s="12">
        <v>19.846599999999999</v>
      </c>
      <c r="H103" s="12">
        <v>21.210799999999999</v>
      </c>
      <c r="I103" s="12">
        <v>23.9054</v>
      </c>
      <c r="J103" s="12">
        <v>25.2636</v>
      </c>
      <c r="K103" s="12">
        <v>22.974499999999999</v>
      </c>
      <c r="L103" s="12">
        <v>38.437600000000003</v>
      </c>
      <c r="M103" s="12">
        <v>42.079700000000003</v>
      </c>
      <c r="N103" s="12">
        <v>39.253799999999998</v>
      </c>
      <c r="O103" s="12">
        <v>41.228400000000001</v>
      </c>
      <c r="P103" s="12">
        <v>41.095799999999997</v>
      </c>
      <c r="Q103" s="12">
        <v>40.2654</v>
      </c>
      <c r="R103" s="12">
        <v>38.7502</v>
      </c>
      <c r="S103" s="12">
        <v>38.562800000000003</v>
      </c>
      <c r="T103" s="12">
        <v>38.997700000000002</v>
      </c>
      <c r="U103" s="12">
        <v>42.445599999999999</v>
      </c>
      <c r="V103" s="12">
        <v>39.206200000000003</v>
      </c>
      <c r="W103" s="12">
        <v>41.668100000000003</v>
      </c>
      <c r="X103" s="12">
        <v>48.253900000000002</v>
      </c>
      <c r="Y103" s="12">
        <v>57.532200000000003</v>
      </c>
      <c r="Z103" s="12">
        <v>50.2455</v>
      </c>
      <c r="AA103" s="12">
        <v>52.0852</v>
      </c>
      <c r="AB103" s="12">
        <v>48.627600000000001</v>
      </c>
      <c r="AC103" s="12">
        <v>50.0244</v>
      </c>
      <c r="AD103" s="12" t="s">
        <v>73</v>
      </c>
    </row>
    <row r="104" spans="1:30" x14ac:dyDescent="0.3">
      <c r="A104" s="13" t="s">
        <v>569</v>
      </c>
      <c r="B104" s="14" t="s">
        <v>672</v>
      </c>
      <c r="C104" t="s">
        <v>247</v>
      </c>
      <c r="D104" s="5" t="s">
        <v>248</v>
      </c>
      <c r="E104" s="12">
        <v>2E-3</v>
      </c>
      <c r="F104" s="12">
        <v>2.0999999999999999E-3</v>
      </c>
      <c r="G104" s="12">
        <v>2.3999999999999998E-3</v>
      </c>
      <c r="H104" s="12">
        <v>2.3999999999999998E-3</v>
      </c>
      <c r="I104" s="12">
        <v>2.3999999999999998E-3</v>
      </c>
      <c r="J104" s="12">
        <v>2.5000000000000001E-3</v>
      </c>
      <c r="K104" s="12">
        <v>2.5000000000000001E-3</v>
      </c>
      <c r="L104" s="12">
        <v>2.5999999999999999E-3</v>
      </c>
      <c r="M104" s="12">
        <v>2.7000000000000001E-3</v>
      </c>
      <c r="N104" s="12">
        <v>2.7000000000000001E-3</v>
      </c>
      <c r="O104" s="12">
        <v>2.8E-3</v>
      </c>
      <c r="P104" s="12">
        <v>2.8E-3</v>
      </c>
      <c r="Q104" s="12">
        <v>2.8999999999999998E-3</v>
      </c>
      <c r="R104" s="12">
        <v>2.8999999999999998E-3</v>
      </c>
      <c r="S104" s="12">
        <v>3.0000000000000001E-3</v>
      </c>
      <c r="T104" s="12">
        <v>3.0000000000000001E-3</v>
      </c>
      <c r="U104" s="12">
        <v>3.0000000000000001E-3</v>
      </c>
      <c r="V104" s="12">
        <v>3.0999999999999999E-3</v>
      </c>
      <c r="W104" s="12">
        <v>3.0999999999999999E-3</v>
      </c>
      <c r="X104" s="12">
        <v>3.0999999999999999E-3</v>
      </c>
      <c r="Y104" s="12">
        <v>3.0999999999999999E-3</v>
      </c>
      <c r="Z104" s="12">
        <v>3.2000000000000002E-3</v>
      </c>
      <c r="AA104" s="12">
        <v>3.2000000000000002E-3</v>
      </c>
      <c r="AB104" s="12">
        <v>3.2000000000000002E-3</v>
      </c>
      <c r="AC104" s="12">
        <v>3.3E-3</v>
      </c>
      <c r="AD104" s="12" t="s">
        <v>73</v>
      </c>
    </row>
    <row r="105" spans="1:30" x14ac:dyDescent="0.3">
      <c r="A105" s="13" t="s">
        <v>569</v>
      </c>
      <c r="B105" s="14" t="s">
        <v>673</v>
      </c>
      <c r="C105" t="s">
        <v>249</v>
      </c>
      <c r="D105" s="5" t="s">
        <v>250</v>
      </c>
      <c r="E105" s="12">
        <v>3.7040999999999999</v>
      </c>
      <c r="F105" s="12">
        <v>3.9472</v>
      </c>
      <c r="G105" s="12">
        <v>4.0343999999999998</v>
      </c>
      <c r="H105" s="12">
        <v>4.0624000000000002</v>
      </c>
      <c r="I105" s="12">
        <v>4.0724</v>
      </c>
      <c r="J105" s="12">
        <v>4.1445999999999996</v>
      </c>
      <c r="K105" s="12">
        <v>4.1337000000000002</v>
      </c>
      <c r="L105" s="12">
        <v>3.9950000000000001</v>
      </c>
      <c r="M105" s="12">
        <v>4.1407999999999996</v>
      </c>
      <c r="N105" s="12">
        <v>4.0640000000000001</v>
      </c>
      <c r="O105" s="12">
        <v>4.0911999999999997</v>
      </c>
      <c r="P105" s="12">
        <v>4.1227</v>
      </c>
      <c r="Q105" s="12">
        <v>4.21</v>
      </c>
      <c r="R105" s="12">
        <v>4.1074000000000002</v>
      </c>
      <c r="S105" s="12">
        <v>3.9658000000000002</v>
      </c>
      <c r="T105" s="12">
        <v>3.6593</v>
      </c>
      <c r="U105" s="12">
        <v>3.7913000000000001</v>
      </c>
      <c r="V105" s="12">
        <v>3.7936000000000001</v>
      </c>
      <c r="W105" s="12">
        <v>3.7214</v>
      </c>
      <c r="X105" s="12">
        <v>3.8151000000000002</v>
      </c>
      <c r="Y105" s="12">
        <v>3.7273999999999998</v>
      </c>
      <c r="Z105" s="12">
        <v>3.8936000000000002</v>
      </c>
      <c r="AA105" s="12">
        <v>3.5722</v>
      </c>
      <c r="AB105" s="12">
        <v>3.3929</v>
      </c>
      <c r="AC105" s="12">
        <v>3.4272</v>
      </c>
      <c r="AD105" s="12" t="s">
        <v>73</v>
      </c>
    </row>
    <row r="106" spans="1:30" x14ac:dyDescent="0.3">
      <c r="A106" s="13" t="s">
        <v>569</v>
      </c>
      <c r="B106" s="14" t="s">
        <v>674</v>
      </c>
      <c r="C106" t="s">
        <v>34</v>
      </c>
      <c r="D106" s="5" t="s">
        <v>251</v>
      </c>
      <c r="E106" s="12">
        <v>19.5976</v>
      </c>
      <c r="F106" s="12">
        <v>19.417400000000001</v>
      </c>
      <c r="G106" s="12">
        <v>18.986699999999999</v>
      </c>
      <c r="H106" s="12">
        <v>18.5444</v>
      </c>
      <c r="I106" s="12">
        <v>19.1159</v>
      </c>
      <c r="J106" s="12">
        <v>19.138999999999999</v>
      </c>
      <c r="K106" s="12">
        <v>19.502500000000001</v>
      </c>
      <c r="L106" s="12">
        <v>19.854500000000002</v>
      </c>
      <c r="M106" s="12">
        <v>20.443999999999999</v>
      </c>
      <c r="N106" s="12">
        <v>21.108699999999999</v>
      </c>
      <c r="O106" s="12">
        <v>21.4315</v>
      </c>
      <c r="P106" s="12">
        <v>20.817799999999998</v>
      </c>
      <c r="Q106" s="12">
        <v>21.125299999999999</v>
      </c>
      <c r="R106" s="12">
        <v>20.7423</v>
      </c>
      <c r="S106" s="12">
        <v>20.263300000000001</v>
      </c>
      <c r="T106" s="12">
        <v>20.636800000000001</v>
      </c>
      <c r="U106" s="12">
        <v>20.5901</v>
      </c>
      <c r="V106" s="12">
        <v>20.458100000000002</v>
      </c>
      <c r="W106" s="12">
        <v>20.540700000000001</v>
      </c>
      <c r="X106" s="12">
        <v>20.712900000000001</v>
      </c>
      <c r="Y106" s="12">
        <v>20.998699999999999</v>
      </c>
      <c r="Z106" s="12">
        <v>21.703399999999998</v>
      </c>
      <c r="AA106" s="12">
        <v>21.834900000000001</v>
      </c>
      <c r="AB106" s="12">
        <v>21.508800000000001</v>
      </c>
      <c r="AC106" s="12">
        <v>21.0197</v>
      </c>
      <c r="AD106" s="12" t="s">
        <v>73</v>
      </c>
    </row>
    <row r="107" spans="1:30" x14ac:dyDescent="0.3">
      <c r="A107" s="13" t="s">
        <v>569</v>
      </c>
      <c r="B107" s="14" t="s">
        <v>675</v>
      </c>
      <c r="C107" t="s">
        <v>252</v>
      </c>
      <c r="D107" s="5" t="s">
        <v>253</v>
      </c>
      <c r="E107" s="12" t="s">
        <v>73</v>
      </c>
      <c r="F107" s="12" t="s">
        <v>73</v>
      </c>
      <c r="G107" s="12" t="s">
        <v>73</v>
      </c>
      <c r="H107" s="12" t="s">
        <v>73</v>
      </c>
      <c r="I107" s="12" t="s">
        <v>73</v>
      </c>
      <c r="J107" s="12" t="s">
        <v>73</v>
      </c>
      <c r="K107" s="12" t="s">
        <v>73</v>
      </c>
      <c r="L107" s="12" t="s">
        <v>73</v>
      </c>
      <c r="M107" s="12" t="s">
        <v>73</v>
      </c>
      <c r="N107" s="12" t="s">
        <v>73</v>
      </c>
      <c r="O107" s="12" t="s">
        <v>73</v>
      </c>
      <c r="P107" s="12" t="s">
        <v>73</v>
      </c>
      <c r="Q107" s="12" t="s">
        <v>73</v>
      </c>
      <c r="R107" s="12" t="s">
        <v>73</v>
      </c>
      <c r="S107" s="12" t="s">
        <v>73</v>
      </c>
      <c r="T107" s="12" t="s">
        <v>73</v>
      </c>
      <c r="U107" s="12" t="s">
        <v>73</v>
      </c>
      <c r="V107" s="12" t="s">
        <v>73</v>
      </c>
      <c r="W107" s="12" t="s">
        <v>73</v>
      </c>
      <c r="X107" s="12" t="s">
        <v>73</v>
      </c>
      <c r="Y107" s="12" t="s">
        <v>73</v>
      </c>
      <c r="Z107" s="12" t="s">
        <v>73</v>
      </c>
      <c r="AA107" s="12" t="s">
        <v>73</v>
      </c>
      <c r="AB107" s="12" t="s">
        <v>73</v>
      </c>
      <c r="AC107" s="12" t="s">
        <v>73</v>
      </c>
      <c r="AD107" s="12" t="s">
        <v>73</v>
      </c>
    </row>
    <row r="108" spans="1:30" x14ac:dyDescent="0.3">
      <c r="A108" s="13" t="s">
        <v>569</v>
      </c>
      <c r="B108" s="14" t="s">
        <v>676</v>
      </c>
      <c r="C108" t="s">
        <v>254</v>
      </c>
      <c r="D108" s="5" t="s">
        <v>255</v>
      </c>
      <c r="E108" s="12">
        <v>0.1633</v>
      </c>
      <c r="F108" s="12">
        <v>0.1176</v>
      </c>
      <c r="G108" s="12">
        <v>0.15260000000000001</v>
      </c>
      <c r="H108" s="12">
        <v>0.16800000000000001</v>
      </c>
      <c r="I108" s="12">
        <v>0.14799999999999999</v>
      </c>
      <c r="J108" s="12">
        <v>0.14799999999999999</v>
      </c>
      <c r="K108" s="12">
        <v>0.15590000000000001</v>
      </c>
      <c r="L108" s="12">
        <v>0.16420000000000001</v>
      </c>
      <c r="M108" s="12">
        <v>0.17449999999999999</v>
      </c>
      <c r="N108" s="12">
        <v>0.19309999999999999</v>
      </c>
      <c r="O108" s="12">
        <v>0.18690000000000001</v>
      </c>
      <c r="P108" s="12">
        <v>0.17499999999999999</v>
      </c>
      <c r="Q108" s="12">
        <v>0.17280000000000001</v>
      </c>
      <c r="R108" s="12">
        <v>0.18210000000000001</v>
      </c>
      <c r="S108" s="12">
        <v>0.20610000000000001</v>
      </c>
      <c r="T108" s="12">
        <v>0.20399999999999999</v>
      </c>
      <c r="U108" s="12">
        <v>0.21690000000000001</v>
      </c>
      <c r="V108" s="12">
        <v>0.22819999999999999</v>
      </c>
      <c r="W108" s="12">
        <v>0.23139999999999999</v>
      </c>
      <c r="X108" s="12">
        <v>0.2555</v>
      </c>
      <c r="Y108" s="12">
        <v>0.24779999999999999</v>
      </c>
      <c r="Z108" s="12">
        <v>0.251</v>
      </c>
      <c r="AA108" s="12">
        <v>0.25</v>
      </c>
      <c r="AB108" s="12">
        <v>0.2555</v>
      </c>
      <c r="AC108" s="12">
        <v>0.26019999999999999</v>
      </c>
      <c r="AD108" s="12" t="s">
        <v>73</v>
      </c>
    </row>
    <row r="109" spans="1:30" x14ac:dyDescent="0.3">
      <c r="A109" s="13" t="s">
        <v>569</v>
      </c>
      <c r="B109" s="14" t="s">
        <v>677</v>
      </c>
      <c r="C109" t="s">
        <v>256</v>
      </c>
      <c r="D109" s="5" t="s">
        <v>257</v>
      </c>
      <c r="E109" s="12">
        <v>3.3424999999999998</v>
      </c>
      <c r="F109" s="12">
        <v>3.3658000000000001</v>
      </c>
      <c r="G109" s="12">
        <v>3.4037000000000002</v>
      </c>
      <c r="H109" s="12">
        <v>3.4428000000000001</v>
      </c>
      <c r="I109" s="12">
        <v>3.4195000000000002</v>
      </c>
      <c r="J109" s="12">
        <v>3.4996999999999998</v>
      </c>
      <c r="K109" s="12">
        <v>3.6196000000000002</v>
      </c>
      <c r="L109" s="12">
        <v>3.7589000000000001</v>
      </c>
      <c r="M109" s="12">
        <v>3.9260999999999999</v>
      </c>
      <c r="N109" s="12">
        <v>4.3041999999999998</v>
      </c>
      <c r="O109" s="12">
        <v>4.4138999999999999</v>
      </c>
      <c r="P109" s="12">
        <v>4.5364000000000004</v>
      </c>
      <c r="Q109" s="12">
        <v>4.6292</v>
      </c>
      <c r="R109" s="12">
        <v>4.7777000000000003</v>
      </c>
      <c r="S109" s="12">
        <v>4.9451999999999998</v>
      </c>
      <c r="T109" s="12">
        <v>5.0327999999999999</v>
      </c>
      <c r="U109" s="12">
        <v>5.1603000000000003</v>
      </c>
      <c r="V109" s="12">
        <v>5.2881999999999998</v>
      </c>
      <c r="W109" s="12">
        <v>5.4379999999999997</v>
      </c>
      <c r="X109" s="12">
        <v>5.5940000000000003</v>
      </c>
      <c r="Y109" s="12">
        <v>5.7064000000000004</v>
      </c>
      <c r="Z109" s="12">
        <v>5.7876000000000003</v>
      </c>
      <c r="AA109" s="12">
        <v>5.8449</v>
      </c>
      <c r="AB109" s="12">
        <v>5.9069000000000003</v>
      </c>
      <c r="AC109" s="12">
        <v>5.923</v>
      </c>
      <c r="AD109" s="12" t="s">
        <v>73</v>
      </c>
    </row>
    <row r="110" spans="1:30" x14ac:dyDescent="0.3">
      <c r="A110" s="13" t="s">
        <v>569</v>
      </c>
      <c r="B110" s="14" t="s">
        <v>678</v>
      </c>
      <c r="C110" t="s">
        <v>258</v>
      </c>
      <c r="D110" s="5" t="s">
        <v>259</v>
      </c>
      <c r="E110" s="12">
        <v>5.6604999999999999</v>
      </c>
      <c r="F110" s="12">
        <v>5.8913000000000002</v>
      </c>
      <c r="G110" s="12">
        <v>6.0176999999999996</v>
      </c>
      <c r="H110" s="12">
        <v>6.1589999999999998</v>
      </c>
      <c r="I110" s="12">
        <v>6.3460999999999999</v>
      </c>
      <c r="J110" s="12">
        <v>6.2657999999999996</v>
      </c>
      <c r="K110" s="12">
        <v>6.4318999999999997</v>
      </c>
      <c r="L110" s="12">
        <v>6.5141999999999998</v>
      </c>
      <c r="M110" s="12">
        <v>6.8680000000000003</v>
      </c>
      <c r="N110" s="12">
        <v>7.1252000000000004</v>
      </c>
      <c r="O110" s="12">
        <v>7.3323999999999998</v>
      </c>
      <c r="P110" s="12">
        <v>7.3521999999999998</v>
      </c>
      <c r="Q110" s="12">
        <v>7.9591000000000003</v>
      </c>
      <c r="R110" s="12">
        <v>7.9143999999999997</v>
      </c>
      <c r="S110" s="12">
        <v>8.2667000000000002</v>
      </c>
      <c r="T110" s="12">
        <v>8.4821000000000009</v>
      </c>
      <c r="U110" s="12">
        <v>8.7499000000000002</v>
      </c>
      <c r="V110" s="12">
        <v>8.8011999999999997</v>
      </c>
      <c r="W110" s="12">
        <v>8.5668000000000006</v>
      </c>
      <c r="X110" s="12">
        <v>8.75</v>
      </c>
      <c r="Y110" s="12">
        <v>9.1073000000000004</v>
      </c>
      <c r="Z110" s="12">
        <v>9.1030999999999995</v>
      </c>
      <c r="AA110" s="12">
        <v>9.1783000000000001</v>
      </c>
      <c r="AB110" s="12">
        <v>9.5864999999999991</v>
      </c>
      <c r="AC110" s="12">
        <v>9.6265999999999998</v>
      </c>
      <c r="AD110" s="12" t="s">
        <v>73</v>
      </c>
    </row>
    <row r="111" spans="1:30" x14ac:dyDescent="0.3">
      <c r="A111" s="13" t="s">
        <v>569</v>
      </c>
      <c r="B111" s="14" t="s">
        <v>679</v>
      </c>
      <c r="C111" t="s">
        <v>28</v>
      </c>
      <c r="D111" s="5" t="s">
        <v>260</v>
      </c>
      <c r="E111" s="12">
        <v>1.0783</v>
      </c>
      <c r="F111" s="12">
        <v>1.0771999999999999</v>
      </c>
      <c r="G111" s="12">
        <v>1.1214</v>
      </c>
      <c r="H111" s="12">
        <v>1.1374</v>
      </c>
      <c r="I111" s="12">
        <v>1.1343000000000001</v>
      </c>
      <c r="J111" s="12">
        <v>1.1193</v>
      </c>
      <c r="K111" s="12">
        <v>1.1556999999999999</v>
      </c>
      <c r="L111" s="12">
        <v>1.1208</v>
      </c>
      <c r="M111" s="12">
        <v>1.1648000000000001</v>
      </c>
      <c r="N111" s="12">
        <v>1.1344000000000001</v>
      </c>
      <c r="O111" s="12">
        <v>1.1316999999999999</v>
      </c>
      <c r="P111" s="12">
        <v>1.143</v>
      </c>
      <c r="Q111" s="12">
        <v>1.1539999999999999</v>
      </c>
      <c r="R111" s="12">
        <v>1.1883999999999999</v>
      </c>
      <c r="S111" s="12">
        <v>1.2377</v>
      </c>
      <c r="T111" s="12">
        <v>1.2795000000000001</v>
      </c>
      <c r="U111" s="12">
        <v>1.2686999999999999</v>
      </c>
      <c r="V111" s="12">
        <v>1.2454000000000001</v>
      </c>
      <c r="W111" s="12">
        <v>1.1921999999999999</v>
      </c>
      <c r="X111" s="12">
        <v>1.1849000000000001</v>
      </c>
      <c r="Y111" s="12">
        <v>1.1896</v>
      </c>
      <c r="Z111" s="12">
        <v>1.1742999999999999</v>
      </c>
      <c r="AA111" s="12">
        <v>1.1567000000000001</v>
      </c>
      <c r="AB111" s="12">
        <v>1.0943000000000001</v>
      </c>
      <c r="AC111" s="12">
        <v>1.0945</v>
      </c>
      <c r="AD111" s="12" t="s">
        <v>73</v>
      </c>
    </row>
    <row r="112" spans="1:30" x14ac:dyDescent="0.3">
      <c r="A112" s="13" t="s">
        <v>569</v>
      </c>
      <c r="B112" s="14" t="s">
        <v>680</v>
      </c>
      <c r="C112" t="s">
        <v>261</v>
      </c>
      <c r="D112" s="5" t="s">
        <v>262</v>
      </c>
      <c r="E112" s="12">
        <v>0.28439999999999999</v>
      </c>
      <c r="F112" s="12">
        <v>0.28299999999999997</v>
      </c>
      <c r="G112" s="12">
        <v>0.30130000000000001</v>
      </c>
      <c r="H112" s="12">
        <v>0.3019</v>
      </c>
      <c r="I112" s="12">
        <v>0.29060000000000002</v>
      </c>
      <c r="J112" s="12">
        <v>0.30170000000000002</v>
      </c>
      <c r="K112" s="12">
        <v>0.30640000000000001</v>
      </c>
      <c r="L112" s="12">
        <v>0.29730000000000001</v>
      </c>
      <c r="M112" s="12">
        <v>0.30759999999999998</v>
      </c>
      <c r="N112" s="12">
        <v>0.2923</v>
      </c>
      <c r="O112" s="12">
        <v>0.26650000000000001</v>
      </c>
      <c r="P112" s="12">
        <v>0.3357</v>
      </c>
      <c r="Q112" s="12">
        <v>0.35460000000000003</v>
      </c>
      <c r="R112" s="12">
        <v>0.37569999999999998</v>
      </c>
      <c r="S112" s="12">
        <v>0.37359999999999999</v>
      </c>
      <c r="T112" s="12">
        <v>0.38140000000000002</v>
      </c>
      <c r="U112" s="12">
        <v>0.38150000000000001</v>
      </c>
      <c r="V112" s="12">
        <v>0.38779999999999998</v>
      </c>
      <c r="W112" s="12">
        <v>0.38890000000000002</v>
      </c>
      <c r="X112" s="12">
        <v>0.3911</v>
      </c>
      <c r="Y112" s="12">
        <v>0.38919999999999999</v>
      </c>
      <c r="Z112" s="12">
        <v>0.39200000000000002</v>
      </c>
      <c r="AA112" s="12">
        <v>0.39040000000000002</v>
      </c>
      <c r="AB112" s="12">
        <v>0.40289999999999998</v>
      </c>
      <c r="AC112" s="12">
        <v>0.40579999999999999</v>
      </c>
      <c r="AD112" s="12" t="s">
        <v>73</v>
      </c>
    </row>
    <row r="113" spans="1:30" x14ac:dyDescent="0.3">
      <c r="A113" s="13" t="s">
        <v>569</v>
      </c>
      <c r="B113" s="14" t="s">
        <v>681</v>
      </c>
      <c r="C113" t="s">
        <v>263</v>
      </c>
      <c r="D113" s="5" t="s">
        <v>264</v>
      </c>
      <c r="E113" s="12">
        <v>1.0841000000000001</v>
      </c>
      <c r="F113" s="12">
        <v>1.0959000000000001</v>
      </c>
      <c r="G113" s="12">
        <v>0.98160000000000003</v>
      </c>
      <c r="H113" s="12">
        <v>0.99750000000000005</v>
      </c>
      <c r="I113" s="12">
        <v>0.9708</v>
      </c>
      <c r="J113" s="12">
        <v>1.0720000000000001</v>
      </c>
      <c r="K113" s="12">
        <v>1.0208999999999999</v>
      </c>
      <c r="L113" s="12">
        <v>1.0243</v>
      </c>
      <c r="M113" s="12">
        <v>1.0047999999999999</v>
      </c>
      <c r="N113" s="12">
        <v>1.0076000000000001</v>
      </c>
      <c r="O113" s="12">
        <v>0.99890000000000001</v>
      </c>
      <c r="P113" s="12">
        <v>1.0064</v>
      </c>
      <c r="Q113" s="12">
        <v>1.0276000000000001</v>
      </c>
      <c r="R113" s="12">
        <v>0.95030000000000003</v>
      </c>
      <c r="S113" s="12">
        <v>0.93799999999999994</v>
      </c>
      <c r="T113" s="12">
        <v>0.91569999999999996</v>
      </c>
      <c r="U113" s="12">
        <v>0.8911</v>
      </c>
      <c r="V113" s="12">
        <v>0.99829999999999997</v>
      </c>
      <c r="W113" s="12">
        <v>0.88880000000000003</v>
      </c>
      <c r="X113" s="12">
        <v>0.76859999999999995</v>
      </c>
      <c r="Y113" s="12">
        <v>0.58079999999999998</v>
      </c>
      <c r="Z113" s="12">
        <v>0.65639999999999998</v>
      </c>
      <c r="AA113" s="12">
        <v>0.69910000000000005</v>
      </c>
      <c r="AB113" s="12">
        <v>0.80649999999999999</v>
      </c>
      <c r="AC113" s="12">
        <v>0.78820000000000001</v>
      </c>
      <c r="AD113" s="12" t="s">
        <v>73</v>
      </c>
    </row>
    <row r="114" spans="1:30" x14ac:dyDescent="0.3">
      <c r="A114" s="13" t="s">
        <v>569</v>
      </c>
      <c r="B114" s="14" t="s">
        <v>682</v>
      </c>
      <c r="C114" t="s">
        <v>265</v>
      </c>
      <c r="D114" s="5" t="s">
        <v>266</v>
      </c>
      <c r="E114" s="12">
        <v>0.24329999999999999</v>
      </c>
      <c r="F114" s="12">
        <v>0.2306</v>
      </c>
      <c r="G114" s="12">
        <v>0.221</v>
      </c>
      <c r="H114" s="12">
        <v>0.22109999999999999</v>
      </c>
      <c r="I114" s="12">
        <v>0.22140000000000001</v>
      </c>
      <c r="J114" s="12">
        <v>0.2223</v>
      </c>
      <c r="K114" s="12">
        <v>0.23830000000000001</v>
      </c>
      <c r="L114" s="12">
        <v>0.27389999999999998</v>
      </c>
      <c r="M114" s="12">
        <v>0.3095</v>
      </c>
      <c r="N114" s="12">
        <v>0.36980000000000002</v>
      </c>
      <c r="O114" s="12">
        <v>0.38150000000000001</v>
      </c>
      <c r="P114" s="12">
        <v>0.38100000000000001</v>
      </c>
      <c r="Q114" s="12">
        <v>0.36659999999999998</v>
      </c>
      <c r="R114" s="12">
        <v>0.35560000000000003</v>
      </c>
      <c r="S114" s="12">
        <v>0.36680000000000001</v>
      </c>
      <c r="T114" s="12">
        <v>0.40100000000000002</v>
      </c>
      <c r="U114" s="12">
        <v>0.44750000000000001</v>
      </c>
      <c r="V114" s="12">
        <v>0.37240000000000001</v>
      </c>
      <c r="W114" s="12">
        <v>0.37680000000000002</v>
      </c>
      <c r="X114" s="12">
        <v>0.3871</v>
      </c>
      <c r="Y114" s="12">
        <v>0.38640000000000002</v>
      </c>
      <c r="Z114" s="12">
        <v>0.38600000000000001</v>
      </c>
      <c r="AA114" s="12">
        <v>0.4012</v>
      </c>
      <c r="AB114" s="12">
        <v>0.3831</v>
      </c>
      <c r="AC114" s="12">
        <v>0.3841</v>
      </c>
      <c r="AD114" s="12" t="s">
        <v>73</v>
      </c>
    </row>
    <row r="115" spans="1:30" x14ac:dyDescent="0.3">
      <c r="A115" s="13" t="s">
        <v>569</v>
      </c>
      <c r="B115" s="14" t="s">
        <v>683</v>
      </c>
      <c r="C115" t="s">
        <v>267</v>
      </c>
      <c r="D115" s="5" t="s">
        <v>268</v>
      </c>
      <c r="E115" s="12">
        <v>1.0555000000000001</v>
      </c>
      <c r="F115" s="12">
        <v>1.1129</v>
      </c>
      <c r="G115" s="12">
        <v>1.1466000000000001</v>
      </c>
      <c r="H115" s="12">
        <v>1.2493000000000001</v>
      </c>
      <c r="I115" s="12">
        <v>1.3642000000000001</v>
      </c>
      <c r="J115" s="12">
        <v>1.4457</v>
      </c>
      <c r="K115" s="12">
        <v>1.5978000000000001</v>
      </c>
      <c r="L115" s="12">
        <v>1.68</v>
      </c>
      <c r="M115" s="12">
        <v>1.6841999999999999</v>
      </c>
      <c r="N115" s="12">
        <v>1.7372000000000001</v>
      </c>
      <c r="O115" s="12">
        <v>1.8056000000000001</v>
      </c>
      <c r="P115" s="12">
        <v>1.8099000000000001</v>
      </c>
      <c r="Q115" s="12">
        <v>1.8117000000000001</v>
      </c>
      <c r="R115" s="12">
        <v>1.8269</v>
      </c>
      <c r="S115" s="12">
        <v>1.8178000000000001</v>
      </c>
      <c r="T115" s="12">
        <v>1.8158000000000001</v>
      </c>
      <c r="U115" s="12">
        <v>1.8184</v>
      </c>
      <c r="V115" s="12">
        <v>1.8219000000000001</v>
      </c>
      <c r="W115" s="12">
        <v>1.9091</v>
      </c>
      <c r="X115" s="12">
        <v>1.9561999999999999</v>
      </c>
      <c r="Y115" s="12">
        <v>1.8920999999999999</v>
      </c>
      <c r="Z115" s="12">
        <v>1.8597999999999999</v>
      </c>
      <c r="AA115" s="12">
        <v>1.9188000000000001</v>
      </c>
      <c r="AB115" s="12">
        <v>1.9138999999999999</v>
      </c>
      <c r="AC115" s="12">
        <v>1.9171</v>
      </c>
      <c r="AD115" s="12" t="s">
        <v>73</v>
      </c>
    </row>
    <row r="116" spans="1:30" x14ac:dyDescent="0.3">
      <c r="A116" s="13" t="s">
        <v>569</v>
      </c>
      <c r="B116" s="14" t="s">
        <v>684</v>
      </c>
      <c r="C116" t="s">
        <v>269</v>
      </c>
      <c r="D116" s="5" t="s">
        <v>270</v>
      </c>
      <c r="E116" s="12" t="s">
        <v>73</v>
      </c>
      <c r="F116" s="12" t="s">
        <v>73</v>
      </c>
      <c r="G116" s="12" t="s">
        <v>73</v>
      </c>
      <c r="H116" s="12" t="s">
        <v>73</v>
      </c>
      <c r="I116" s="12" t="s">
        <v>73</v>
      </c>
      <c r="J116" s="12" t="s">
        <v>73</v>
      </c>
      <c r="K116" s="12" t="s">
        <v>73</v>
      </c>
      <c r="L116" s="12" t="s">
        <v>73</v>
      </c>
      <c r="M116" s="12" t="s">
        <v>73</v>
      </c>
      <c r="N116" s="12" t="s">
        <v>73</v>
      </c>
      <c r="O116" s="12" t="s">
        <v>73</v>
      </c>
      <c r="P116" s="12" t="s">
        <v>73</v>
      </c>
      <c r="Q116" s="12" t="s">
        <v>73</v>
      </c>
      <c r="R116" s="12" t="s">
        <v>73</v>
      </c>
      <c r="S116" s="12" t="s">
        <v>73</v>
      </c>
      <c r="T116" s="12" t="s">
        <v>73</v>
      </c>
      <c r="U116" s="12" t="s">
        <v>73</v>
      </c>
      <c r="V116" s="12" t="s">
        <v>73</v>
      </c>
      <c r="W116" s="12" t="s">
        <v>73</v>
      </c>
      <c r="X116" s="12" t="s">
        <v>73</v>
      </c>
      <c r="Y116" s="12" t="s">
        <v>73</v>
      </c>
      <c r="Z116" s="12" t="s">
        <v>73</v>
      </c>
      <c r="AA116" s="12" t="s">
        <v>73</v>
      </c>
      <c r="AB116" s="12" t="s">
        <v>73</v>
      </c>
      <c r="AC116" s="12" t="s">
        <v>73</v>
      </c>
      <c r="AD116" s="12" t="s">
        <v>73</v>
      </c>
    </row>
    <row r="117" spans="1:30" x14ac:dyDescent="0.3">
      <c r="A117" s="13" t="s">
        <v>569</v>
      </c>
      <c r="B117" s="14" t="s">
        <v>685</v>
      </c>
      <c r="C117" t="s">
        <v>271</v>
      </c>
      <c r="D117" s="5" t="s">
        <v>272</v>
      </c>
      <c r="E117" s="12">
        <v>2.4653999999999998</v>
      </c>
      <c r="F117" s="12">
        <v>2.2374999999999998</v>
      </c>
      <c r="G117" s="12">
        <v>2.3121999999999998</v>
      </c>
      <c r="H117" s="12">
        <v>2.4192</v>
      </c>
      <c r="I117" s="12">
        <v>2.5442999999999998</v>
      </c>
      <c r="J117" s="12">
        <v>2.4403000000000001</v>
      </c>
      <c r="K117" s="12">
        <v>2.5407000000000002</v>
      </c>
      <c r="L117" s="12">
        <v>2.6507999999999998</v>
      </c>
      <c r="M117" s="12">
        <v>2.5110000000000001</v>
      </c>
      <c r="N117" s="12">
        <v>2.464</v>
      </c>
      <c r="O117" s="12">
        <v>2.4588000000000001</v>
      </c>
      <c r="P117" s="12">
        <v>2.472</v>
      </c>
      <c r="Q117" s="12">
        <v>2.4870999999999999</v>
      </c>
      <c r="R117" s="12">
        <v>2.4226999999999999</v>
      </c>
      <c r="S117" s="12">
        <v>2.3786</v>
      </c>
      <c r="T117" s="12">
        <v>2.4537</v>
      </c>
      <c r="U117" s="12">
        <v>2.3972000000000002</v>
      </c>
      <c r="V117" s="12">
        <v>2.3170000000000002</v>
      </c>
      <c r="W117" s="12">
        <v>2.1705000000000001</v>
      </c>
      <c r="X117" s="12">
        <v>2.1120999999999999</v>
      </c>
      <c r="Y117" s="12">
        <v>2.077</v>
      </c>
      <c r="Z117" s="12">
        <v>2.0501</v>
      </c>
      <c r="AA117" s="12">
        <v>2.0825999999999998</v>
      </c>
      <c r="AB117" s="12">
        <v>2.0255000000000001</v>
      </c>
      <c r="AC117" s="12">
        <v>2.0228000000000002</v>
      </c>
      <c r="AD117" s="12" t="s">
        <v>73</v>
      </c>
    </row>
    <row r="118" spans="1:30" x14ac:dyDescent="0.3">
      <c r="A118" s="13" t="s">
        <v>569</v>
      </c>
      <c r="B118" s="14" t="s">
        <v>686</v>
      </c>
      <c r="C118" t="s">
        <v>273</v>
      </c>
      <c r="D118" s="5" t="s">
        <v>274</v>
      </c>
      <c r="E118" s="12">
        <v>0.48280000000000001</v>
      </c>
      <c r="F118" s="12">
        <v>0.48380000000000001</v>
      </c>
      <c r="G118" s="12">
        <v>0.46989999999999998</v>
      </c>
      <c r="H118" s="12">
        <v>0.45540000000000003</v>
      </c>
      <c r="I118" s="12">
        <v>0.4501</v>
      </c>
      <c r="J118" s="12">
        <v>0.44040000000000001</v>
      </c>
      <c r="K118" s="12">
        <v>0.438</v>
      </c>
      <c r="L118" s="12">
        <v>0.4582</v>
      </c>
      <c r="M118" s="12">
        <v>0.4698</v>
      </c>
      <c r="N118" s="12">
        <v>0.4768</v>
      </c>
      <c r="O118" s="12">
        <v>0.48749999999999999</v>
      </c>
      <c r="P118" s="12">
        <v>0.47610000000000002</v>
      </c>
      <c r="Q118" s="12">
        <v>0.46829999999999999</v>
      </c>
      <c r="R118" s="12">
        <v>0.4819</v>
      </c>
      <c r="S118" s="12">
        <v>0.49199999999999999</v>
      </c>
      <c r="T118" s="12">
        <v>0.50180000000000002</v>
      </c>
      <c r="U118" s="12">
        <v>0.51019999999999999</v>
      </c>
      <c r="V118" s="12">
        <v>0.51639999999999997</v>
      </c>
      <c r="W118" s="12">
        <v>0.49909999999999999</v>
      </c>
      <c r="X118" s="12">
        <v>0.49769999999999998</v>
      </c>
      <c r="Y118" s="12">
        <v>0.49490000000000001</v>
      </c>
      <c r="Z118" s="12">
        <v>0.48849999999999999</v>
      </c>
      <c r="AA118" s="12">
        <v>0.48520000000000002</v>
      </c>
      <c r="AB118" s="12">
        <v>0.4798</v>
      </c>
      <c r="AC118" s="12">
        <v>0.4798</v>
      </c>
      <c r="AD118" s="12" t="s">
        <v>73</v>
      </c>
    </row>
    <row r="119" spans="1:30" x14ac:dyDescent="0.3">
      <c r="A119" s="13" t="s">
        <v>569</v>
      </c>
      <c r="B119" s="14" t="s">
        <v>687</v>
      </c>
      <c r="C119" t="s">
        <v>275</v>
      </c>
      <c r="D119" s="5" t="s">
        <v>276</v>
      </c>
      <c r="E119" s="12">
        <v>1.1999999999999999E-3</v>
      </c>
      <c r="F119" s="12">
        <v>1.5E-3</v>
      </c>
      <c r="G119" s="12">
        <v>1.5E-3</v>
      </c>
      <c r="H119" s="12">
        <v>1.6999999999999999E-3</v>
      </c>
      <c r="I119" s="12">
        <v>1.5E-3</v>
      </c>
      <c r="J119" s="12">
        <v>1.6999999999999999E-3</v>
      </c>
      <c r="K119" s="12">
        <v>1.6999999999999999E-3</v>
      </c>
      <c r="L119" s="12">
        <v>1.9E-3</v>
      </c>
      <c r="M119" s="12">
        <v>1.6999999999999999E-3</v>
      </c>
      <c r="N119" s="12">
        <v>1.6999999999999999E-3</v>
      </c>
      <c r="O119" s="12">
        <v>1.6999999999999999E-3</v>
      </c>
      <c r="P119" s="12">
        <v>1.6999999999999999E-3</v>
      </c>
      <c r="Q119" s="12">
        <v>1.8E-3</v>
      </c>
      <c r="R119" s="12">
        <v>1.8E-3</v>
      </c>
      <c r="S119" s="12">
        <v>1.8E-3</v>
      </c>
      <c r="T119" s="12">
        <v>1.8E-3</v>
      </c>
      <c r="U119" s="12">
        <v>1.9E-3</v>
      </c>
      <c r="V119" s="12">
        <v>1.9E-3</v>
      </c>
      <c r="W119" s="12">
        <v>1.9E-3</v>
      </c>
      <c r="X119" s="12">
        <v>1.9E-3</v>
      </c>
      <c r="Y119" s="12">
        <v>1.9E-3</v>
      </c>
      <c r="Z119" s="12">
        <v>1.9E-3</v>
      </c>
      <c r="AA119" s="12">
        <v>2E-3</v>
      </c>
      <c r="AB119" s="12">
        <v>2E-3</v>
      </c>
      <c r="AC119" s="12">
        <v>2E-3</v>
      </c>
      <c r="AD119" s="12" t="s">
        <v>73</v>
      </c>
    </row>
    <row r="120" spans="1:30" x14ac:dyDescent="0.3">
      <c r="A120" s="13" t="s">
        <v>569</v>
      </c>
      <c r="B120" s="14" t="s">
        <v>688</v>
      </c>
      <c r="C120" t="s">
        <v>277</v>
      </c>
      <c r="D120" s="5" t="s">
        <v>278</v>
      </c>
      <c r="E120" s="12">
        <v>15.406700000000001</v>
      </c>
      <c r="F120" s="12">
        <v>14.081200000000001</v>
      </c>
      <c r="G120" s="12">
        <v>13.173299999999999</v>
      </c>
      <c r="H120" s="12">
        <v>13.5192</v>
      </c>
      <c r="I120" s="12">
        <v>13.851599999999999</v>
      </c>
      <c r="J120" s="12">
        <v>15.462</v>
      </c>
      <c r="K120" s="12">
        <v>15.6432</v>
      </c>
      <c r="L120" s="12">
        <v>15.836</v>
      </c>
      <c r="M120" s="12">
        <v>16.150200000000002</v>
      </c>
      <c r="N120" s="12">
        <v>16.610199999999999</v>
      </c>
      <c r="O120" s="12">
        <v>16.82</v>
      </c>
      <c r="P120" s="12">
        <v>16.264700000000001</v>
      </c>
      <c r="Q120" s="12">
        <v>16.698699999999999</v>
      </c>
      <c r="R120" s="12">
        <v>15.439299999999999</v>
      </c>
      <c r="S120" s="12">
        <v>16.497299999999999</v>
      </c>
      <c r="T120" s="12">
        <v>16.154900000000001</v>
      </c>
      <c r="U120" s="12">
        <v>16.657699999999998</v>
      </c>
      <c r="V120" s="12">
        <v>16.502099999999999</v>
      </c>
      <c r="W120" s="12">
        <v>15.787100000000001</v>
      </c>
      <c r="X120" s="12">
        <v>16.140799999999999</v>
      </c>
      <c r="Y120" s="12">
        <v>16.433499999999999</v>
      </c>
      <c r="Z120" s="12">
        <v>16.720099999999999</v>
      </c>
      <c r="AA120" s="12">
        <v>16.9025</v>
      </c>
      <c r="AB120" s="12">
        <v>18.075800000000001</v>
      </c>
      <c r="AC120" s="12">
        <v>17.893000000000001</v>
      </c>
      <c r="AD120" s="12" t="s">
        <v>73</v>
      </c>
    </row>
    <row r="121" spans="1:30" x14ac:dyDescent="0.3">
      <c r="A121" s="13" t="s">
        <v>569</v>
      </c>
      <c r="B121" s="14" t="s">
        <v>689</v>
      </c>
      <c r="C121" t="s">
        <v>279</v>
      </c>
      <c r="D121" s="5" t="s">
        <v>280</v>
      </c>
      <c r="E121" s="12">
        <v>1.3944000000000001</v>
      </c>
      <c r="F121" s="12">
        <v>1.3808</v>
      </c>
      <c r="G121" s="12">
        <v>1.3947000000000001</v>
      </c>
      <c r="H121" s="12">
        <v>1.4406000000000001</v>
      </c>
      <c r="I121" s="12">
        <v>1.4322999999999999</v>
      </c>
      <c r="J121" s="12">
        <v>1.4555</v>
      </c>
      <c r="K121" s="12">
        <v>1.5555000000000001</v>
      </c>
      <c r="L121" s="12">
        <v>1.7211000000000001</v>
      </c>
      <c r="M121" s="12">
        <v>1.8723000000000001</v>
      </c>
      <c r="N121" s="12">
        <v>1.9761</v>
      </c>
      <c r="O121" s="12">
        <v>2.1274000000000002</v>
      </c>
      <c r="P121" s="12">
        <v>2.2818000000000001</v>
      </c>
      <c r="Q121" s="12">
        <v>2.4340999999999999</v>
      </c>
      <c r="R121" s="12">
        <v>2.6154000000000002</v>
      </c>
      <c r="S121" s="12">
        <v>2.7888999999999999</v>
      </c>
      <c r="T121" s="12">
        <v>2.9862000000000002</v>
      </c>
      <c r="U121" s="12">
        <v>3.1678000000000002</v>
      </c>
      <c r="V121" s="12">
        <v>3.3306</v>
      </c>
      <c r="W121" s="12">
        <v>3.7372000000000001</v>
      </c>
      <c r="X121" s="12">
        <v>4.3624999999999998</v>
      </c>
      <c r="Y121" s="12">
        <v>4.5365000000000002</v>
      </c>
      <c r="Z121" s="12">
        <v>4.7363</v>
      </c>
      <c r="AA121" s="12">
        <v>4.8590999999999998</v>
      </c>
      <c r="AB121" s="12">
        <v>5.1433</v>
      </c>
      <c r="AC121" s="12">
        <v>5.4158999999999997</v>
      </c>
      <c r="AD121" s="12" t="s">
        <v>73</v>
      </c>
    </row>
    <row r="122" spans="1:30" x14ac:dyDescent="0.3">
      <c r="A122" s="13" t="s">
        <v>569</v>
      </c>
      <c r="B122" s="14" t="s">
        <v>690</v>
      </c>
      <c r="C122" t="s">
        <v>281</v>
      </c>
      <c r="D122" s="5" t="s">
        <v>282</v>
      </c>
      <c r="E122" s="12">
        <v>4.2443</v>
      </c>
      <c r="F122" s="12">
        <v>4.2196999999999996</v>
      </c>
      <c r="G122" s="12">
        <v>4.2188999999999997</v>
      </c>
      <c r="H122" s="12">
        <v>4.266</v>
      </c>
      <c r="I122" s="12">
        <v>4.3536000000000001</v>
      </c>
      <c r="J122" s="12">
        <v>4.3251999999999997</v>
      </c>
      <c r="K122" s="12">
        <v>4.2041000000000004</v>
      </c>
      <c r="L122" s="12">
        <v>4.4244000000000003</v>
      </c>
      <c r="M122" s="12">
        <v>4.3914999999999997</v>
      </c>
      <c r="N122" s="12">
        <v>4.4606000000000003</v>
      </c>
      <c r="O122" s="12">
        <v>4.4534000000000002</v>
      </c>
      <c r="P122" s="12">
        <v>4.3939000000000004</v>
      </c>
      <c r="Q122" s="12">
        <v>4.3714000000000004</v>
      </c>
      <c r="R122" s="12">
        <v>4.3894000000000002</v>
      </c>
      <c r="S122" s="12">
        <v>4.2777000000000003</v>
      </c>
      <c r="T122" s="12">
        <v>4.4027000000000003</v>
      </c>
      <c r="U122" s="12">
        <v>4.3497000000000003</v>
      </c>
      <c r="V122" s="12">
        <v>4.29</v>
      </c>
      <c r="W122" s="12">
        <v>4.3007</v>
      </c>
      <c r="X122" s="12">
        <v>4.1181999999999999</v>
      </c>
      <c r="Y122" s="12">
        <v>4.0350999999999999</v>
      </c>
      <c r="Z122" s="12">
        <v>4.0529999999999999</v>
      </c>
      <c r="AA122" s="12">
        <v>3.9964</v>
      </c>
      <c r="AB122" s="12">
        <v>3.8513000000000002</v>
      </c>
      <c r="AC122" s="12">
        <v>3.8864000000000001</v>
      </c>
      <c r="AD122" s="12" t="s">
        <v>73</v>
      </c>
    </row>
    <row r="123" spans="1:30" x14ac:dyDescent="0.3">
      <c r="A123" s="13" t="s">
        <v>569</v>
      </c>
      <c r="B123" s="14" t="s">
        <v>691</v>
      </c>
      <c r="C123" t="s">
        <v>283</v>
      </c>
      <c r="D123" s="5" t="s">
        <v>284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 t="s">
        <v>73</v>
      </c>
    </row>
    <row r="124" spans="1:30" x14ac:dyDescent="0.3">
      <c r="A124" s="13" t="s">
        <v>569</v>
      </c>
      <c r="B124" s="14" t="s">
        <v>692</v>
      </c>
      <c r="C124" t="s">
        <v>285</v>
      </c>
      <c r="D124" s="5" t="s">
        <v>286</v>
      </c>
      <c r="E124" s="12">
        <v>9.6791</v>
      </c>
      <c r="F124" s="12">
        <v>10.161899999999999</v>
      </c>
      <c r="G124" s="12">
        <v>10.953799999999999</v>
      </c>
      <c r="H124" s="12">
        <v>11.557700000000001</v>
      </c>
      <c r="I124" s="12">
        <v>11.973000000000001</v>
      </c>
      <c r="J124" s="12">
        <v>12.584099999999999</v>
      </c>
      <c r="K124" s="12">
        <v>12.531700000000001</v>
      </c>
      <c r="L124" s="12">
        <v>13.339</v>
      </c>
      <c r="M124" s="12">
        <v>14.0825</v>
      </c>
      <c r="N124" s="12">
        <v>14.6371</v>
      </c>
      <c r="O124" s="12">
        <v>15.508599999999999</v>
      </c>
      <c r="P124" s="12">
        <v>16.093900000000001</v>
      </c>
      <c r="Q124" s="12">
        <v>16.770700000000001</v>
      </c>
      <c r="R124" s="12">
        <v>17.246400000000001</v>
      </c>
      <c r="S124" s="12">
        <v>17.884599999999999</v>
      </c>
      <c r="T124" s="12">
        <v>18.5961</v>
      </c>
      <c r="U124" s="12">
        <v>19.9819</v>
      </c>
      <c r="V124" s="12">
        <v>21.114100000000001</v>
      </c>
      <c r="W124" s="12">
        <v>22.1493</v>
      </c>
      <c r="X124" s="12">
        <v>22.805800000000001</v>
      </c>
      <c r="Y124" s="12">
        <v>23.476700000000001</v>
      </c>
      <c r="Z124" s="12">
        <v>24.078700000000001</v>
      </c>
      <c r="AA124" s="12">
        <v>23.469000000000001</v>
      </c>
      <c r="AB124" s="12">
        <v>25.854099999999999</v>
      </c>
      <c r="AC124" s="12">
        <v>26.639299999999999</v>
      </c>
      <c r="AD124" s="12" t="s">
        <v>73</v>
      </c>
    </row>
    <row r="125" spans="1:30" x14ac:dyDescent="0.3">
      <c r="A125" s="13" t="s">
        <v>569</v>
      </c>
      <c r="B125" s="14" t="s">
        <v>693</v>
      </c>
      <c r="C125" t="s">
        <v>287</v>
      </c>
      <c r="D125" s="5" t="s">
        <v>288</v>
      </c>
      <c r="E125" s="12">
        <v>6.7500000000000004E-2</v>
      </c>
      <c r="F125" s="12">
        <v>7.2900000000000006E-2</v>
      </c>
      <c r="G125" s="12">
        <v>6.7100000000000007E-2</v>
      </c>
      <c r="H125" s="12">
        <v>6.9699999999999998E-2</v>
      </c>
      <c r="I125" s="12">
        <v>6.4299999999999996E-2</v>
      </c>
      <c r="J125" s="12">
        <v>6.7900000000000002E-2</v>
      </c>
      <c r="K125" s="12">
        <v>6.8099999999999994E-2</v>
      </c>
      <c r="L125" s="12">
        <v>6.6400000000000001E-2</v>
      </c>
      <c r="M125" s="12">
        <v>6.6900000000000001E-2</v>
      </c>
      <c r="N125" s="12">
        <v>5.9499999999999997E-2</v>
      </c>
      <c r="O125" s="12">
        <v>5.57E-2</v>
      </c>
      <c r="P125" s="12">
        <v>5.2200000000000003E-2</v>
      </c>
      <c r="Q125" s="12">
        <v>5.3800000000000001E-2</v>
      </c>
      <c r="R125" s="12">
        <v>5.3499999999999999E-2</v>
      </c>
      <c r="S125" s="12">
        <v>5.3900000000000003E-2</v>
      </c>
      <c r="T125" s="12">
        <v>5.57E-2</v>
      </c>
      <c r="U125" s="12">
        <v>5.45E-2</v>
      </c>
      <c r="V125" s="12">
        <v>5.2499999999999998E-2</v>
      </c>
      <c r="W125" s="12">
        <v>5.3100000000000001E-2</v>
      </c>
      <c r="X125" s="12">
        <v>5.2499999999999998E-2</v>
      </c>
      <c r="Y125" s="12">
        <v>5.2400000000000002E-2</v>
      </c>
      <c r="Z125" s="12">
        <v>5.2499999999999998E-2</v>
      </c>
      <c r="AA125" s="12">
        <v>5.2600000000000001E-2</v>
      </c>
      <c r="AB125" s="12">
        <v>5.2999999999999999E-2</v>
      </c>
      <c r="AC125" s="12">
        <v>5.2999999999999999E-2</v>
      </c>
      <c r="AD125" s="12" t="s">
        <v>73</v>
      </c>
    </row>
    <row r="126" spans="1:30" x14ac:dyDescent="0.3">
      <c r="A126" s="13" t="s">
        <v>569</v>
      </c>
      <c r="B126" s="14" t="s">
        <v>694</v>
      </c>
      <c r="C126" t="s">
        <v>289</v>
      </c>
      <c r="D126" s="5" t="s">
        <v>290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 t="s">
        <v>73</v>
      </c>
      <c r="AD126" s="12" t="s">
        <v>73</v>
      </c>
    </row>
    <row r="127" spans="1:30" x14ac:dyDescent="0.3">
      <c r="A127" s="13" t="s">
        <v>569</v>
      </c>
      <c r="B127" s="14" t="s">
        <v>695</v>
      </c>
      <c r="C127" t="s">
        <v>291</v>
      </c>
      <c r="D127" s="5" t="s">
        <v>292</v>
      </c>
      <c r="E127" s="12">
        <v>5.3921999999999999</v>
      </c>
      <c r="F127" s="12">
        <v>5.5766999999999998</v>
      </c>
      <c r="G127" s="12">
        <v>5.7679999999999998</v>
      </c>
      <c r="H127" s="12">
        <v>5.8917999999999999</v>
      </c>
      <c r="I127" s="12">
        <v>5.7457000000000003</v>
      </c>
      <c r="J127" s="12">
        <v>5.8197000000000001</v>
      </c>
      <c r="K127" s="12">
        <v>5.9768999999999997</v>
      </c>
      <c r="L127" s="12">
        <v>5.7009999999999996</v>
      </c>
      <c r="M127" s="12">
        <v>5.33</v>
      </c>
      <c r="N127" s="12">
        <v>5.6797000000000004</v>
      </c>
      <c r="O127" s="12">
        <v>5.8590999999999998</v>
      </c>
      <c r="P127" s="12">
        <v>6.0250000000000004</v>
      </c>
      <c r="Q127" s="12">
        <v>6.2004999999999999</v>
      </c>
      <c r="R127" s="12">
        <v>6.3769</v>
      </c>
      <c r="S127" s="12">
        <v>6.6403999999999996</v>
      </c>
      <c r="T127" s="12">
        <v>6.7701000000000002</v>
      </c>
      <c r="U127" s="12">
        <v>6.7294</v>
      </c>
      <c r="V127" s="12">
        <v>6.7854000000000001</v>
      </c>
      <c r="W127" s="12">
        <v>6.8449999999999998</v>
      </c>
      <c r="X127" s="12">
        <v>7.0251000000000001</v>
      </c>
      <c r="Y127" s="12">
        <v>7.0949</v>
      </c>
      <c r="Z127" s="12">
        <v>7.1528999999999998</v>
      </c>
      <c r="AA127" s="12">
        <v>7.1536</v>
      </c>
      <c r="AB127" s="12">
        <v>7.2960000000000003</v>
      </c>
      <c r="AC127" s="12">
        <v>7.3316999999999997</v>
      </c>
      <c r="AD127" s="12" t="s">
        <v>73</v>
      </c>
    </row>
    <row r="128" spans="1:30" x14ac:dyDescent="0.3">
      <c r="A128" s="13" t="s">
        <v>569</v>
      </c>
      <c r="B128" s="14" t="s">
        <v>696</v>
      </c>
      <c r="C128" t="s">
        <v>293</v>
      </c>
      <c r="D128" s="5" t="s">
        <v>294</v>
      </c>
      <c r="E128" s="12">
        <v>6.4799999999999996E-2</v>
      </c>
      <c r="F128" s="12">
        <v>4.5499999999999999E-2</v>
      </c>
      <c r="G128" s="12">
        <v>3.8800000000000001E-2</v>
      </c>
      <c r="H128" s="12">
        <v>3.8899999999999997E-2</v>
      </c>
      <c r="I128" s="12">
        <v>3.6799999999999999E-2</v>
      </c>
      <c r="J128" s="12">
        <v>3.27E-2</v>
      </c>
      <c r="K128" s="12">
        <v>3.1300000000000001E-2</v>
      </c>
      <c r="L128" s="12">
        <v>3.1699999999999999E-2</v>
      </c>
      <c r="M128" s="12">
        <v>3.2899999999999999E-2</v>
      </c>
      <c r="N128" s="12">
        <v>3.32E-2</v>
      </c>
      <c r="O128" s="12">
        <v>3.4000000000000002E-2</v>
      </c>
      <c r="P128" s="12">
        <v>3.2599999999999997E-2</v>
      </c>
      <c r="Q128" s="12">
        <v>3.2899999999999999E-2</v>
      </c>
      <c r="R128" s="12">
        <v>3.2300000000000002E-2</v>
      </c>
      <c r="S128" s="12">
        <v>3.15E-2</v>
      </c>
      <c r="T128" s="12">
        <v>3.15E-2</v>
      </c>
      <c r="U128" s="12">
        <v>2.92E-2</v>
      </c>
      <c r="V128" s="12">
        <v>2.7699999999999999E-2</v>
      </c>
      <c r="W128" s="12">
        <v>2.69E-2</v>
      </c>
      <c r="X128" s="12">
        <v>2.7199999999999998E-2</v>
      </c>
      <c r="Y128" s="12">
        <v>2.7199999999999998E-2</v>
      </c>
      <c r="Z128" s="12">
        <v>2.5700000000000001E-2</v>
      </c>
      <c r="AA128" s="12">
        <v>2.4299999999999999E-2</v>
      </c>
      <c r="AB128" s="12">
        <v>2.47E-2</v>
      </c>
      <c r="AC128" s="12">
        <v>2.4299999999999999E-2</v>
      </c>
      <c r="AD128" s="12" t="s">
        <v>73</v>
      </c>
    </row>
    <row r="129" spans="1:30" x14ac:dyDescent="0.3">
      <c r="A129" s="13" t="s">
        <v>569</v>
      </c>
      <c r="B129" s="14" t="s">
        <v>697</v>
      </c>
      <c r="C129" t="s">
        <v>29</v>
      </c>
      <c r="D129" s="5" t="s">
        <v>295</v>
      </c>
      <c r="E129" s="12">
        <v>68.120400000000004</v>
      </c>
      <c r="F129" s="12">
        <v>68.542500000000004</v>
      </c>
      <c r="G129" s="12">
        <v>70.016499999999994</v>
      </c>
      <c r="H129" s="12">
        <v>70.518900000000002</v>
      </c>
      <c r="I129" s="12">
        <v>70.500900000000001</v>
      </c>
      <c r="J129" s="12">
        <v>72.602099999999993</v>
      </c>
      <c r="K129" s="12">
        <v>73.333100000000002</v>
      </c>
      <c r="L129" s="12">
        <v>74.052199999999999</v>
      </c>
      <c r="M129" s="12">
        <v>74.944100000000006</v>
      </c>
      <c r="N129" s="12">
        <v>75.932299999999998</v>
      </c>
      <c r="O129" s="12">
        <v>76.760999999999996</v>
      </c>
      <c r="P129" s="12">
        <v>77.578599999999994</v>
      </c>
      <c r="Q129" s="12">
        <v>76.276200000000003</v>
      </c>
      <c r="R129" s="12">
        <v>77.676500000000004</v>
      </c>
      <c r="S129" s="12">
        <v>79.066900000000004</v>
      </c>
      <c r="T129" s="12">
        <v>80.551699999999997</v>
      </c>
      <c r="U129" s="12">
        <v>81.361900000000006</v>
      </c>
      <c r="V129" s="12">
        <v>82.408699999999996</v>
      </c>
      <c r="W129" s="12">
        <v>83.541700000000006</v>
      </c>
      <c r="X129" s="12">
        <v>84.468100000000007</v>
      </c>
      <c r="Y129" s="12">
        <v>85.466399999999993</v>
      </c>
      <c r="Z129" s="12">
        <v>86.264399999999995</v>
      </c>
      <c r="AA129" s="12">
        <v>87.009399999999999</v>
      </c>
      <c r="AB129" s="12">
        <v>87.6935</v>
      </c>
      <c r="AC129" s="12">
        <v>87.238</v>
      </c>
      <c r="AD129" s="12" t="s">
        <v>73</v>
      </c>
    </row>
    <row r="130" spans="1:30" x14ac:dyDescent="0.3">
      <c r="A130" s="13" t="s">
        <v>569</v>
      </c>
      <c r="B130" s="14" t="s">
        <v>698</v>
      </c>
      <c r="C130" t="s">
        <v>296</v>
      </c>
      <c r="D130" s="5" t="s">
        <v>297</v>
      </c>
      <c r="E130" s="12">
        <v>2.5999999999999999E-2</v>
      </c>
      <c r="F130" s="12">
        <v>2.5999999999999999E-2</v>
      </c>
      <c r="G130" s="12">
        <v>2.5999999999999999E-2</v>
      </c>
      <c r="H130" s="12">
        <v>2.6100000000000002E-2</v>
      </c>
      <c r="I130" s="12">
        <v>2.5999999999999999E-2</v>
      </c>
      <c r="J130" s="12">
        <v>2.6100000000000002E-2</v>
      </c>
      <c r="K130" s="12">
        <v>2.6100000000000002E-2</v>
      </c>
      <c r="L130" s="12">
        <v>2.64E-2</v>
      </c>
      <c r="M130" s="12">
        <v>2.64E-2</v>
      </c>
      <c r="N130" s="12">
        <v>2.8000000000000001E-2</v>
      </c>
      <c r="O130" s="12">
        <v>2.8000000000000001E-2</v>
      </c>
      <c r="P130" s="12">
        <v>2.98E-2</v>
      </c>
      <c r="Q130" s="12">
        <v>2.98E-2</v>
      </c>
      <c r="R130" s="12">
        <v>3.0700000000000002E-2</v>
      </c>
      <c r="S130" s="12">
        <v>3.1099999999999999E-2</v>
      </c>
      <c r="T130" s="12">
        <v>3.15E-2</v>
      </c>
      <c r="U130" s="12">
        <v>3.2199999999999999E-2</v>
      </c>
      <c r="V130" s="12">
        <v>3.1699999999999999E-2</v>
      </c>
      <c r="W130" s="12">
        <v>3.1800000000000002E-2</v>
      </c>
      <c r="X130" s="12">
        <v>3.32E-2</v>
      </c>
      <c r="Y130" s="12">
        <v>3.2500000000000001E-2</v>
      </c>
      <c r="Z130" s="12">
        <v>3.3000000000000002E-2</v>
      </c>
      <c r="AA130" s="12">
        <v>3.3500000000000002E-2</v>
      </c>
      <c r="AB130" s="12">
        <v>3.8800000000000001E-2</v>
      </c>
      <c r="AC130" s="12">
        <v>4.0099999999999997E-2</v>
      </c>
      <c r="AD130" s="12" t="s">
        <v>73</v>
      </c>
    </row>
    <row r="131" spans="1:30" x14ac:dyDescent="0.3">
      <c r="A131" s="13" t="s">
        <v>569</v>
      </c>
      <c r="B131" s="14" t="s">
        <v>699</v>
      </c>
      <c r="C131" t="s">
        <v>298</v>
      </c>
      <c r="D131" s="5" t="s">
        <v>299</v>
      </c>
      <c r="E131" s="12">
        <v>1.4934000000000001</v>
      </c>
      <c r="F131" s="12">
        <v>1.3986000000000001</v>
      </c>
      <c r="G131" s="12">
        <v>1.4430000000000001</v>
      </c>
      <c r="H131" s="12">
        <v>1.4592000000000001</v>
      </c>
      <c r="I131" s="12">
        <v>1.3998999999999999</v>
      </c>
      <c r="J131" s="12">
        <v>1.2922</v>
      </c>
      <c r="K131" s="12">
        <v>1.3158000000000001</v>
      </c>
      <c r="L131" s="12">
        <v>1.2836000000000001</v>
      </c>
      <c r="M131" s="12">
        <v>1.028</v>
      </c>
      <c r="N131" s="12">
        <v>1.0179</v>
      </c>
      <c r="O131" s="12">
        <v>1.1148</v>
      </c>
      <c r="P131" s="12">
        <v>1.208</v>
      </c>
      <c r="Q131" s="12">
        <v>1.0728</v>
      </c>
      <c r="R131" s="12">
        <v>1.1017999999999999</v>
      </c>
      <c r="S131" s="12">
        <v>1.1124000000000001</v>
      </c>
      <c r="T131" s="12">
        <v>1.1180000000000001</v>
      </c>
      <c r="U131" s="12">
        <v>1.1016999999999999</v>
      </c>
      <c r="V131" s="12">
        <v>1.1298999999999999</v>
      </c>
      <c r="W131" s="12">
        <v>1.0987</v>
      </c>
      <c r="X131" s="12">
        <v>1.0329999999999999</v>
      </c>
      <c r="Y131" s="12">
        <v>1.0025999999999999</v>
      </c>
      <c r="Z131" s="12">
        <v>0.94910000000000005</v>
      </c>
      <c r="AA131" s="12">
        <v>0.92510000000000003</v>
      </c>
      <c r="AB131" s="12">
        <v>0.92689999999999995</v>
      </c>
      <c r="AC131" s="12">
        <v>0.92679999999999996</v>
      </c>
      <c r="AD131" s="12" t="s">
        <v>73</v>
      </c>
    </row>
    <row r="132" spans="1:30" x14ac:dyDescent="0.3">
      <c r="A132" s="13" t="s">
        <v>569</v>
      </c>
      <c r="B132" s="14" t="s">
        <v>700</v>
      </c>
      <c r="C132" t="s">
        <v>300</v>
      </c>
      <c r="D132" s="5" t="s">
        <v>301</v>
      </c>
      <c r="E132" s="12" t="s">
        <v>73</v>
      </c>
      <c r="F132" s="12" t="s">
        <v>73</v>
      </c>
      <c r="G132" s="12" t="s">
        <v>73</v>
      </c>
      <c r="H132" s="12" t="s">
        <v>73</v>
      </c>
      <c r="I132" s="12" t="s">
        <v>73</v>
      </c>
      <c r="J132" s="12" t="s">
        <v>73</v>
      </c>
      <c r="K132" s="12" t="s">
        <v>73</v>
      </c>
      <c r="L132" s="12" t="s">
        <v>73</v>
      </c>
      <c r="M132" s="12" t="s">
        <v>73</v>
      </c>
      <c r="N132" s="12" t="s">
        <v>73</v>
      </c>
      <c r="O132" s="12" t="s">
        <v>73</v>
      </c>
      <c r="P132" s="12" t="s">
        <v>73</v>
      </c>
      <c r="Q132" s="12" t="s">
        <v>73</v>
      </c>
      <c r="R132" s="12" t="s">
        <v>73</v>
      </c>
      <c r="S132" s="12" t="s">
        <v>73</v>
      </c>
      <c r="T132" s="12" t="s">
        <v>73</v>
      </c>
      <c r="U132" s="12" t="s">
        <v>73</v>
      </c>
      <c r="V132" s="12" t="s">
        <v>73</v>
      </c>
      <c r="W132" s="12" t="s">
        <v>73</v>
      </c>
      <c r="X132" s="12" t="s">
        <v>73</v>
      </c>
      <c r="Y132" s="12" t="s">
        <v>73</v>
      </c>
      <c r="Z132" s="12" t="s">
        <v>73</v>
      </c>
      <c r="AA132" s="12" t="s">
        <v>73</v>
      </c>
      <c r="AB132" s="12" t="s">
        <v>73</v>
      </c>
      <c r="AC132" s="12" t="s">
        <v>73</v>
      </c>
      <c r="AD132" s="12" t="s">
        <v>73</v>
      </c>
    </row>
    <row r="133" spans="1:30" x14ac:dyDescent="0.3">
      <c r="A133" s="13" t="s">
        <v>569</v>
      </c>
      <c r="B133" s="14" t="s">
        <v>701</v>
      </c>
      <c r="C133" t="s">
        <v>302</v>
      </c>
      <c r="D133" s="5" t="s">
        <v>303</v>
      </c>
      <c r="E133" s="12">
        <v>11.3399</v>
      </c>
      <c r="F133" s="12">
        <v>9.6654999999999998</v>
      </c>
      <c r="G133" s="12">
        <v>7.5335999999999999</v>
      </c>
      <c r="H133" s="12">
        <v>7.2462999999999997</v>
      </c>
      <c r="I133" s="12">
        <v>6.9851999999999999</v>
      </c>
      <c r="J133" s="12">
        <v>7.907</v>
      </c>
      <c r="K133" s="12">
        <v>8.8150999999999993</v>
      </c>
      <c r="L133" s="12">
        <v>10.0077</v>
      </c>
      <c r="M133" s="12">
        <v>10.472300000000001</v>
      </c>
      <c r="N133" s="12">
        <v>10.765499999999999</v>
      </c>
      <c r="O133" s="12">
        <v>8.4743999999999993</v>
      </c>
      <c r="P133" s="12">
        <v>9.2993000000000006</v>
      </c>
      <c r="Q133" s="12">
        <v>10.3795</v>
      </c>
      <c r="R133" s="12">
        <v>11.547499999999999</v>
      </c>
      <c r="S133" s="12">
        <v>13.335699999999999</v>
      </c>
      <c r="T133" s="12">
        <v>14.513299999999999</v>
      </c>
      <c r="U133" s="12">
        <v>15.848699999999999</v>
      </c>
      <c r="V133" s="12">
        <v>17.049099999999999</v>
      </c>
      <c r="W133" s="12">
        <v>17.1126</v>
      </c>
      <c r="X133" s="12">
        <v>18.343399999999999</v>
      </c>
      <c r="Y133" s="12">
        <v>17.725100000000001</v>
      </c>
      <c r="Z133" s="12">
        <v>18.1675</v>
      </c>
      <c r="AA133" s="12">
        <v>19.5655</v>
      </c>
      <c r="AB133" s="12">
        <v>18.420000000000002</v>
      </c>
      <c r="AC133" s="12">
        <v>18.6812</v>
      </c>
      <c r="AD133" s="12" t="s">
        <v>73</v>
      </c>
    </row>
    <row r="134" spans="1:30" x14ac:dyDescent="0.3">
      <c r="A134" s="13" t="s">
        <v>569</v>
      </c>
      <c r="B134" s="14" t="s">
        <v>702</v>
      </c>
      <c r="C134" t="s">
        <v>304</v>
      </c>
      <c r="D134" s="5" t="s">
        <v>305</v>
      </c>
      <c r="E134" s="12" t="s">
        <v>73</v>
      </c>
      <c r="F134" s="12" t="s">
        <v>73</v>
      </c>
      <c r="G134" s="12" t="s">
        <v>73</v>
      </c>
      <c r="H134" s="12" t="s">
        <v>73</v>
      </c>
      <c r="I134" s="12" t="s">
        <v>73</v>
      </c>
      <c r="J134" s="12" t="s">
        <v>73</v>
      </c>
      <c r="K134" s="12" t="s">
        <v>73</v>
      </c>
      <c r="L134" s="12" t="s">
        <v>73</v>
      </c>
      <c r="M134" s="12" t="s">
        <v>73</v>
      </c>
      <c r="N134" s="12" t="s">
        <v>73</v>
      </c>
      <c r="O134" s="12" t="s">
        <v>73</v>
      </c>
      <c r="P134" s="12" t="s">
        <v>73</v>
      </c>
      <c r="Q134" s="12" t="s">
        <v>73</v>
      </c>
      <c r="R134" s="12" t="s">
        <v>73</v>
      </c>
      <c r="S134" s="12" t="s">
        <v>73</v>
      </c>
      <c r="T134" s="12" t="s">
        <v>73</v>
      </c>
      <c r="U134" s="12" t="s">
        <v>73</v>
      </c>
      <c r="V134" s="12" t="s">
        <v>73</v>
      </c>
      <c r="W134" s="12" t="s">
        <v>73</v>
      </c>
      <c r="X134" s="12" t="s">
        <v>73</v>
      </c>
      <c r="Y134" s="12" t="s">
        <v>73</v>
      </c>
      <c r="Z134" s="12" t="s">
        <v>73</v>
      </c>
      <c r="AA134" s="12" t="s">
        <v>73</v>
      </c>
      <c r="AB134" s="12" t="s">
        <v>73</v>
      </c>
      <c r="AC134" s="12" t="s">
        <v>73</v>
      </c>
      <c r="AD134" s="12" t="s">
        <v>73</v>
      </c>
    </row>
    <row r="135" spans="1:30" x14ac:dyDescent="0.3">
      <c r="A135" s="13" t="s">
        <v>569</v>
      </c>
      <c r="B135" s="14" t="s">
        <v>703</v>
      </c>
      <c r="C135" t="s">
        <v>306</v>
      </c>
      <c r="D135" s="5" t="s">
        <v>307</v>
      </c>
      <c r="E135" s="12">
        <v>7.2161999999999997</v>
      </c>
      <c r="F135" s="12">
        <v>7.1883999999999997</v>
      </c>
      <c r="G135" s="12">
        <v>7.1017000000000001</v>
      </c>
      <c r="H135" s="12">
        <v>7.2202999999999999</v>
      </c>
      <c r="I135" s="12">
        <v>7.3761999999999999</v>
      </c>
      <c r="J135" s="12">
        <v>7.3430999999999997</v>
      </c>
      <c r="K135" s="12">
        <v>7.4824999999999999</v>
      </c>
      <c r="L135" s="12">
        <v>7.4394</v>
      </c>
      <c r="M135" s="12">
        <v>7.5353000000000003</v>
      </c>
      <c r="N135" s="12">
        <v>7.5772000000000004</v>
      </c>
      <c r="O135" s="12">
        <v>7.8315999999999999</v>
      </c>
      <c r="P135" s="12">
        <v>8.2772000000000006</v>
      </c>
      <c r="Q135" s="12">
        <v>8.2980999999999998</v>
      </c>
      <c r="R135" s="12">
        <v>8.5291999999999994</v>
      </c>
      <c r="S135" s="12">
        <v>8.7234999999999996</v>
      </c>
      <c r="T135" s="12">
        <v>8.7551000000000005</v>
      </c>
      <c r="U135" s="12">
        <v>8.8614999999999995</v>
      </c>
      <c r="V135" s="12">
        <v>8.9090000000000007</v>
      </c>
      <c r="W135" s="12">
        <v>9.1004000000000005</v>
      </c>
      <c r="X135" s="12">
        <v>9.2312999999999992</v>
      </c>
      <c r="Y135" s="12">
        <v>9.0931999999999995</v>
      </c>
      <c r="Z135" s="12">
        <v>9.23</v>
      </c>
      <c r="AA135" s="12">
        <v>8.9535999999999998</v>
      </c>
      <c r="AB135" s="12">
        <v>8.4499999999999993</v>
      </c>
      <c r="AC135" s="12">
        <v>8.32</v>
      </c>
      <c r="AD135" s="12" t="s">
        <v>73</v>
      </c>
    </row>
    <row r="136" spans="1:30" x14ac:dyDescent="0.3">
      <c r="A136" s="13" t="s">
        <v>569</v>
      </c>
      <c r="B136" s="14" t="s">
        <v>704</v>
      </c>
      <c r="C136" t="s">
        <v>308</v>
      </c>
      <c r="D136" s="5" t="s">
        <v>309</v>
      </c>
      <c r="E136" s="12">
        <v>2.0737999999999999</v>
      </c>
      <c r="F136" s="12">
        <v>1.9505999999999999</v>
      </c>
      <c r="G136" s="12">
        <v>2.3767999999999998</v>
      </c>
      <c r="H136" s="12">
        <v>2.3988999999999998</v>
      </c>
      <c r="I136" s="12">
        <v>2.5663</v>
      </c>
      <c r="J136" s="12">
        <v>2.7282999999999999</v>
      </c>
      <c r="K136" s="12">
        <v>2.4689999999999999</v>
      </c>
      <c r="L136" s="12">
        <v>2.7888999999999999</v>
      </c>
      <c r="M136" s="12">
        <v>2.8319999999999999</v>
      </c>
      <c r="N136" s="12">
        <v>2.6371000000000002</v>
      </c>
      <c r="O136" s="12">
        <v>2.4889000000000001</v>
      </c>
      <c r="P136" s="12">
        <v>2.6576</v>
      </c>
      <c r="Q136" s="12">
        <v>3.0788000000000002</v>
      </c>
      <c r="R136" s="12">
        <v>3.2018</v>
      </c>
      <c r="S136" s="12">
        <v>3.4142000000000001</v>
      </c>
      <c r="T136" s="12">
        <v>2.7942999999999998</v>
      </c>
      <c r="U136" s="12">
        <v>3.2387000000000001</v>
      </c>
      <c r="V136" s="12">
        <v>3.1753999999999998</v>
      </c>
      <c r="W136" s="12">
        <v>3.7282999999999999</v>
      </c>
      <c r="X136" s="12">
        <v>3.5030000000000001</v>
      </c>
      <c r="Y136" s="12">
        <v>3.4329000000000001</v>
      </c>
      <c r="Z136" s="12">
        <v>3.4241999999999999</v>
      </c>
      <c r="AA136" s="12">
        <v>3.7454999999999998</v>
      </c>
      <c r="AB136" s="12">
        <v>3.9178999999999999</v>
      </c>
      <c r="AC136" s="12">
        <v>3.9276</v>
      </c>
      <c r="AD136" s="12" t="s">
        <v>73</v>
      </c>
    </row>
    <row r="137" spans="1:30" x14ac:dyDescent="0.3">
      <c r="A137" s="13" t="s">
        <v>569</v>
      </c>
      <c r="B137" s="14" t="s">
        <v>705</v>
      </c>
      <c r="C137" t="s">
        <v>310</v>
      </c>
      <c r="D137" s="5" t="s">
        <v>311</v>
      </c>
      <c r="E137" s="12">
        <v>59.101399999999998</v>
      </c>
      <c r="F137" s="12">
        <v>61.087899999999998</v>
      </c>
      <c r="G137" s="12">
        <v>62.154400000000003</v>
      </c>
      <c r="H137" s="12">
        <v>64.653499999999994</v>
      </c>
      <c r="I137" s="12">
        <v>67.931600000000003</v>
      </c>
      <c r="J137" s="12">
        <v>73.194400000000002</v>
      </c>
      <c r="K137" s="12">
        <v>78.332899999999995</v>
      </c>
      <c r="L137" s="12">
        <v>79.158699999999996</v>
      </c>
      <c r="M137" s="12">
        <v>80.7239</v>
      </c>
      <c r="N137" s="12">
        <v>81.161799999999999</v>
      </c>
      <c r="O137" s="12">
        <v>81.8215</v>
      </c>
      <c r="P137" s="12">
        <v>78.953800000000001</v>
      </c>
      <c r="Q137" s="12">
        <v>76.815299999999993</v>
      </c>
      <c r="R137" s="12">
        <v>77.915300000000002</v>
      </c>
      <c r="S137" s="12">
        <v>78.981700000000004</v>
      </c>
      <c r="T137" s="12">
        <v>80.187899999999999</v>
      </c>
      <c r="U137" s="12">
        <v>81.273899999999998</v>
      </c>
      <c r="V137" s="12">
        <v>84.060900000000004</v>
      </c>
      <c r="W137" s="12">
        <v>66.588300000000004</v>
      </c>
      <c r="X137" s="12">
        <v>65.328199999999995</v>
      </c>
      <c r="Y137" s="12">
        <v>65.2727</v>
      </c>
      <c r="Z137" s="12">
        <v>67.270300000000006</v>
      </c>
      <c r="AA137" s="12">
        <v>67.613699999999994</v>
      </c>
      <c r="AB137" s="12">
        <v>64.375100000000003</v>
      </c>
      <c r="AC137" s="12">
        <v>63.9133</v>
      </c>
      <c r="AD137" s="12" t="s">
        <v>73</v>
      </c>
    </row>
    <row r="138" spans="1:30" x14ac:dyDescent="0.3">
      <c r="A138" s="13" t="s">
        <v>569</v>
      </c>
      <c r="B138" s="14" t="s">
        <v>706</v>
      </c>
      <c r="C138" t="s">
        <v>312</v>
      </c>
      <c r="D138" s="5" t="s">
        <v>313</v>
      </c>
      <c r="E138" s="12">
        <v>4.2169999999999996</v>
      </c>
      <c r="F138" s="12">
        <v>4.1828000000000003</v>
      </c>
      <c r="G138" s="12">
        <v>4.0544000000000002</v>
      </c>
      <c r="H138" s="12">
        <v>4.101</v>
      </c>
      <c r="I138" s="12">
        <v>4.0221</v>
      </c>
      <c r="J138" s="12">
        <v>5.2160000000000002</v>
      </c>
      <c r="K138" s="12">
        <v>4.1462000000000003</v>
      </c>
      <c r="L138" s="12">
        <v>4.0850999999999997</v>
      </c>
      <c r="M138" s="12">
        <v>4.3715000000000002</v>
      </c>
      <c r="N138" s="12">
        <v>4.2675999999999998</v>
      </c>
      <c r="O138" s="12">
        <v>4.1948999999999996</v>
      </c>
      <c r="P138" s="12">
        <v>4.173</v>
      </c>
      <c r="Q138" s="12">
        <v>4.9785000000000004</v>
      </c>
      <c r="R138" s="12">
        <v>4.4922000000000004</v>
      </c>
      <c r="S138" s="12">
        <v>4.8879999999999999</v>
      </c>
      <c r="T138" s="12">
        <v>4.7821999999999996</v>
      </c>
      <c r="U138" s="12">
        <v>5.3606999999999996</v>
      </c>
      <c r="V138" s="12">
        <v>5.0382999999999996</v>
      </c>
      <c r="W138" s="12">
        <v>4.8324999999999996</v>
      </c>
      <c r="X138" s="12">
        <v>4.7912999999999997</v>
      </c>
      <c r="Y138" s="12">
        <v>4.2729999999999997</v>
      </c>
      <c r="Z138" s="12">
        <v>4.8051000000000004</v>
      </c>
      <c r="AA138" s="12">
        <v>4.9051999999999998</v>
      </c>
      <c r="AB138" s="12">
        <v>6.0715000000000003</v>
      </c>
      <c r="AC138" s="12">
        <v>6.3186</v>
      </c>
      <c r="AD138" s="12" t="s">
        <v>73</v>
      </c>
    </row>
    <row r="139" spans="1:30" x14ac:dyDescent="0.3">
      <c r="A139" s="13" t="s">
        <v>569</v>
      </c>
      <c r="B139" s="14" t="s">
        <v>707</v>
      </c>
      <c r="C139" t="s">
        <v>314</v>
      </c>
      <c r="D139" s="5" t="s">
        <v>315</v>
      </c>
      <c r="E139" s="12">
        <v>2.9999999999999997E-4</v>
      </c>
      <c r="F139" s="12">
        <v>2.9999999999999997E-4</v>
      </c>
      <c r="G139" s="12">
        <v>2.9999999999999997E-4</v>
      </c>
      <c r="H139" s="12">
        <v>2.9999999999999997E-4</v>
      </c>
      <c r="I139" s="12">
        <v>2.9999999999999997E-4</v>
      </c>
      <c r="J139" s="12">
        <v>2.9999999999999997E-4</v>
      </c>
      <c r="K139" s="12">
        <v>2.9999999999999997E-4</v>
      </c>
      <c r="L139" s="12">
        <v>2.9999999999999997E-4</v>
      </c>
      <c r="M139" s="12">
        <v>2.9999999999999997E-4</v>
      </c>
      <c r="N139" s="12">
        <v>2.9999999999999997E-4</v>
      </c>
      <c r="O139" s="12">
        <v>2.9999999999999997E-4</v>
      </c>
      <c r="P139" s="12">
        <v>2.9999999999999997E-4</v>
      </c>
      <c r="Q139" s="12">
        <v>2.9999999999999997E-4</v>
      </c>
      <c r="R139" s="12">
        <v>2.9999999999999997E-4</v>
      </c>
      <c r="S139" s="12">
        <v>2.9999999999999997E-4</v>
      </c>
      <c r="T139" s="12">
        <v>2.9999999999999997E-4</v>
      </c>
      <c r="U139" s="12">
        <v>2.9999999999999997E-4</v>
      </c>
      <c r="V139" s="12">
        <v>2.9999999999999997E-4</v>
      </c>
      <c r="W139" s="12">
        <v>2.9999999999999997E-4</v>
      </c>
      <c r="X139" s="12">
        <v>2.9999999999999997E-4</v>
      </c>
      <c r="Y139" s="12">
        <v>2.9999999999999997E-4</v>
      </c>
      <c r="Z139" s="12">
        <v>2.9999999999999997E-4</v>
      </c>
      <c r="AA139" s="12">
        <v>2.9999999999999997E-4</v>
      </c>
      <c r="AB139" s="12">
        <v>2.9999999999999997E-4</v>
      </c>
      <c r="AC139" s="12">
        <v>2.9999999999999997E-4</v>
      </c>
      <c r="AD139" s="12" t="s">
        <v>73</v>
      </c>
    </row>
    <row r="140" spans="1:30" x14ac:dyDescent="0.3">
      <c r="A140" s="13" t="s">
        <v>569</v>
      </c>
      <c r="B140" s="14" t="s">
        <v>708</v>
      </c>
      <c r="C140" t="s">
        <v>316</v>
      </c>
      <c r="D140" s="5" t="s">
        <v>317</v>
      </c>
      <c r="E140" s="12">
        <v>17.381900000000002</v>
      </c>
      <c r="F140" s="12">
        <v>17.6035</v>
      </c>
      <c r="G140" s="12">
        <v>17.7576</v>
      </c>
      <c r="H140" s="12">
        <v>18.1128</v>
      </c>
      <c r="I140" s="12">
        <v>18.274799999999999</v>
      </c>
      <c r="J140" s="12">
        <v>18.543399999999998</v>
      </c>
      <c r="K140" s="12">
        <v>18.4299</v>
      </c>
      <c r="L140" s="12">
        <v>19.1965</v>
      </c>
      <c r="M140" s="12">
        <v>19.5623</v>
      </c>
      <c r="N140" s="12">
        <v>19.720700000000001</v>
      </c>
      <c r="O140" s="12">
        <v>20.204499999999999</v>
      </c>
      <c r="P140" s="12">
        <v>20.768599999999999</v>
      </c>
      <c r="Q140" s="12">
        <v>20.726900000000001</v>
      </c>
      <c r="R140" s="12">
        <v>21.244199999999999</v>
      </c>
      <c r="S140" s="12">
        <v>20.991099999999999</v>
      </c>
      <c r="T140" s="12">
        <v>20.754300000000001</v>
      </c>
      <c r="U140" s="12">
        <v>21.5425</v>
      </c>
      <c r="V140" s="12">
        <v>21.418299999999999</v>
      </c>
      <c r="W140" s="12">
        <v>21.831900000000001</v>
      </c>
      <c r="X140" s="12">
        <v>21.9285</v>
      </c>
      <c r="Y140" s="12">
        <v>22.092600000000001</v>
      </c>
      <c r="Z140" s="12">
        <v>21.986899999999999</v>
      </c>
      <c r="AA140" s="12">
        <v>21.9621</v>
      </c>
      <c r="AB140" s="12">
        <v>16.256799999999998</v>
      </c>
      <c r="AC140" s="12">
        <v>15.1953</v>
      </c>
      <c r="AD140" s="12" t="s">
        <v>73</v>
      </c>
    </row>
    <row r="141" spans="1:30" x14ac:dyDescent="0.3">
      <c r="A141" s="13" t="s">
        <v>569</v>
      </c>
      <c r="B141" s="14" t="s">
        <v>709</v>
      </c>
      <c r="C141" t="s">
        <v>30</v>
      </c>
      <c r="D141" s="5" t="s">
        <v>318</v>
      </c>
      <c r="E141" s="12">
        <v>13.580399999999999</v>
      </c>
      <c r="F141" s="12">
        <v>13.341799999999999</v>
      </c>
      <c r="G141" s="12">
        <v>12.769500000000001</v>
      </c>
      <c r="H141" s="12">
        <v>12.453799999999999</v>
      </c>
      <c r="I141" s="12">
        <v>12.363099999999999</v>
      </c>
      <c r="J141" s="12">
        <v>12.412000000000001</v>
      </c>
      <c r="K141" s="12">
        <v>12.1235</v>
      </c>
      <c r="L141" s="12">
        <v>12.2834</v>
      </c>
      <c r="M141" s="12">
        <v>12.8134</v>
      </c>
      <c r="N141" s="12">
        <v>12.9557</v>
      </c>
      <c r="O141" s="12">
        <v>12.9725</v>
      </c>
      <c r="P141" s="12">
        <v>12.938499999999999</v>
      </c>
      <c r="Q141" s="12">
        <v>12.7918</v>
      </c>
      <c r="R141" s="12">
        <v>12.990399999999999</v>
      </c>
      <c r="S141" s="12">
        <v>13.3954</v>
      </c>
      <c r="T141" s="12">
        <v>14.026899999999999</v>
      </c>
      <c r="U141" s="12">
        <v>14.1311</v>
      </c>
      <c r="V141" s="12">
        <v>13.3964</v>
      </c>
      <c r="W141" s="12">
        <v>12.541</v>
      </c>
      <c r="X141" s="12">
        <v>12.654299999999999</v>
      </c>
      <c r="Y141" s="12">
        <v>12.473100000000001</v>
      </c>
      <c r="Z141" s="12">
        <v>12.303599999999999</v>
      </c>
      <c r="AA141" s="12">
        <v>12.3711</v>
      </c>
      <c r="AB141" s="12">
        <v>12.1592</v>
      </c>
      <c r="AC141" s="12">
        <v>12.1365</v>
      </c>
      <c r="AD141" s="12" t="s">
        <v>73</v>
      </c>
    </row>
    <row r="142" spans="1:30" x14ac:dyDescent="0.3">
      <c r="A142" s="13" t="s">
        <v>569</v>
      </c>
      <c r="B142" s="14" t="s">
        <v>710</v>
      </c>
      <c r="C142" t="s">
        <v>319</v>
      </c>
      <c r="D142" s="5" t="s">
        <v>320</v>
      </c>
      <c r="E142" s="12">
        <v>0.19670000000000001</v>
      </c>
      <c r="F142" s="12">
        <v>0.19370000000000001</v>
      </c>
      <c r="G142" s="12">
        <v>0.19270000000000001</v>
      </c>
      <c r="H142" s="12">
        <v>0.18959999999999999</v>
      </c>
      <c r="I142" s="12">
        <v>0.18920000000000001</v>
      </c>
      <c r="J142" s="12">
        <v>0.16830000000000001</v>
      </c>
      <c r="K142" s="12">
        <v>0.14949999999999999</v>
      </c>
      <c r="L142" s="12">
        <v>0.153</v>
      </c>
      <c r="M142" s="12">
        <v>0.15290000000000001</v>
      </c>
      <c r="N142" s="12">
        <v>0.15049999999999999</v>
      </c>
      <c r="O142" s="12">
        <v>0.14879999999999999</v>
      </c>
      <c r="P142" s="12">
        <v>0.14910000000000001</v>
      </c>
      <c r="Q142" s="12">
        <v>0.13869999999999999</v>
      </c>
      <c r="R142" s="12">
        <v>0.1512</v>
      </c>
      <c r="S142" s="12">
        <v>0.153</v>
      </c>
      <c r="T142" s="12">
        <v>0.14910000000000001</v>
      </c>
      <c r="U142" s="12">
        <v>0.1434</v>
      </c>
      <c r="V142" s="12">
        <v>0.13969999999999999</v>
      </c>
      <c r="W142" s="12">
        <v>0.1371</v>
      </c>
      <c r="X142" s="12">
        <v>0.13800000000000001</v>
      </c>
      <c r="Y142" s="12">
        <v>0.13689999999999999</v>
      </c>
      <c r="Z142" s="12">
        <v>0.1356</v>
      </c>
      <c r="AA142" s="12">
        <v>0.13420000000000001</v>
      </c>
      <c r="AB142" s="12">
        <v>0.13469999999999999</v>
      </c>
      <c r="AC142" s="12">
        <v>0.13420000000000001</v>
      </c>
      <c r="AD142" s="12" t="s">
        <v>73</v>
      </c>
    </row>
    <row r="143" spans="1:30" x14ac:dyDescent="0.3">
      <c r="A143" s="13" t="s">
        <v>569</v>
      </c>
      <c r="B143" s="14" t="s">
        <v>711</v>
      </c>
      <c r="C143" t="s">
        <v>51</v>
      </c>
      <c r="D143" s="5" t="s">
        <v>321</v>
      </c>
      <c r="E143" s="12">
        <v>31.412199999999999</v>
      </c>
      <c r="F143" s="12">
        <v>31.787600000000001</v>
      </c>
      <c r="G143" s="12">
        <v>32.7562</v>
      </c>
      <c r="H143" s="12">
        <v>33.302</v>
      </c>
      <c r="I143" s="12">
        <v>33.2941</v>
      </c>
      <c r="J143" s="12">
        <v>33.267699999999998</v>
      </c>
      <c r="K143" s="12">
        <v>33.484000000000002</v>
      </c>
      <c r="L143" s="12">
        <v>33.2453</v>
      </c>
      <c r="M143" s="12">
        <v>32.579900000000002</v>
      </c>
      <c r="N143" s="12">
        <v>33.074599999999997</v>
      </c>
      <c r="O143" s="12">
        <v>32.922400000000003</v>
      </c>
      <c r="P143" s="12">
        <v>33.167099999999998</v>
      </c>
      <c r="Q143" s="12">
        <v>33.875100000000003</v>
      </c>
      <c r="R143" s="12">
        <v>33.2044</v>
      </c>
      <c r="S143" s="12">
        <v>33.649799999999999</v>
      </c>
      <c r="T143" s="12">
        <v>32.72</v>
      </c>
      <c r="U143" s="12">
        <v>32.8874</v>
      </c>
      <c r="V143" s="12">
        <v>32.509300000000003</v>
      </c>
      <c r="W143" s="12">
        <v>32.331200000000003</v>
      </c>
      <c r="X143" s="12">
        <v>31.973199999999999</v>
      </c>
      <c r="Y143" s="12">
        <v>31.603200000000001</v>
      </c>
      <c r="Z143" s="12">
        <v>31.5684</v>
      </c>
      <c r="AA143" s="12">
        <v>31.125499999999999</v>
      </c>
      <c r="AB143" s="12">
        <v>29.965900000000001</v>
      </c>
      <c r="AC143" s="12">
        <v>29.6861</v>
      </c>
      <c r="AD143" s="12" t="s">
        <v>73</v>
      </c>
    </row>
    <row r="144" spans="1:30" x14ac:dyDescent="0.3">
      <c r="A144" s="13" t="s">
        <v>569</v>
      </c>
      <c r="B144" s="14" t="s">
        <v>712</v>
      </c>
      <c r="C144" t="s">
        <v>322</v>
      </c>
      <c r="D144" s="5" t="s">
        <v>323</v>
      </c>
      <c r="E144" s="12">
        <v>5.3037999999999998</v>
      </c>
      <c r="F144" s="12">
        <v>5.3305999999999996</v>
      </c>
      <c r="G144" s="12">
        <v>5.4230999999999998</v>
      </c>
      <c r="H144" s="12">
        <v>5.6698000000000004</v>
      </c>
      <c r="I144" s="12">
        <v>5.5113000000000003</v>
      </c>
      <c r="J144" s="12">
        <v>5.7164000000000001</v>
      </c>
      <c r="K144" s="12">
        <v>5.8929999999999998</v>
      </c>
      <c r="L144" s="12">
        <v>5.8956</v>
      </c>
      <c r="M144" s="12">
        <v>5.9505999999999997</v>
      </c>
      <c r="N144" s="12">
        <v>6.0834999999999999</v>
      </c>
      <c r="O144" s="12">
        <v>6.2195</v>
      </c>
      <c r="P144" s="12">
        <v>6.8966000000000003</v>
      </c>
      <c r="Q144" s="12">
        <v>7.2016</v>
      </c>
      <c r="R144" s="12">
        <v>7.5274000000000001</v>
      </c>
      <c r="S144" s="12">
        <v>7.8975</v>
      </c>
      <c r="T144" s="12">
        <v>8.2804000000000002</v>
      </c>
      <c r="U144" s="12">
        <v>8.2669999999999995</v>
      </c>
      <c r="V144" s="12">
        <v>8.1980000000000004</v>
      </c>
      <c r="W144" s="12">
        <v>8.3557000000000006</v>
      </c>
      <c r="X144" s="12">
        <v>8.5578000000000003</v>
      </c>
      <c r="Y144" s="12">
        <v>8.8161000000000005</v>
      </c>
      <c r="Z144" s="12">
        <v>8.9785000000000004</v>
      </c>
      <c r="AA144" s="12">
        <v>9.1227999999999998</v>
      </c>
      <c r="AB144" s="12">
        <v>9.0734999999999992</v>
      </c>
      <c r="AC144" s="12">
        <v>9.0692000000000004</v>
      </c>
      <c r="AD144" s="12" t="s">
        <v>73</v>
      </c>
    </row>
    <row r="145" spans="1:30" x14ac:dyDescent="0.3">
      <c r="A145" s="13" t="s">
        <v>569</v>
      </c>
      <c r="B145" s="14" t="s">
        <v>713</v>
      </c>
      <c r="C145" t="s">
        <v>324</v>
      </c>
      <c r="D145" s="5" t="s">
        <v>325</v>
      </c>
      <c r="E145" s="12">
        <v>10.6289</v>
      </c>
      <c r="F145" s="12">
        <v>11.1168</v>
      </c>
      <c r="G145" s="12">
        <v>11.588200000000001</v>
      </c>
      <c r="H145" s="12">
        <v>12.0722</v>
      </c>
      <c r="I145" s="12">
        <v>12.599600000000001</v>
      </c>
      <c r="J145" s="12">
        <v>13.059200000000001</v>
      </c>
      <c r="K145" s="12">
        <v>13.5168</v>
      </c>
      <c r="L145" s="12">
        <v>14.012</v>
      </c>
      <c r="M145" s="12">
        <v>14.5411</v>
      </c>
      <c r="N145" s="12">
        <v>15.0466</v>
      </c>
      <c r="O145" s="12">
        <v>14.5669</v>
      </c>
      <c r="P145" s="12">
        <v>15.1401</v>
      </c>
      <c r="Q145" s="12">
        <v>15.7873</v>
      </c>
      <c r="R145" s="12">
        <v>16.522099999999998</v>
      </c>
      <c r="S145" s="12">
        <v>17.250699999999998</v>
      </c>
      <c r="T145" s="12">
        <v>17.958500000000001</v>
      </c>
      <c r="U145" s="12">
        <v>18.815300000000001</v>
      </c>
      <c r="V145" s="12">
        <v>19.709099999999999</v>
      </c>
      <c r="W145" s="12">
        <v>20.654900000000001</v>
      </c>
      <c r="X145" s="12">
        <v>21.622699999999998</v>
      </c>
      <c r="Y145" s="12">
        <v>22.6509</v>
      </c>
      <c r="Z145" s="12">
        <v>23.657800000000002</v>
      </c>
      <c r="AA145" s="12">
        <v>24.8093</v>
      </c>
      <c r="AB145" s="12">
        <v>23.848800000000001</v>
      </c>
      <c r="AC145" s="12">
        <v>24.490300000000001</v>
      </c>
      <c r="AD145" s="12" t="s">
        <v>73</v>
      </c>
    </row>
    <row r="146" spans="1:30" x14ac:dyDescent="0.3">
      <c r="A146" s="13" t="s">
        <v>569</v>
      </c>
      <c r="B146" s="14" t="s">
        <v>714</v>
      </c>
      <c r="C146" t="s">
        <v>326</v>
      </c>
      <c r="D146" s="5" t="s">
        <v>327</v>
      </c>
      <c r="E146" s="12">
        <v>31.6995</v>
      </c>
      <c r="F146" s="12">
        <v>31.860499999999998</v>
      </c>
      <c r="G146" s="12">
        <v>32.519100000000002</v>
      </c>
      <c r="H146" s="12">
        <v>33.056600000000003</v>
      </c>
      <c r="I146" s="12">
        <v>34.2898</v>
      </c>
      <c r="J146" s="12">
        <v>35.219799999999999</v>
      </c>
      <c r="K146" s="12">
        <v>36.396999999999998</v>
      </c>
      <c r="L146" s="12">
        <v>35.594299999999997</v>
      </c>
      <c r="M146" s="12">
        <v>36.906100000000002</v>
      </c>
      <c r="N146" s="12">
        <v>35.961799999999997</v>
      </c>
      <c r="O146" s="12">
        <v>38.049599999999998</v>
      </c>
      <c r="P146" s="12">
        <v>42.330800000000004</v>
      </c>
      <c r="Q146" s="12">
        <v>44.620800000000003</v>
      </c>
      <c r="R146" s="12">
        <v>45.698500000000003</v>
      </c>
      <c r="S146" s="12">
        <v>47.448599999999999</v>
      </c>
      <c r="T146" s="12">
        <v>49.629800000000003</v>
      </c>
      <c r="U146" s="12">
        <v>50.757399999999997</v>
      </c>
      <c r="V146" s="12">
        <v>51.205599999999997</v>
      </c>
      <c r="W146" s="12">
        <v>52.741100000000003</v>
      </c>
      <c r="X146" s="12">
        <v>53.6402</v>
      </c>
      <c r="Y146" s="12">
        <v>54.258499999999998</v>
      </c>
      <c r="Z146" s="12">
        <v>55.290799999999997</v>
      </c>
      <c r="AA146" s="12">
        <v>56.410400000000003</v>
      </c>
      <c r="AB146" s="12">
        <v>56.491700000000002</v>
      </c>
      <c r="AC146" s="12">
        <v>56.752499999999998</v>
      </c>
      <c r="AD146" s="12" t="s">
        <v>73</v>
      </c>
    </row>
    <row r="147" spans="1:30" x14ac:dyDescent="0.3">
      <c r="A147" s="13" t="s">
        <v>569</v>
      </c>
      <c r="B147" s="14" t="s">
        <v>715</v>
      </c>
      <c r="C147" t="s">
        <v>328</v>
      </c>
      <c r="D147" s="5" t="s">
        <v>329</v>
      </c>
      <c r="E147" s="12">
        <v>0.94989999999999997</v>
      </c>
      <c r="F147" s="12">
        <v>0.91700000000000004</v>
      </c>
      <c r="G147" s="12">
        <v>0.90559999999999996</v>
      </c>
      <c r="H147" s="12">
        <v>0.90769999999999995</v>
      </c>
      <c r="I147" s="12">
        <v>0.95730000000000004</v>
      </c>
      <c r="J147" s="12">
        <v>0.90410000000000001</v>
      </c>
      <c r="K147" s="12">
        <v>0.91900000000000004</v>
      </c>
      <c r="L147" s="12">
        <v>0.85819999999999996</v>
      </c>
      <c r="M147" s="12">
        <v>0.85680000000000001</v>
      </c>
      <c r="N147" s="12">
        <v>0.82620000000000005</v>
      </c>
      <c r="O147" s="12">
        <v>0.84540000000000004</v>
      </c>
      <c r="P147" s="12">
        <v>0.87229999999999996</v>
      </c>
      <c r="Q147" s="12">
        <v>0.83789999999999998</v>
      </c>
      <c r="R147" s="12">
        <v>0.8256</v>
      </c>
      <c r="S147" s="12">
        <v>0.84060000000000001</v>
      </c>
      <c r="T147" s="12">
        <v>0.85189999999999999</v>
      </c>
      <c r="U147" s="12">
        <v>0.86219999999999997</v>
      </c>
      <c r="V147" s="12">
        <v>0.86080000000000001</v>
      </c>
      <c r="W147" s="12">
        <v>0.85340000000000005</v>
      </c>
      <c r="X147" s="12">
        <v>0.74139999999999995</v>
      </c>
      <c r="Y147" s="12">
        <v>0.73819999999999997</v>
      </c>
      <c r="Z147" s="12">
        <v>0.65469999999999995</v>
      </c>
      <c r="AA147" s="12">
        <v>0.62470000000000003</v>
      </c>
      <c r="AB147" s="12">
        <v>0.56469999999999998</v>
      </c>
      <c r="AC147" s="12">
        <v>0.50719999999999998</v>
      </c>
      <c r="AD147" s="12" t="s">
        <v>73</v>
      </c>
    </row>
    <row r="148" spans="1:30" x14ac:dyDescent="0.3">
      <c r="A148" s="13" t="s">
        <v>569</v>
      </c>
      <c r="B148" s="14" t="s">
        <v>716</v>
      </c>
      <c r="C148" t="s">
        <v>330</v>
      </c>
      <c r="D148" s="5" t="s">
        <v>331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 t="s">
        <v>73</v>
      </c>
      <c r="AD148" s="12" t="s">
        <v>73</v>
      </c>
    </row>
    <row r="149" spans="1:30" x14ac:dyDescent="0.3">
      <c r="A149" s="13" t="s">
        <v>569</v>
      </c>
      <c r="B149" s="14" t="s">
        <v>717</v>
      </c>
      <c r="C149" t="s">
        <v>31</v>
      </c>
      <c r="D149" s="5" t="s">
        <v>332</v>
      </c>
      <c r="E149" s="12">
        <v>2.9420000000000002</v>
      </c>
      <c r="F149" s="12">
        <v>2.8883999999999999</v>
      </c>
      <c r="G149" s="12">
        <v>2.907</v>
      </c>
      <c r="H149" s="12">
        <v>2.9468000000000001</v>
      </c>
      <c r="I149" s="12">
        <v>2.9281000000000001</v>
      </c>
      <c r="J149" s="12">
        <v>2.8693</v>
      </c>
      <c r="K149" s="12">
        <v>2.8498000000000001</v>
      </c>
      <c r="L149" s="12">
        <v>2.8188</v>
      </c>
      <c r="M149" s="12">
        <v>2.7725</v>
      </c>
      <c r="N149" s="12">
        <v>2.7595000000000001</v>
      </c>
      <c r="O149" s="12">
        <v>2.7566999999999999</v>
      </c>
      <c r="P149" s="12">
        <v>2.7334000000000001</v>
      </c>
      <c r="Q149" s="12">
        <v>2.7483</v>
      </c>
      <c r="R149" s="12">
        <v>2.7391000000000001</v>
      </c>
      <c r="S149" s="12">
        <v>2.7282000000000002</v>
      </c>
      <c r="T149" s="12">
        <v>2.7746</v>
      </c>
      <c r="U149" s="12">
        <v>2.8151999999999999</v>
      </c>
      <c r="V149" s="12">
        <v>2.8323</v>
      </c>
      <c r="W149" s="12">
        <v>2.8132999999999999</v>
      </c>
      <c r="X149" s="12">
        <v>2.7591999999999999</v>
      </c>
      <c r="Y149" s="12">
        <v>2.7568999999999999</v>
      </c>
      <c r="Z149" s="12">
        <v>2.8043</v>
      </c>
      <c r="AA149" s="12">
        <v>2.7818000000000001</v>
      </c>
      <c r="AB149" s="12">
        <v>2.7147000000000001</v>
      </c>
      <c r="AC149" s="12">
        <v>2.7071000000000001</v>
      </c>
      <c r="AD149" s="12" t="s">
        <v>73</v>
      </c>
    </row>
    <row r="150" spans="1:30" x14ac:dyDescent="0.3">
      <c r="A150" s="13" t="s">
        <v>569</v>
      </c>
      <c r="B150" s="14" t="s">
        <v>718</v>
      </c>
      <c r="C150" t="s">
        <v>333</v>
      </c>
      <c r="D150" s="5" t="s">
        <v>334</v>
      </c>
      <c r="E150" s="12">
        <v>0.65769999999999995</v>
      </c>
      <c r="F150" s="12">
        <v>0.6784</v>
      </c>
      <c r="G150" s="12">
        <v>0.6845</v>
      </c>
      <c r="H150" s="12">
        <v>0.70440000000000003</v>
      </c>
      <c r="I150" s="12">
        <v>0.71250000000000002</v>
      </c>
      <c r="J150" s="12">
        <v>0.75309999999999999</v>
      </c>
      <c r="K150" s="12">
        <v>0.76929999999999998</v>
      </c>
      <c r="L150" s="12">
        <v>0.78569999999999995</v>
      </c>
      <c r="M150" s="12">
        <v>0.79949999999999999</v>
      </c>
      <c r="N150" s="12">
        <v>0.81479999999999997</v>
      </c>
      <c r="O150" s="12">
        <v>0.83979999999999999</v>
      </c>
      <c r="P150" s="12">
        <v>0.85670000000000002</v>
      </c>
      <c r="Q150" s="12">
        <v>0.87270000000000003</v>
      </c>
      <c r="R150" s="12">
        <v>1.0973999999999999</v>
      </c>
      <c r="S150" s="12">
        <v>1.1134999999999999</v>
      </c>
      <c r="T150" s="12">
        <v>1.1359999999999999</v>
      </c>
      <c r="U150" s="12">
        <v>1.1583000000000001</v>
      </c>
      <c r="V150" s="12">
        <v>1.1809000000000001</v>
      </c>
      <c r="W150" s="12">
        <v>1.2043999999999999</v>
      </c>
      <c r="X150" s="12">
        <v>1.2282</v>
      </c>
      <c r="Y150" s="12">
        <v>1.2548999999999999</v>
      </c>
      <c r="Z150" s="12">
        <v>1.2797000000000001</v>
      </c>
      <c r="AA150" s="12">
        <v>1.306</v>
      </c>
      <c r="AB150" s="12">
        <v>1.3317000000000001</v>
      </c>
      <c r="AC150" s="12">
        <v>1.3572</v>
      </c>
      <c r="AD150" s="12" t="s">
        <v>73</v>
      </c>
    </row>
    <row r="151" spans="1:30" x14ac:dyDescent="0.3">
      <c r="A151" s="13" t="s">
        <v>569</v>
      </c>
      <c r="B151" s="14" t="s">
        <v>719</v>
      </c>
      <c r="C151" t="s">
        <v>335</v>
      </c>
      <c r="D151" s="5" t="s">
        <v>336</v>
      </c>
      <c r="E151" s="12">
        <v>95.532899999999998</v>
      </c>
      <c r="F151" s="12">
        <v>95.905600000000007</v>
      </c>
      <c r="G151" s="12">
        <v>98.789299999999997</v>
      </c>
      <c r="H151" s="12">
        <v>102.3168</v>
      </c>
      <c r="I151" s="12">
        <v>104.8642</v>
      </c>
      <c r="J151" s="12">
        <v>107.91970000000001</v>
      </c>
      <c r="K151" s="12">
        <v>116.9774</v>
      </c>
      <c r="L151" s="12">
        <v>120.1747</v>
      </c>
      <c r="M151" s="12">
        <v>126.0733</v>
      </c>
      <c r="N151" s="12">
        <v>129.32</v>
      </c>
      <c r="O151" s="12">
        <v>127.51090000000001</v>
      </c>
      <c r="P151" s="12">
        <v>135.4222</v>
      </c>
      <c r="Q151" s="12">
        <v>137.9205</v>
      </c>
      <c r="R151" s="12">
        <v>144.55760000000001</v>
      </c>
      <c r="S151" s="12">
        <v>149.24</v>
      </c>
      <c r="T151" s="12">
        <v>152.8288</v>
      </c>
      <c r="U151" s="12">
        <v>157.19120000000001</v>
      </c>
      <c r="V151" s="12">
        <v>162.84540000000001</v>
      </c>
      <c r="W151" s="12">
        <v>167.0342</v>
      </c>
      <c r="X151" s="12">
        <v>172.9614</v>
      </c>
      <c r="Y151" s="12">
        <v>179.82740000000001</v>
      </c>
      <c r="Z151" s="12">
        <v>186.41</v>
      </c>
      <c r="AA151" s="12">
        <v>188.523</v>
      </c>
      <c r="AB151" s="12">
        <v>197.73660000000001</v>
      </c>
      <c r="AC151" s="12">
        <v>203.86920000000001</v>
      </c>
      <c r="AD151" s="12" t="s">
        <v>73</v>
      </c>
    </row>
    <row r="152" spans="1:30" x14ac:dyDescent="0.3">
      <c r="A152" s="13" t="s">
        <v>569</v>
      </c>
      <c r="B152" s="14" t="s">
        <v>720</v>
      </c>
      <c r="C152" t="s">
        <v>337</v>
      </c>
      <c r="D152" s="5" t="s">
        <v>338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 t="s">
        <v>73</v>
      </c>
      <c r="AD152" s="12" t="s">
        <v>73</v>
      </c>
    </row>
    <row r="153" spans="1:30" x14ac:dyDescent="0.3">
      <c r="A153" s="13" t="s">
        <v>569</v>
      </c>
      <c r="B153" s="14" t="s">
        <v>721</v>
      </c>
      <c r="C153" t="s">
        <v>339</v>
      </c>
      <c r="D153" s="5" t="s">
        <v>340</v>
      </c>
      <c r="E153" s="12">
        <v>2.7597</v>
      </c>
      <c r="F153" s="12">
        <v>3.1185999999999998</v>
      </c>
      <c r="G153" s="12">
        <v>3.1476000000000002</v>
      </c>
      <c r="H153" s="12">
        <v>3.1071</v>
      </c>
      <c r="I153" s="12">
        <v>3.0371000000000001</v>
      </c>
      <c r="J153" s="12">
        <v>3.1536</v>
      </c>
      <c r="K153" s="12">
        <v>3.1619000000000002</v>
      </c>
      <c r="L153" s="12">
        <v>3.0779000000000001</v>
      </c>
      <c r="M153" s="12">
        <v>3.2117</v>
      </c>
      <c r="N153" s="12">
        <v>3.2284999999999999</v>
      </c>
      <c r="O153" s="12">
        <v>3.2597999999999998</v>
      </c>
      <c r="P153" s="12">
        <v>3.4072</v>
      </c>
      <c r="Q153" s="12">
        <v>3.3628999999999998</v>
      </c>
      <c r="R153" s="12">
        <v>3.3855</v>
      </c>
      <c r="S153" s="12">
        <v>3.1907999999999999</v>
      </c>
      <c r="T153" s="12">
        <v>3.0539999999999998</v>
      </c>
      <c r="U153" s="12">
        <v>3.085</v>
      </c>
      <c r="V153" s="12">
        <v>3.0329000000000002</v>
      </c>
      <c r="W153" s="12">
        <v>3.1012</v>
      </c>
      <c r="X153" s="12">
        <v>3.0024000000000002</v>
      </c>
      <c r="Y153" s="12">
        <v>3.0213999999999999</v>
      </c>
      <c r="Z153" s="12">
        <v>3.0249999999999999</v>
      </c>
      <c r="AA153" s="12">
        <v>3.0341</v>
      </c>
      <c r="AB153" s="12">
        <v>3.0489999999999999</v>
      </c>
      <c r="AC153" s="12">
        <v>3.0413999999999999</v>
      </c>
      <c r="AD153" s="12" t="s">
        <v>73</v>
      </c>
    </row>
    <row r="154" spans="1:30" x14ac:dyDescent="0.3">
      <c r="A154" s="13" t="s">
        <v>569</v>
      </c>
      <c r="B154" s="14" t="s">
        <v>722</v>
      </c>
      <c r="C154" t="s">
        <v>341</v>
      </c>
      <c r="D154" s="5" t="s">
        <v>342</v>
      </c>
      <c r="E154" s="12">
        <v>0.35589999999999999</v>
      </c>
      <c r="F154" s="12">
        <v>0.37880000000000003</v>
      </c>
      <c r="G154" s="12">
        <v>0.39450000000000002</v>
      </c>
      <c r="H154" s="12">
        <v>0.39610000000000001</v>
      </c>
      <c r="I154" s="12">
        <v>0.39760000000000001</v>
      </c>
      <c r="J154" s="12">
        <v>0.39910000000000001</v>
      </c>
      <c r="K154" s="12">
        <v>0.4007</v>
      </c>
      <c r="L154" s="12">
        <v>0.4093</v>
      </c>
      <c r="M154" s="12">
        <v>0.40960000000000002</v>
      </c>
      <c r="N154" s="12">
        <v>0.4168</v>
      </c>
      <c r="O154" s="12">
        <v>0.42359999999999998</v>
      </c>
      <c r="P154" s="12">
        <v>0.42949999999999999</v>
      </c>
      <c r="Q154" s="12">
        <v>0.438</v>
      </c>
      <c r="R154" s="12">
        <v>0.42959999999999998</v>
      </c>
      <c r="S154" s="12">
        <v>0.42970000000000003</v>
      </c>
      <c r="T154" s="12">
        <v>0.4304</v>
      </c>
      <c r="U154" s="12">
        <v>0.43140000000000001</v>
      </c>
      <c r="V154" s="12">
        <v>0.43280000000000002</v>
      </c>
      <c r="W154" s="12">
        <v>0.43440000000000001</v>
      </c>
      <c r="X154" s="12">
        <v>0.44440000000000002</v>
      </c>
      <c r="Y154" s="12">
        <v>0.43709999999999999</v>
      </c>
      <c r="Z154" s="12">
        <v>0.44059999999999999</v>
      </c>
      <c r="AA154" s="12">
        <v>0.44440000000000002</v>
      </c>
      <c r="AB154" s="12">
        <v>0.4476</v>
      </c>
      <c r="AC154" s="12">
        <v>0.45029999999999998</v>
      </c>
      <c r="AD154" s="12" t="s">
        <v>73</v>
      </c>
    </row>
    <row r="155" spans="1:30" x14ac:dyDescent="0.3">
      <c r="A155" s="13" t="s">
        <v>569</v>
      </c>
      <c r="B155" s="14" t="s">
        <v>723</v>
      </c>
      <c r="C155" t="s">
        <v>343</v>
      </c>
      <c r="D155" s="5" t="s">
        <v>344</v>
      </c>
      <c r="E155" s="12">
        <v>15.798299999999999</v>
      </c>
      <c r="F155" s="12">
        <v>16.061900000000001</v>
      </c>
      <c r="G155" s="12">
        <v>15.0749</v>
      </c>
      <c r="H155" s="12">
        <v>16.460599999999999</v>
      </c>
      <c r="I155" s="12">
        <v>15.6915</v>
      </c>
      <c r="J155" s="12">
        <v>16.024799999999999</v>
      </c>
      <c r="K155" s="12">
        <v>16.807700000000001</v>
      </c>
      <c r="L155" s="12">
        <v>18.201499999999999</v>
      </c>
      <c r="M155" s="12">
        <v>18.778400000000001</v>
      </c>
      <c r="N155" s="12">
        <v>21.411100000000001</v>
      </c>
      <c r="O155" s="12">
        <v>23.375599999999999</v>
      </c>
      <c r="P155" s="12">
        <v>23.401199999999999</v>
      </c>
      <c r="Q155" s="12">
        <v>24.556999999999999</v>
      </c>
      <c r="R155" s="12">
        <v>24.545500000000001</v>
      </c>
      <c r="S155" s="12">
        <v>26.180800000000001</v>
      </c>
      <c r="T155" s="12">
        <v>25.448699999999999</v>
      </c>
      <c r="U155" s="12">
        <v>24.853100000000001</v>
      </c>
      <c r="V155" s="12">
        <v>24.786899999999999</v>
      </c>
      <c r="W155" s="12">
        <v>24.231100000000001</v>
      </c>
      <c r="X155" s="12">
        <v>24.8154</v>
      </c>
      <c r="Y155" s="12">
        <v>25.322900000000001</v>
      </c>
      <c r="Z155" s="12">
        <v>25.0931</v>
      </c>
      <c r="AA155" s="12">
        <v>24.3704</v>
      </c>
      <c r="AB155" s="12">
        <v>24.344000000000001</v>
      </c>
      <c r="AC155" s="12">
        <v>24.411899999999999</v>
      </c>
      <c r="AD155" s="12" t="s">
        <v>73</v>
      </c>
    </row>
    <row r="156" spans="1:30" x14ac:dyDescent="0.3">
      <c r="A156" s="13" t="s">
        <v>569</v>
      </c>
      <c r="B156" s="14" t="s">
        <v>724</v>
      </c>
      <c r="C156" t="s">
        <v>345</v>
      </c>
      <c r="D156" s="5" t="s">
        <v>346</v>
      </c>
      <c r="E156" s="12">
        <v>12.2941</v>
      </c>
      <c r="F156" s="12">
        <v>12.4171</v>
      </c>
      <c r="G156" s="12">
        <v>12.6793</v>
      </c>
      <c r="H156" s="12">
        <v>12.856</v>
      </c>
      <c r="I156" s="12">
        <v>12.691000000000001</v>
      </c>
      <c r="J156" s="12">
        <v>13.2538</v>
      </c>
      <c r="K156" s="12">
        <v>13.1761</v>
      </c>
      <c r="L156" s="12">
        <v>13.3461</v>
      </c>
      <c r="M156" s="12">
        <v>13.6509</v>
      </c>
      <c r="N156" s="12">
        <v>13.780799999999999</v>
      </c>
      <c r="O156" s="12">
        <v>13.7783</v>
      </c>
      <c r="P156" s="12">
        <v>13.7544</v>
      </c>
      <c r="Q156" s="12">
        <v>13.8017</v>
      </c>
      <c r="R156" s="12">
        <v>13.8017</v>
      </c>
      <c r="S156" s="12">
        <v>13.7501</v>
      </c>
      <c r="T156" s="12">
        <v>13.7902</v>
      </c>
      <c r="U156" s="12">
        <v>13.742800000000001</v>
      </c>
      <c r="V156" s="12">
        <v>13.783799999999999</v>
      </c>
      <c r="W156" s="12">
        <v>13.950699999999999</v>
      </c>
      <c r="X156" s="12">
        <v>13.8477</v>
      </c>
      <c r="Y156" s="12">
        <v>13.911099999999999</v>
      </c>
      <c r="Z156" s="12">
        <v>14.2697</v>
      </c>
      <c r="AA156" s="12">
        <v>14.2745</v>
      </c>
      <c r="AB156" s="12">
        <v>14.3164</v>
      </c>
      <c r="AC156" s="12">
        <v>14.3428</v>
      </c>
      <c r="AD156" s="12" t="s">
        <v>73</v>
      </c>
    </row>
    <row r="157" spans="1:30" x14ac:dyDescent="0.3">
      <c r="A157" s="13" t="s">
        <v>569</v>
      </c>
      <c r="B157" s="14" t="s">
        <v>725</v>
      </c>
      <c r="C157" t="s">
        <v>347</v>
      </c>
      <c r="D157" s="5" t="s">
        <v>348</v>
      </c>
      <c r="E157" s="12">
        <v>36.222499999999997</v>
      </c>
      <c r="F157" s="12">
        <v>37.0961</v>
      </c>
      <c r="G157" s="12">
        <v>37.790900000000001</v>
      </c>
      <c r="H157" s="12">
        <v>38.3628</v>
      </c>
      <c r="I157" s="12">
        <v>39.921399999999998</v>
      </c>
      <c r="J157" s="12">
        <v>39.791200000000003</v>
      </c>
      <c r="K157" s="12">
        <v>40.4848</v>
      </c>
      <c r="L157" s="12">
        <v>41.605899999999998</v>
      </c>
      <c r="M157" s="12">
        <v>42.540199999999999</v>
      </c>
      <c r="N157" s="12">
        <v>42.6173</v>
      </c>
      <c r="O157" s="12">
        <v>41.375900000000001</v>
      </c>
      <c r="P157" s="12">
        <v>41.974600000000002</v>
      </c>
      <c r="Q157" s="12">
        <v>42.953000000000003</v>
      </c>
      <c r="R157" s="12">
        <v>43.296500000000002</v>
      </c>
      <c r="S157" s="12">
        <v>43.468600000000002</v>
      </c>
      <c r="T157" s="12">
        <v>42.8001</v>
      </c>
      <c r="U157" s="12">
        <v>42.286000000000001</v>
      </c>
      <c r="V157" s="12">
        <v>44.2209</v>
      </c>
      <c r="W157" s="12">
        <v>44.094299999999997</v>
      </c>
      <c r="X157" s="12">
        <v>43.302700000000002</v>
      </c>
      <c r="Y157" s="12">
        <v>43.868600000000001</v>
      </c>
      <c r="Z157" s="12">
        <v>44.137700000000002</v>
      </c>
      <c r="AA157" s="12">
        <v>43.744599999999998</v>
      </c>
      <c r="AB157" s="12">
        <v>43.908499999999997</v>
      </c>
      <c r="AC157" s="12">
        <v>43.026499999999999</v>
      </c>
      <c r="AD157" s="12" t="s">
        <v>73</v>
      </c>
    </row>
    <row r="158" spans="1:30" x14ac:dyDescent="0.3">
      <c r="A158" s="13" t="s">
        <v>569</v>
      </c>
      <c r="B158" s="14" t="s">
        <v>726</v>
      </c>
      <c r="C158" t="s">
        <v>32</v>
      </c>
      <c r="D158" s="5" t="s">
        <v>349</v>
      </c>
      <c r="E158" s="12">
        <v>19.461400000000001</v>
      </c>
      <c r="F158" s="12">
        <v>18.7685</v>
      </c>
      <c r="G158" s="12">
        <v>19.5886</v>
      </c>
      <c r="H158" s="12">
        <v>19.116800000000001</v>
      </c>
      <c r="I158" s="12">
        <v>18.5</v>
      </c>
      <c r="J158" s="12">
        <v>18.5428</v>
      </c>
      <c r="K158" s="12">
        <v>19.013300000000001</v>
      </c>
      <c r="L158" s="12">
        <v>19.305599999999998</v>
      </c>
      <c r="M158" s="12">
        <v>18.9849</v>
      </c>
      <c r="N158" s="12">
        <v>18.679500000000001</v>
      </c>
      <c r="O158" s="12">
        <v>19.192499999999999</v>
      </c>
      <c r="P158" s="12">
        <v>18.800999999999998</v>
      </c>
      <c r="Q158" s="12">
        <v>18.390999999999998</v>
      </c>
      <c r="R158" s="12">
        <v>18.532</v>
      </c>
      <c r="S158" s="12">
        <v>18.974699999999999</v>
      </c>
      <c r="T158" s="12">
        <v>19.209599999999998</v>
      </c>
      <c r="U158" s="12">
        <v>19.066400000000002</v>
      </c>
      <c r="V158" s="12">
        <v>19.668600000000001</v>
      </c>
      <c r="W158" s="12">
        <v>19.848600000000001</v>
      </c>
      <c r="X158" s="12">
        <v>19.988099999999999</v>
      </c>
      <c r="Y158" s="12">
        <v>20.154499999999999</v>
      </c>
      <c r="Z158" s="12">
        <v>19.7818</v>
      </c>
      <c r="AA158" s="12">
        <v>19.928899999999999</v>
      </c>
      <c r="AB158" s="12">
        <v>20.0154</v>
      </c>
      <c r="AC158" s="12">
        <v>20.036000000000001</v>
      </c>
      <c r="AD158" s="12" t="s">
        <v>73</v>
      </c>
    </row>
    <row r="159" spans="1:30" x14ac:dyDescent="0.3">
      <c r="A159" s="13" t="s">
        <v>569</v>
      </c>
      <c r="B159" s="14" t="s">
        <v>727</v>
      </c>
      <c r="C159" t="s">
        <v>33</v>
      </c>
      <c r="D159" s="5" t="s">
        <v>350</v>
      </c>
      <c r="E159" s="12">
        <v>5.2222</v>
      </c>
      <c r="F159" s="12">
        <v>4.8792999999999997</v>
      </c>
      <c r="G159" s="12">
        <v>4.8578999999999999</v>
      </c>
      <c r="H159" s="12">
        <v>4.7637999999999998</v>
      </c>
      <c r="I159" s="12">
        <v>4.8437999999999999</v>
      </c>
      <c r="J159" s="12">
        <v>4.8593999999999999</v>
      </c>
      <c r="K159" s="12">
        <v>4.8068</v>
      </c>
      <c r="L159" s="12">
        <v>4.8223000000000003</v>
      </c>
      <c r="M159" s="12">
        <v>4.8026999999999997</v>
      </c>
      <c r="N159" s="12">
        <v>4.7367999999999997</v>
      </c>
      <c r="O159" s="12">
        <v>4.5903</v>
      </c>
      <c r="P159" s="12">
        <v>4.6868999999999996</v>
      </c>
      <c r="Q159" s="12">
        <v>4.6896000000000004</v>
      </c>
      <c r="R159" s="12">
        <v>4.6178999999999997</v>
      </c>
      <c r="S159" s="12">
        <v>4.7961999999999998</v>
      </c>
      <c r="T159" s="12">
        <v>4.9874999999999998</v>
      </c>
      <c r="U159" s="12">
        <v>5.0167000000000002</v>
      </c>
      <c r="V159" s="12">
        <v>5.1559999999999997</v>
      </c>
      <c r="W159" s="12">
        <v>5.1271000000000004</v>
      </c>
      <c r="X159" s="12">
        <v>5.2449000000000003</v>
      </c>
      <c r="Y159" s="12">
        <v>5.3158000000000003</v>
      </c>
      <c r="Z159" s="12">
        <v>5.2587999999999999</v>
      </c>
      <c r="AA159" s="12">
        <v>5.0080999999999998</v>
      </c>
      <c r="AB159" s="12">
        <v>4.9164000000000003</v>
      </c>
      <c r="AC159" s="12">
        <v>4.9242999999999997</v>
      </c>
      <c r="AD159" s="12" t="s">
        <v>73</v>
      </c>
    </row>
    <row r="160" spans="1:30" x14ac:dyDescent="0.3">
      <c r="A160" s="13" t="s">
        <v>569</v>
      </c>
      <c r="B160" s="14" t="s">
        <v>728</v>
      </c>
      <c r="C160" t="s">
        <v>351</v>
      </c>
      <c r="D160" s="5" t="s">
        <v>352</v>
      </c>
      <c r="E160" s="12">
        <v>0.81559999999999999</v>
      </c>
      <c r="F160" s="12">
        <v>0.82110000000000005</v>
      </c>
      <c r="G160" s="12">
        <v>0.81810000000000005</v>
      </c>
      <c r="H160" s="12">
        <v>0.82799999999999996</v>
      </c>
      <c r="I160" s="12">
        <v>0.7651</v>
      </c>
      <c r="J160" s="12">
        <v>0.74580000000000002</v>
      </c>
      <c r="K160" s="12">
        <v>0.72070000000000001</v>
      </c>
      <c r="L160" s="12">
        <v>0.69340000000000002</v>
      </c>
      <c r="M160" s="12">
        <v>0.66420000000000001</v>
      </c>
      <c r="N160" s="12">
        <v>0.63019999999999998</v>
      </c>
      <c r="O160" s="12">
        <v>0.5998</v>
      </c>
      <c r="P160" s="12">
        <v>0.57650000000000001</v>
      </c>
      <c r="Q160" s="12">
        <v>0.53559999999999997</v>
      </c>
      <c r="R160" s="12">
        <v>0.53469999999999995</v>
      </c>
      <c r="S160" s="12">
        <v>0.52249999999999996</v>
      </c>
      <c r="T160" s="12">
        <v>0.51270000000000004</v>
      </c>
      <c r="U160" s="12">
        <v>0.50490000000000002</v>
      </c>
      <c r="V160" s="12">
        <v>0.495</v>
      </c>
      <c r="W160" s="12">
        <v>0.48430000000000001</v>
      </c>
      <c r="X160" s="12">
        <v>0.49149999999999999</v>
      </c>
      <c r="Y160" s="12">
        <v>0.49009999999999998</v>
      </c>
      <c r="Z160" s="12">
        <v>0.48530000000000001</v>
      </c>
      <c r="AA160" s="12">
        <v>0.4869</v>
      </c>
      <c r="AB160" s="12">
        <v>0.46400000000000002</v>
      </c>
      <c r="AC160" s="12">
        <v>0.46</v>
      </c>
      <c r="AD160" s="12" t="s">
        <v>73</v>
      </c>
    </row>
    <row r="161" spans="1:30" x14ac:dyDescent="0.3">
      <c r="A161" s="13" t="s">
        <v>569</v>
      </c>
      <c r="B161" s="14" t="s">
        <v>729</v>
      </c>
      <c r="C161" t="s">
        <v>353</v>
      </c>
      <c r="D161" s="5" t="s">
        <v>354</v>
      </c>
      <c r="E161" s="12">
        <v>0.1487</v>
      </c>
      <c r="F161" s="12">
        <v>0.10199999999999999</v>
      </c>
      <c r="G161" s="12">
        <v>0.1053</v>
      </c>
      <c r="H161" s="12">
        <v>0.1051</v>
      </c>
      <c r="I161" s="12">
        <v>0.1072</v>
      </c>
      <c r="J161" s="12">
        <v>6.9199999999999998E-2</v>
      </c>
      <c r="K161" s="12">
        <v>8.4699999999999998E-2</v>
      </c>
      <c r="L161" s="12">
        <v>0.1</v>
      </c>
      <c r="M161" s="12">
        <v>0.10059999999999999</v>
      </c>
      <c r="N161" s="12">
        <v>0.13819999999999999</v>
      </c>
      <c r="O161" s="12">
        <v>0.14729999999999999</v>
      </c>
      <c r="P161" s="12">
        <v>0.16689999999999999</v>
      </c>
      <c r="Q161" s="12">
        <v>0.18379999999999999</v>
      </c>
      <c r="R161" s="12">
        <v>0.21340000000000001</v>
      </c>
      <c r="S161" s="12">
        <v>0.16819999999999999</v>
      </c>
      <c r="T161" s="12">
        <v>0.28160000000000002</v>
      </c>
      <c r="U161" s="12">
        <v>0.33889999999999998</v>
      </c>
      <c r="V161" s="12">
        <v>0.3735</v>
      </c>
      <c r="W161" s="12">
        <v>0.43280000000000002</v>
      </c>
      <c r="X161" s="12">
        <v>0.4516</v>
      </c>
      <c r="Y161" s="12">
        <v>0.45390000000000003</v>
      </c>
      <c r="Z161" s="12">
        <v>0.42599999999999999</v>
      </c>
      <c r="AA161" s="12">
        <v>0.38179999999999997</v>
      </c>
      <c r="AB161" s="12">
        <v>0.37969999999999998</v>
      </c>
      <c r="AC161" s="12">
        <v>0.36909999999999998</v>
      </c>
      <c r="AD161" s="12" t="s">
        <v>73</v>
      </c>
    </row>
    <row r="162" spans="1:30" x14ac:dyDescent="0.3">
      <c r="A162" s="13" t="s">
        <v>569</v>
      </c>
      <c r="B162" s="14" t="s">
        <v>730</v>
      </c>
      <c r="C162" t="s">
        <v>355</v>
      </c>
      <c r="D162" s="5" t="s">
        <v>356</v>
      </c>
      <c r="E162" s="12">
        <v>10.907299999999999</v>
      </c>
      <c r="F162" s="12">
        <v>10.4977</v>
      </c>
      <c r="G162" s="12">
        <v>10.356400000000001</v>
      </c>
      <c r="H162" s="12">
        <v>10.8019</v>
      </c>
      <c r="I162" s="12">
        <v>11.3024</v>
      </c>
      <c r="J162" s="12">
        <v>10.8286</v>
      </c>
      <c r="K162" s="12">
        <v>11.1281</v>
      </c>
      <c r="L162" s="12">
        <v>11.3935</v>
      </c>
      <c r="M162" s="12">
        <v>11.380699999999999</v>
      </c>
      <c r="N162" s="12">
        <v>11.2369</v>
      </c>
      <c r="O162" s="12">
        <v>10.836499999999999</v>
      </c>
      <c r="P162" s="12">
        <v>9.4641000000000002</v>
      </c>
      <c r="Q162" s="12">
        <v>9.2890999999999995</v>
      </c>
      <c r="R162" s="12">
        <v>9.3915000000000006</v>
      </c>
      <c r="S162" s="12">
        <v>9.4845000000000006</v>
      </c>
      <c r="T162" s="12">
        <v>9.4639000000000006</v>
      </c>
      <c r="U162" s="12">
        <v>9.5797000000000008</v>
      </c>
      <c r="V162" s="12">
        <v>9.4720999999999993</v>
      </c>
      <c r="W162" s="12">
        <v>9.2409999999999997</v>
      </c>
      <c r="X162" s="12">
        <v>9.1318999999999999</v>
      </c>
      <c r="Y162" s="12">
        <v>8.9573</v>
      </c>
      <c r="Z162" s="12">
        <v>8.7472999999999992</v>
      </c>
      <c r="AA162" s="12">
        <v>8.7335999999999991</v>
      </c>
      <c r="AB162" s="12">
        <v>8.6295999999999999</v>
      </c>
      <c r="AC162" s="12">
        <v>8.6199999999999992</v>
      </c>
      <c r="AD162" s="12" t="s">
        <v>73</v>
      </c>
    </row>
    <row r="163" spans="1:30" x14ac:dyDescent="0.3">
      <c r="A163" s="13" t="s">
        <v>569</v>
      </c>
      <c r="B163" s="14" t="s">
        <v>731</v>
      </c>
      <c r="C163" t="s">
        <v>35</v>
      </c>
      <c r="D163" s="5" t="s">
        <v>357</v>
      </c>
      <c r="E163" s="12">
        <v>76.766599999999997</v>
      </c>
      <c r="F163" s="12">
        <v>75.854399999999998</v>
      </c>
      <c r="G163" s="12">
        <v>76.304599999999994</v>
      </c>
      <c r="H163" s="12">
        <v>75.681600000000003</v>
      </c>
      <c r="I163" s="12">
        <v>72.117900000000006</v>
      </c>
      <c r="J163" s="12">
        <v>65.742999999999995</v>
      </c>
      <c r="K163" s="12">
        <v>63.417900000000003</v>
      </c>
      <c r="L163" s="12">
        <v>64.554199999999994</v>
      </c>
      <c r="M163" s="12">
        <v>65.786799999999999</v>
      </c>
      <c r="N163" s="12">
        <v>65.407399999999996</v>
      </c>
      <c r="O163" s="12">
        <v>65.216399999999993</v>
      </c>
      <c r="P163" s="12">
        <v>64.447199999999995</v>
      </c>
      <c r="Q163" s="12">
        <v>65.418899999999994</v>
      </c>
      <c r="R163" s="12">
        <v>65.943299999999994</v>
      </c>
      <c r="S163" s="12">
        <v>65.601100000000002</v>
      </c>
      <c r="T163" s="12">
        <v>65.484399999999994</v>
      </c>
      <c r="U163" s="12">
        <v>64.392499999999998</v>
      </c>
      <c r="V163" s="12">
        <v>63.823700000000002</v>
      </c>
      <c r="W163" s="12">
        <v>63.292400000000001</v>
      </c>
      <c r="X163" s="12">
        <v>62.769799999999996</v>
      </c>
      <c r="Y163" s="12">
        <v>62.818600000000004</v>
      </c>
      <c r="Z163" s="12">
        <v>61.931600000000003</v>
      </c>
      <c r="AA163" s="12">
        <v>61.218400000000003</v>
      </c>
      <c r="AB163" s="12">
        <v>61.204500000000003</v>
      </c>
      <c r="AC163" s="12">
        <v>60.004199999999997</v>
      </c>
      <c r="AD163" s="12" t="s">
        <v>73</v>
      </c>
    </row>
    <row r="164" spans="1:30" x14ac:dyDescent="0.3">
      <c r="A164" s="13" t="s">
        <v>569</v>
      </c>
      <c r="B164" s="14" t="s">
        <v>732</v>
      </c>
      <c r="C164" t="s">
        <v>358</v>
      </c>
      <c r="D164" s="5" t="s">
        <v>359</v>
      </c>
      <c r="E164" s="12">
        <v>0.86280000000000001</v>
      </c>
      <c r="F164" s="12">
        <v>0.94689999999999996</v>
      </c>
      <c r="G164" s="12">
        <v>0.97709999999999997</v>
      </c>
      <c r="H164" s="12">
        <v>1.1451</v>
      </c>
      <c r="I164" s="12">
        <v>1.2386999999999999</v>
      </c>
      <c r="J164" s="12">
        <v>1.3140000000000001</v>
      </c>
      <c r="K164" s="12">
        <v>1.4634</v>
      </c>
      <c r="L164" s="12">
        <v>1.5569999999999999</v>
      </c>
      <c r="M164" s="12">
        <v>1.6640999999999999</v>
      </c>
      <c r="N164" s="12">
        <v>1.7021999999999999</v>
      </c>
      <c r="O164" s="12">
        <v>1.8138000000000001</v>
      </c>
      <c r="P164" s="12">
        <v>1.6999</v>
      </c>
      <c r="Q164" s="12">
        <v>1.6662999999999999</v>
      </c>
      <c r="R164" s="12">
        <v>1.6805000000000001</v>
      </c>
      <c r="S164" s="12">
        <v>1.6692</v>
      </c>
      <c r="T164" s="12">
        <v>1.9262999999999999</v>
      </c>
      <c r="U164" s="12">
        <v>1.7963</v>
      </c>
      <c r="V164" s="12">
        <v>1.8016000000000001</v>
      </c>
      <c r="W164" s="12">
        <v>1.8633999999999999</v>
      </c>
      <c r="X164" s="12">
        <v>1.8880999999999999</v>
      </c>
      <c r="Y164" s="12">
        <v>1.9718</v>
      </c>
      <c r="Z164" s="12">
        <v>1.8543000000000001</v>
      </c>
      <c r="AA164" s="12">
        <v>1.7391000000000001</v>
      </c>
      <c r="AB164" s="12">
        <v>1.7476</v>
      </c>
      <c r="AC164" s="12">
        <v>1.7226999999999999</v>
      </c>
      <c r="AD164" s="12" t="s">
        <v>73</v>
      </c>
    </row>
    <row r="165" spans="1:30" x14ac:dyDescent="0.3">
      <c r="A165" s="13" t="s">
        <v>569</v>
      </c>
      <c r="B165" s="14" t="s">
        <v>733</v>
      </c>
      <c r="C165" t="s">
        <v>360</v>
      </c>
      <c r="D165" s="5" t="s">
        <v>361</v>
      </c>
      <c r="E165" s="12">
        <v>0.1075</v>
      </c>
      <c r="F165" s="12">
        <v>0.1186</v>
      </c>
      <c r="G165" s="12">
        <v>0.1188</v>
      </c>
      <c r="H165" s="12">
        <v>0.1205</v>
      </c>
      <c r="I165" s="12">
        <v>0.1221</v>
      </c>
      <c r="J165" s="12">
        <v>0.12230000000000001</v>
      </c>
      <c r="K165" s="12">
        <v>0.12230000000000001</v>
      </c>
      <c r="L165" s="12">
        <v>0.11600000000000001</v>
      </c>
      <c r="M165" s="12">
        <v>0.11360000000000001</v>
      </c>
      <c r="N165" s="12">
        <v>0.1183</v>
      </c>
      <c r="O165" s="12">
        <v>0.129</v>
      </c>
      <c r="P165" s="12">
        <v>0.13489999999999999</v>
      </c>
      <c r="Q165" s="12">
        <v>0.1384</v>
      </c>
      <c r="R165" s="12">
        <v>0.14080000000000001</v>
      </c>
      <c r="S165" s="12">
        <v>0.14119999999999999</v>
      </c>
      <c r="T165" s="12">
        <v>0.1507</v>
      </c>
      <c r="U165" s="12">
        <v>0.13500000000000001</v>
      </c>
      <c r="V165" s="12">
        <v>0.12570000000000001</v>
      </c>
      <c r="W165" s="12">
        <v>0.1118</v>
      </c>
      <c r="X165" s="12">
        <v>9.3600000000000003E-2</v>
      </c>
      <c r="Y165" s="12">
        <v>8.3299999999999999E-2</v>
      </c>
      <c r="Z165" s="12">
        <v>0.1079</v>
      </c>
      <c r="AA165" s="12">
        <v>0.10290000000000001</v>
      </c>
      <c r="AB165" s="12">
        <v>9.9500000000000005E-2</v>
      </c>
      <c r="AC165" s="12">
        <v>9.7000000000000003E-2</v>
      </c>
      <c r="AD165" s="12" t="s">
        <v>73</v>
      </c>
    </row>
    <row r="166" spans="1:30" x14ac:dyDescent="0.3">
      <c r="A166" s="13" t="s">
        <v>569</v>
      </c>
      <c r="B166" s="14" t="s">
        <v>734</v>
      </c>
      <c r="C166" t="s">
        <v>362</v>
      </c>
      <c r="D166" s="5" t="s">
        <v>363</v>
      </c>
      <c r="E166" s="12" t="s">
        <v>73</v>
      </c>
      <c r="F166" s="12" t="s">
        <v>73</v>
      </c>
      <c r="G166" s="12" t="s">
        <v>73</v>
      </c>
      <c r="H166" s="12" t="s">
        <v>73</v>
      </c>
      <c r="I166" s="12" t="s">
        <v>73</v>
      </c>
      <c r="J166" s="12" t="s">
        <v>73</v>
      </c>
      <c r="K166" s="12" t="s">
        <v>73</v>
      </c>
      <c r="L166" s="12" t="s">
        <v>73</v>
      </c>
      <c r="M166" s="12" t="s">
        <v>73</v>
      </c>
      <c r="N166" s="12" t="s">
        <v>73</v>
      </c>
      <c r="O166" s="12" t="s">
        <v>73</v>
      </c>
      <c r="P166" s="12" t="s">
        <v>73</v>
      </c>
      <c r="Q166" s="12" t="s">
        <v>73</v>
      </c>
      <c r="R166" s="12" t="s">
        <v>73</v>
      </c>
      <c r="S166" s="12" t="s">
        <v>73</v>
      </c>
      <c r="T166" s="12" t="s">
        <v>73</v>
      </c>
      <c r="U166" s="12" t="s">
        <v>73</v>
      </c>
      <c r="V166" s="12" t="s">
        <v>73</v>
      </c>
      <c r="W166" s="12" t="s">
        <v>73</v>
      </c>
      <c r="X166" s="12" t="s">
        <v>73</v>
      </c>
      <c r="Y166" s="12" t="s">
        <v>73</v>
      </c>
      <c r="Z166" s="12" t="s">
        <v>73</v>
      </c>
      <c r="AA166" s="12" t="s">
        <v>73</v>
      </c>
      <c r="AB166" s="12" t="s">
        <v>73</v>
      </c>
      <c r="AC166" s="12" t="s">
        <v>73</v>
      </c>
      <c r="AD166" s="12" t="s">
        <v>73</v>
      </c>
    </row>
    <row r="167" spans="1:30" x14ac:dyDescent="0.3">
      <c r="A167" s="13" t="s">
        <v>569</v>
      </c>
      <c r="B167" s="14" t="s">
        <v>735</v>
      </c>
      <c r="C167" t="s">
        <v>364</v>
      </c>
      <c r="D167" s="5" t="s">
        <v>365</v>
      </c>
      <c r="E167" s="12">
        <v>6.4000000000000003E-3</v>
      </c>
      <c r="F167" s="12">
        <v>6.6E-3</v>
      </c>
      <c r="G167" s="12">
        <v>7.1000000000000004E-3</v>
      </c>
      <c r="H167" s="12">
        <v>7.6E-3</v>
      </c>
      <c r="I167" s="12">
        <v>6.7999999999999996E-3</v>
      </c>
      <c r="J167" s="12">
        <v>6.3E-3</v>
      </c>
      <c r="K167" s="12">
        <v>5.7999999999999996E-3</v>
      </c>
      <c r="L167" s="12">
        <v>5.7000000000000002E-3</v>
      </c>
      <c r="M167" s="12">
        <v>5.7999999999999996E-3</v>
      </c>
      <c r="N167" s="12">
        <v>6.0000000000000001E-3</v>
      </c>
      <c r="O167" s="12">
        <v>5.7000000000000002E-3</v>
      </c>
      <c r="P167" s="12">
        <v>5.5999999999999999E-3</v>
      </c>
      <c r="Q167" s="12">
        <v>5.8999999999999999E-3</v>
      </c>
      <c r="R167" s="12">
        <v>6.4000000000000003E-3</v>
      </c>
      <c r="S167" s="12">
        <v>6.7000000000000002E-3</v>
      </c>
      <c r="T167" s="12">
        <v>6.6E-3</v>
      </c>
      <c r="U167" s="12">
        <v>6.8999999999999999E-3</v>
      </c>
      <c r="V167" s="12">
        <v>7.4000000000000003E-3</v>
      </c>
      <c r="W167" s="12">
        <v>7.1999999999999998E-3</v>
      </c>
      <c r="X167" s="12">
        <v>7.1999999999999998E-3</v>
      </c>
      <c r="Y167" s="12">
        <v>7.3000000000000001E-3</v>
      </c>
      <c r="Z167" s="12">
        <v>7.3000000000000001E-3</v>
      </c>
      <c r="AA167" s="12">
        <v>8.0999999999999996E-3</v>
      </c>
      <c r="AB167" s="12">
        <v>8.0000000000000002E-3</v>
      </c>
      <c r="AC167" s="12">
        <v>8.2000000000000007E-3</v>
      </c>
      <c r="AD167" s="12" t="s">
        <v>73</v>
      </c>
    </row>
    <row r="168" spans="1:30" x14ac:dyDescent="0.3">
      <c r="A168" s="13" t="s">
        <v>569</v>
      </c>
      <c r="B168" s="14" t="s">
        <v>736</v>
      </c>
      <c r="C168" t="s">
        <v>50</v>
      </c>
      <c r="D168" s="5" t="s">
        <v>366</v>
      </c>
      <c r="E168" s="12">
        <v>2.8755000000000002</v>
      </c>
      <c r="F168" s="12">
        <v>2.9413999999999998</v>
      </c>
      <c r="G168" s="12">
        <v>2.9897999999999998</v>
      </c>
      <c r="H168" s="12">
        <v>3.0253000000000001</v>
      </c>
      <c r="I168" s="12">
        <v>3.2513999999999998</v>
      </c>
      <c r="J168" s="12">
        <v>3.3100999999999998</v>
      </c>
      <c r="K168" s="12">
        <v>3.2223000000000002</v>
      </c>
      <c r="L168" s="12">
        <v>3.3403999999999998</v>
      </c>
      <c r="M168" s="12">
        <v>3.0889000000000002</v>
      </c>
      <c r="N168" s="12">
        <v>2.8201000000000001</v>
      </c>
      <c r="O168" s="12">
        <v>3.1779000000000002</v>
      </c>
      <c r="P168" s="12">
        <v>3.4247000000000001</v>
      </c>
      <c r="Q168" s="12">
        <v>3.4910000000000001</v>
      </c>
      <c r="R168" s="12">
        <v>3.9401999999999999</v>
      </c>
      <c r="S168" s="12">
        <v>3.8424</v>
      </c>
      <c r="T168" s="12">
        <v>3.9116</v>
      </c>
      <c r="U168" s="12">
        <v>3.9483999999999999</v>
      </c>
      <c r="V168" s="12">
        <v>3.9857</v>
      </c>
      <c r="W168" s="12">
        <v>3.8914</v>
      </c>
      <c r="X168" s="12">
        <v>4.0933999999999999</v>
      </c>
      <c r="Y168" s="12">
        <v>7.0587999999999997</v>
      </c>
      <c r="Z168" s="12">
        <v>6.9863999999999997</v>
      </c>
      <c r="AA168" s="12">
        <v>8.44</v>
      </c>
      <c r="AB168" s="12">
        <v>7.9204999999999997</v>
      </c>
      <c r="AC168" s="12">
        <v>8.6828000000000003</v>
      </c>
      <c r="AD168" s="12" t="s">
        <v>73</v>
      </c>
    </row>
    <row r="169" spans="1:30" x14ac:dyDescent="0.3">
      <c r="A169" s="13" t="s">
        <v>569</v>
      </c>
      <c r="B169" s="14" t="s">
        <v>737</v>
      </c>
      <c r="C169" t="s">
        <v>367</v>
      </c>
      <c r="D169" s="5" t="s">
        <v>368</v>
      </c>
      <c r="E169" s="12">
        <v>5.0350999999999999</v>
      </c>
      <c r="F169" s="12">
        <v>5.1649000000000003</v>
      </c>
      <c r="G169" s="12">
        <v>5.008</v>
      </c>
      <c r="H169" s="12">
        <v>5.1219000000000001</v>
      </c>
      <c r="I169" s="12">
        <v>5.1410999999999998</v>
      </c>
      <c r="J169" s="12">
        <v>5.2811000000000003</v>
      </c>
      <c r="K169" s="12">
        <v>5.3106</v>
      </c>
      <c r="L169" s="12">
        <v>5.3940999999999999</v>
      </c>
      <c r="M169" s="12">
        <v>5.7389000000000001</v>
      </c>
      <c r="N169" s="12">
        <v>5.9255000000000004</v>
      </c>
      <c r="O169" s="12">
        <v>6.1157000000000004</v>
      </c>
      <c r="P169" s="12">
        <v>6.1559999999999997</v>
      </c>
      <c r="Q169" s="12">
        <v>6.5110999999999999</v>
      </c>
      <c r="R169" s="12">
        <v>6.7614000000000001</v>
      </c>
      <c r="S169" s="12">
        <v>7.0568999999999997</v>
      </c>
      <c r="T169" s="12">
        <v>7.8329000000000004</v>
      </c>
      <c r="U169" s="12">
        <v>8.1225000000000005</v>
      </c>
      <c r="V169" s="12">
        <v>8.3688000000000002</v>
      </c>
      <c r="W169" s="12">
        <v>8.6113999999999997</v>
      </c>
      <c r="X169" s="12">
        <v>8.6204999999999998</v>
      </c>
      <c r="Y169" s="12">
        <v>9.0879999999999992</v>
      </c>
      <c r="Z169" s="12">
        <v>9.0581999999999994</v>
      </c>
      <c r="AA169" s="12">
        <v>9.1852999999999998</v>
      </c>
      <c r="AB169" s="12">
        <v>9.4092000000000002</v>
      </c>
      <c r="AC169" s="12">
        <v>9.3937000000000008</v>
      </c>
      <c r="AD169" s="12" t="s">
        <v>73</v>
      </c>
    </row>
    <row r="170" spans="1:30" x14ac:dyDescent="0.3">
      <c r="A170" s="13" t="s">
        <v>569</v>
      </c>
      <c r="B170" s="14" t="s">
        <v>738</v>
      </c>
      <c r="C170" t="s">
        <v>369</v>
      </c>
      <c r="D170" s="5" t="s">
        <v>370</v>
      </c>
      <c r="E170" s="12" t="s">
        <v>73</v>
      </c>
      <c r="F170" s="12" t="s">
        <v>73</v>
      </c>
      <c r="G170" s="12" t="s">
        <v>73</v>
      </c>
      <c r="H170" s="12" t="s">
        <v>73</v>
      </c>
      <c r="I170" s="12" t="s">
        <v>73</v>
      </c>
      <c r="J170" s="12" t="s">
        <v>73</v>
      </c>
      <c r="K170" s="12" t="s">
        <v>73</v>
      </c>
      <c r="L170" s="12" t="s">
        <v>73</v>
      </c>
      <c r="M170" s="12" t="s">
        <v>73</v>
      </c>
      <c r="N170" s="12" t="s">
        <v>73</v>
      </c>
      <c r="O170" s="12" t="s">
        <v>73</v>
      </c>
      <c r="P170" s="12" t="s">
        <v>73</v>
      </c>
      <c r="Q170" s="12" t="s">
        <v>73</v>
      </c>
      <c r="R170" s="12" t="s">
        <v>73</v>
      </c>
      <c r="S170" s="12" t="s">
        <v>73</v>
      </c>
      <c r="T170" s="12" t="s">
        <v>73</v>
      </c>
      <c r="U170" s="12" t="s">
        <v>73</v>
      </c>
      <c r="V170" s="12" t="s">
        <v>73</v>
      </c>
      <c r="W170" s="12" t="s">
        <v>73</v>
      </c>
      <c r="X170" s="12" t="s">
        <v>73</v>
      </c>
      <c r="Y170" s="12" t="s">
        <v>73</v>
      </c>
      <c r="Z170" s="12" t="s">
        <v>73</v>
      </c>
      <c r="AA170" s="12" t="s">
        <v>73</v>
      </c>
      <c r="AB170" s="12" t="s">
        <v>73</v>
      </c>
      <c r="AC170" s="12" t="s">
        <v>73</v>
      </c>
      <c r="AD170" s="12" t="s">
        <v>73</v>
      </c>
    </row>
    <row r="171" spans="1:30" x14ac:dyDescent="0.3">
      <c r="A171" s="13" t="s">
        <v>569</v>
      </c>
      <c r="B171" s="14" t="s">
        <v>739</v>
      </c>
      <c r="C171" t="s">
        <v>371</v>
      </c>
      <c r="D171" s="5" t="s">
        <v>372</v>
      </c>
      <c r="E171" s="12">
        <v>3.8E-3</v>
      </c>
      <c r="F171" s="12">
        <v>2.8E-3</v>
      </c>
      <c r="G171" s="12">
        <v>3.0000000000000001E-3</v>
      </c>
      <c r="H171" s="12">
        <v>3.0000000000000001E-3</v>
      </c>
      <c r="I171" s="12">
        <v>2.7000000000000001E-3</v>
      </c>
      <c r="J171" s="12">
        <v>2.5000000000000001E-3</v>
      </c>
      <c r="K171" s="12">
        <v>2.3E-3</v>
      </c>
      <c r="L171" s="12">
        <v>2.5000000000000001E-3</v>
      </c>
      <c r="M171" s="12">
        <v>2.0999999999999999E-3</v>
      </c>
      <c r="N171" s="12">
        <v>1.8E-3</v>
      </c>
      <c r="O171" s="12">
        <v>1.6999999999999999E-3</v>
      </c>
      <c r="P171" s="12">
        <v>1.6000000000000001E-3</v>
      </c>
      <c r="Q171" s="12">
        <v>1.6000000000000001E-3</v>
      </c>
      <c r="R171" s="12">
        <v>1.6999999999999999E-3</v>
      </c>
      <c r="S171" s="12">
        <v>1.6999999999999999E-3</v>
      </c>
      <c r="T171" s="12">
        <v>1.6999999999999999E-3</v>
      </c>
      <c r="U171" s="12">
        <v>1.6999999999999999E-3</v>
      </c>
      <c r="V171" s="12">
        <v>1.6999999999999999E-3</v>
      </c>
      <c r="W171" s="12">
        <v>1.8E-3</v>
      </c>
      <c r="X171" s="12">
        <v>1.8E-3</v>
      </c>
      <c r="Y171" s="12">
        <v>2E-3</v>
      </c>
      <c r="Z171" s="12">
        <v>2.3E-3</v>
      </c>
      <c r="AA171" s="12">
        <v>2.3999999999999998E-3</v>
      </c>
      <c r="AB171" s="12">
        <v>2.2000000000000001E-3</v>
      </c>
      <c r="AC171" s="12">
        <v>2.3E-3</v>
      </c>
      <c r="AD171" s="12" t="s">
        <v>73</v>
      </c>
    </row>
    <row r="172" spans="1:30" x14ac:dyDescent="0.3">
      <c r="A172" s="13" t="s">
        <v>569</v>
      </c>
      <c r="B172" s="14" t="s">
        <v>740</v>
      </c>
      <c r="C172" t="s">
        <v>373</v>
      </c>
      <c r="D172" s="5" t="s">
        <v>374</v>
      </c>
      <c r="E172" s="12">
        <v>0.57509999999999994</v>
      </c>
      <c r="F172" s="12">
        <v>0.6048</v>
      </c>
      <c r="G172" s="12">
        <v>0.6966</v>
      </c>
      <c r="H172" s="12">
        <v>0.74309999999999998</v>
      </c>
      <c r="I172" s="12">
        <v>0.85550000000000004</v>
      </c>
      <c r="J172" s="12">
        <v>1.2615000000000001</v>
      </c>
      <c r="K172" s="12">
        <v>1.6169</v>
      </c>
      <c r="L172" s="12">
        <v>1.1951000000000001</v>
      </c>
      <c r="M172" s="12">
        <v>1.3499000000000001</v>
      </c>
      <c r="N172" s="12">
        <v>1.5869</v>
      </c>
      <c r="O172" s="12">
        <v>1.7439</v>
      </c>
      <c r="P172" s="12">
        <v>1.8952</v>
      </c>
      <c r="Q172" s="12">
        <v>2.0341</v>
      </c>
      <c r="R172" s="12">
        <v>2.1086999999999998</v>
      </c>
      <c r="S172" s="12">
        <v>2.1503000000000001</v>
      </c>
      <c r="T172" s="12">
        <v>1.8442000000000001</v>
      </c>
      <c r="U172" s="12">
        <v>1.8642000000000001</v>
      </c>
      <c r="V172" s="12">
        <v>1.8544</v>
      </c>
      <c r="W172" s="12">
        <v>1.8111999999999999</v>
      </c>
      <c r="X172" s="12">
        <v>1.8665</v>
      </c>
      <c r="Y172" s="12">
        <v>1.9466000000000001</v>
      </c>
      <c r="Z172" s="12">
        <v>2.6638999999999999</v>
      </c>
      <c r="AA172" s="12">
        <v>2.1417000000000002</v>
      </c>
      <c r="AB172" s="12">
        <v>2.5874000000000001</v>
      </c>
      <c r="AC172" s="12">
        <v>2.6162000000000001</v>
      </c>
      <c r="AD172" s="12" t="s">
        <v>73</v>
      </c>
    </row>
    <row r="173" spans="1:30" x14ac:dyDescent="0.3">
      <c r="A173" s="13" t="s">
        <v>569</v>
      </c>
      <c r="B173" s="14" t="s">
        <v>741</v>
      </c>
      <c r="C173" t="s">
        <v>375</v>
      </c>
      <c r="D173" s="5" t="s">
        <v>376</v>
      </c>
      <c r="E173" s="12">
        <v>5.4999999999999997E-3</v>
      </c>
      <c r="F173" s="12">
        <v>5.7000000000000002E-3</v>
      </c>
      <c r="G173" s="12">
        <v>6.8999999999999999E-3</v>
      </c>
      <c r="H173" s="12">
        <v>7.4999999999999997E-3</v>
      </c>
      <c r="I173" s="12">
        <v>7.1999999999999998E-3</v>
      </c>
      <c r="J173" s="12">
        <v>7.1999999999999998E-3</v>
      </c>
      <c r="K173" s="12">
        <v>7.1999999999999998E-3</v>
      </c>
      <c r="L173" s="12">
        <v>8.0000000000000002E-3</v>
      </c>
      <c r="M173" s="12">
        <v>8.0000000000000002E-3</v>
      </c>
      <c r="N173" s="12">
        <v>8.5000000000000006E-3</v>
      </c>
      <c r="O173" s="12">
        <v>8.6999999999999994E-3</v>
      </c>
      <c r="P173" s="12">
        <v>8.6999999999999994E-3</v>
      </c>
      <c r="Q173" s="12">
        <v>9.1999999999999998E-3</v>
      </c>
      <c r="R173" s="12">
        <v>9.1999999999999998E-3</v>
      </c>
      <c r="S173" s="12">
        <v>9.1999999999999998E-3</v>
      </c>
      <c r="T173" s="12">
        <v>9.2999999999999992E-3</v>
      </c>
      <c r="U173" s="12">
        <v>9.4999999999999998E-3</v>
      </c>
      <c r="V173" s="12">
        <v>9.5999999999999992E-3</v>
      </c>
      <c r="W173" s="12">
        <v>9.7999999999999997E-3</v>
      </c>
      <c r="X173" s="12">
        <v>0.01</v>
      </c>
      <c r="Y173" s="12">
        <v>1.01E-2</v>
      </c>
      <c r="Z173" s="12">
        <v>1.0200000000000001E-2</v>
      </c>
      <c r="AA173" s="12">
        <v>6.7000000000000002E-3</v>
      </c>
      <c r="AB173" s="12">
        <v>7.7000000000000002E-3</v>
      </c>
      <c r="AC173" s="12">
        <v>7.3000000000000001E-3</v>
      </c>
      <c r="AD173" s="12" t="s">
        <v>73</v>
      </c>
    </row>
    <row r="174" spans="1:30" x14ac:dyDescent="0.3">
      <c r="A174" s="13" t="s">
        <v>569</v>
      </c>
      <c r="B174" s="14" t="s">
        <v>742</v>
      </c>
      <c r="C174" t="s">
        <v>377</v>
      </c>
      <c r="D174" s="5" t="s">
        <v>378</v>
      </c>
      <c r="E174" s="12" t="s">
        <v>73</v>
      </c>
      <c r="F174" s="12" t="s">
        <v>73</v>
      </c>
      <c r="G174" s="12" t="s">
        <v>73</v>
      </c>
      <c r="H174" s="12" t="s">
        <v>73</v>
      </c>
      <c r="I174" s="12" t="s">
        <v>73</v>
      </c>
      <c r="J174" s="12" t="s">
        <v>73</v>
      </c>
      <c r="K174" s="12" t="s">
        <v>73</v>
      </c>
      <c r="L174" s="12" t="s">
        <v>73</v>
      </c>
      <c r="M174" s="12" t="s">
        <v>73</v>
      </c>
      <c r="N174" s="12" t="s">
        <v>73</v>
      </c>
      <c r="O174" s="12" t="s">
        <v>73</v>
      </c>
      <c r="P174" s="12" t="s">
        <v>73</v>
      </c>
      <c r="Q174" s="12" t="s">
        <v>73</v>
      </c>
      <c r="R174" s="12" t="s">
        <v>73</v>
      </c>
      <c r="S174" s="12" t="s">
        <v>73</v>
      </c>
      <c r="T174" s="12" t="s">
        <v>73</v>
      </c>
      <c r="U174" s="12" t="s">
        <v>73</v>
      </c>
      <c r="V174" s="12" t="s">
        <v>73</v>
      </c>
      <c r="W174" s="12" t="s">
        <v>73</v>
      </c>
      <c r="X174" s="12" t="s">
        <v>73</v>
      </c>
      <c r="Y174" s="12" t="s">
        <v>73</v>
      </c>
      <c r="Z174" s="12" t="s">
        <v>73</v>
      </c>
      <c r="AA174" s="12" t="s">
        <v>73</v>
      </c>
      <c r="AB174" s="12" t="s">
        <v>73</v>
      </c>
      <c r="AC174" s="12" t="s">
        <v>73</v>
      </c>
      <c r="AD174" s="12" t="s">
        <v>73</v>
      </c>
    </row>
    <row r="175" spans="1:30" x14ac:dyDescent="0.3">
      <c r="A175" s="13" t="s">
        <v>569</v>
      </c>
      <c r="B175" s="14" t="s">
        <v>743</v>
      </c>
      <c r="C175" t="s">
        <v>36</v>
      </c>
      <c r="D175" s="5" t="s">
        <v>379</v>
      </c>
      <c r="E175" s="12">
        <v>2.415</v>
      </c>
      <c r="F175" s="12">
        <v>2.3950999999999998</v>
      </c>
      <c r="G175" s="12">
        <v>2.3540000000000001</v>
      </c>
      <c r="H175" s="12">
        <v>2.3037999999999998</v>
      </c>
      <c r="I175" s="12">
        <v>2.2374000000000001</v>
      </c>
      <c r="J175" s="12">
        <v>1.9675</v>
      </c>
      <c r="K175" s="12">
        <v>1.9565999999999999</v>
      </c>
      <c r="L175" s="12">
        <v>1.9077999999999999</v>
      </c>
      <c r="M175" s="12">
        <v>1.8491</v>
      </c>
      <c r="N175" s="12">
        <v>1.7746999999999999</v>
      </c>
      <c r="O175" s="12">
        <v>1.7551000000000001</v>
      </c>
      <c r="P175" s="12">
        <v>1.7314000000000001</v>
      </c>
      <c r="Q175" s="12">
        <v>1.7023999999999999</v>
      </c>
      <c r="R175" s="12">
        <v>1.7346999999999999</v>
      </c>
      <c r="S175" s="12">
        <v>1.7036</v>
      </c>
      <c r="T175" s="12">
        <v>1.7004999999999999</v>
      </c>
      <c r="U175" s="12">
        <v>1.6746000000000001</v>
      </c>
      <c r="V175" s="12">
        <v>1.6204000000000001</v>
      </c>
      <c r="W175" s="12">
        <v>1.6081000000000001</v>
      </c>
      <c r="X175" s="12">
        <v>1.5743</v>
      </c>
      <c r="Y175" s="12">
        <v>1.5864</v>
      </c>
      <c r="Z175" s="12">
        <v>1.5224</v>
      </c>
      <c r="AA175" s="12">
        <v>1.4984999999999999</v>
      </c>
      <c r="AB175" s="12">
        <v>1.4894000000000001</v>
      </c>
      <c r="AC175" s="12">
        <v>1.4739</v>
      </c>
      <c r="AD175" s="12" t="s">
        <v>73</v>
      </c>
    </row>
    <row r="176" spans="1:30" x14ac:dyDescent="0.3">
      <c r="A176" s="13" t="s">
        <v>569</v>
      </c>
      <c r="B176" s="14" t="s">
        <v>744</v>
      </c>
      <c r="C176" t="s">
        <v>37</v>
      </c>
      <c r="D176" s="5" t="s">
        <v>380</v>
      </c>
      <c r="E176" s="12">
        <v>1.4771000000000001</v>
      </c>
      <c r="F176" s="12">
        <v>1.5526</v>
      </c>
      <c r="G176" s="12">
        <v>1.5335000000000001</v>
      </c>
      <c r="H176" s="12">
        <v>1.5425</v>
      </c>
      <c r="I176" s="12">
        <v>1.4705999999999999</v>
      </c>
      <c r="J176" s="12">
        <v>1.4605999999999999</v>
      </c>
      <c r="K176" s="12">
        <v>1.4728000000000001</v>
      </c>
      <c r="L176" s="12">
        <v>1.5047999999999999</v>
      </c>
      <c r="M176" s="12">
        <v>1.5720000000000001</v>
      </c>
      <c r="N176" s="12">
        <v>1.5457000000000001</v>
      </c>
      <c r="O176" s="12">
        <v>1.5645</v>
      </c>
      <c r="P176" s="12">
        <v>1.57</v>
      </c>
      <c r="Q176" s="12">
        <v>1.5470999999999999</v>
      </c>
      <c r="R176" s="12">
        <v>1.5448</v>
      </c>
      <c r="S176" s="12">
        <v>1.5443</v>
      </c>
      <c r="T176" s="12">
        <v>1.5629999999999999</v>
      </c>
      <c r="U176" s="12">
        <v>1.6132</v>
      </c>
      <c r="V176" s="12">
        <v>1.6237999999999999</v>
      </c>
      <c r="W176" s="12">
        <v>1.5837000000000001</v>
      </c>
      <c r="X176" s="12">
        <v>1.5992999999999999</v>
      </c>
      <c r="Y176" s="12">
        <v>1.6202000000000001</v>
      </c>
      <c r="Z176" s="12">
        <v>1.6029</v>
      </c>
      <c r="AA176" s="12">
        <v>1.5450999999999999</v>
      </c>
      <c r="AB176" s="12">
        <v>1.5113000000000001</v>
      </c>
      <c r="AC176" s="12">
        <v>1.4966999999999999</v>
      </c>
      <c r="AD176" s="12" t="s">
        <v>73</v>
      </c>
    </row>
    <row r="177" spans="1:30" x14ac:dyDescent="0.3">
      <c r="A177" s="13" t="s">
        <v>569</v>
      </c>
      <c r="B177" s="14" t="s">
        <v>745</v>
      </c>
      <c r="C177" t="s">
        <v>381</v>
      </c>
      <c r="D177" s="5" t="s">
        <v>382</v>
      </c>
      <c r="E177" s="12">
        <v>4.8500000000000001E-2</v>
      </c>
      <c r="F177" s="12">
        <v>4.5699999999999998E-2</v>
      </c>
      <c r="G177" s="12">
        <v>4.5999999999999999E-2</v>
      </c>
      <c r="H177" s="12">
        <v>4.6600000000000003E-2</v>
      </c>
      <c r="I177" s="12">
        <v>4.87E-2</v>
      </c>
      <c r="J177" s="12">
        <v>0.05</v>
      </c>
      <c r="K177" s="12">
        <v>5.0900000000000001E-2</v>
      </c>
      <c r="L177" s="12">
        <v>5.1400000000000001E-2</v>
      </c>
      <c r="M177" s="12">
        <v>5.21E-2</v>
      </c>
      <c r="N177" s="12">
        <v>5.21E-2</v>
      </c>
      <c r="O177" s="12">
        <v>5.21E-2</v>
      </c>
      <c r="P177" s="12">
        <v>5.1999999999999998E-2</v>
      </c>
      <c r="Q177" s="12">
        <v>5.28E-2</v>
      </c>
      <c r="R177" s="12">
        <v>5.3499999999999999E-2</v>
      </c>
      <c r="S177" s="12">
        <v>5.3999999999999999E-2</v>
      </c>
      <c r="T177" s="12">
        <v>5.4199999999999998E-2</v>
      </c>
      <c r="U177" s="12">
        <v>5.4199999999999998E-2</v>
      </c>
      <c r="V177" s="12">
        <v>5.4300000000000001E-2</v>
      </c>
      <c r="W177" s="12">
        <v>5.4300000000000001E-2</v>
      </c>
      <c r="X177" s="12">
        <v>5.4399999999999997E-2</v>
      </c>
      <c r="Y177" s="12">
        <v>5.45E-2</v>
      </c>
      <c r="Z177" s="12">
        <v>5.4600000000000003E-2</v>
      </c>
      <c r="AA177" s="12">
        <v>5.4699999999999999E-2</v>
      </c>
      <c r="AB177" s="12">
        <v>5.5E-2</v>
      </c>
      <c r="AC177" s="12">
        <v>5.5199999999999999E-2</v>
      </c>
      <c r="AD177" s="12" t="s">
        <v>73</v>
      </c>
    </row>
    <row r="178" spans="1:30" x14ac:dyDescent="0.3">
      <c r="A178" s="13" t="s">
        <v>569</v>
      </c>
      <c r="B178" s="14" t="s">
        <v>746</v>
      </c>
      <c r="C178" t="s">
        <v>383</v>
      </c>
      <c r="D178" s="5" t="s">
        <v>384</v>
      </c>
      <c r="E178" s="12">
        <v>18.081</v>
      </c>
      <c r="F178" s="12">
        <v>18.4115</v>
      </c>
      <c r="G178" s="12">
        <v>18.629899999999999</v>
      </c>
      <c r="H178" s="12">
        <v>18.728000000000002</v>
      </c>
      <c r="I178" s="12">
        <v>18.937100000000001</v>
      </c>
      <c r="J178" s="12">
        <v>19.1951</v>
      </c>
      <c r="K178" s="12">
        <v>18.2334</v>
      </c>
      <c r="L178" s="12">
        <v>17.3979</v>
      </c>
      <c r="M178" s="12">
        <v>17.3734</v>
      </c>
      <c r="N178" s="12">
        <v>17.347200000000001</v>
      </c>
      <c r="O178" s="12">
        <v>17.421700000000001</v>
      </c>
      <c r="P178" s="12">
        <v>17.5017</v>
      </c>
      <c r="Q178" s="12">
        <v>17.6677</v>
      </c>
      <c r="R178" s="12">
        <v>17.674399999999999</v>
      </c>
      <c r="S178" s="12">
        <v>17.7758</v>
      </c>
      <c r="T178" s="12">
        <v>17.815799999999999</v>
      </c>
      <c r="U178" s="12">
        <v>17.799199999999999</v>
      </c>
      <c r="V178" s="12">
        <v>17.729199999999999</v>
      </c>
      <c r="W178" s="12">
        <v>17.7986</v>
      </c>
      <c r="X178" s="12">
        <v>17.8005</v>
      </c>
      <c r="Y178" s="12">
        <v>17.863399999999999</v>
      </c>
      <c r="Z178" s="12">
        <v>17.6889</v>
      </c>
      <c r="AA178" s="12">
        <v>17.5411</v>
      </c>
      <c r="AB178" s="12">
        <v>17.6646</v>
      </c>
      <c r="AC178" s="12">
        <v>17.6403</v>
      </c>
      <c r="AD178" s="12" t="s">
        <v>73</v>
      </c>
    </row>
    <row r="179" spans="1:30" x14ac:dyDescent="0.3">
      <c r="A179" s="13" t="s">
        <v>569</v>
      </c>
      <c r="B179" s="14" t="s">
        <v>747</v>
      </c>
      <c r="C179" t="s">
        <v>38</v>
      </c>
      <c r="D179" s="5" t="s">
        <v>385</v>
      </c>
      <c r="E179" s="12">
        <v>25.613800000000001</v>
      </c>
      <c r="F179" s="12">
        <v>25.627700000000001</v>
      </c>
      <c r="G179" s="12">
        <v>25.660900000000002</v>
      </c>
      <c r="H179" s="12">
        <v>25.7135</v>
      </c>
      <c r="I179" s="12">
        <v>25.804500000000001</v>
      </c>
      <c r="J179" s="12">
        <v>26.314</v>
      </c>
      <c r="K179" s="12">
        <v>26.1569</v>
      </c>
      <c r="L179" s="12">
        <v>27.208600000000001</v>
      </c>
      <c r="M179" s="12">
        <v>27.9268</v>
      </c>
      <c r="N179" s="12">
        <v>28.139299999999999</v>
      </c>
      <c r="O179" s="12">
        <v>28.3736</v>
      </c>
      <c r="P179" s="12">
        <v>28.359000000000002</v>
      </c>
      <c r="Q179" s="12">
        <v>28.856999999999999</v>
      </c>
      <c r="R179" s="12">
        <v>28.697800000000001</v>
      </c>
      <c r="S179" s="12">
        <v>28.818300000000001</v>
      </c>
      <c r="T179" s="12">
        <v>28.4057</v>
      </c>
      <c r="U179" s="12">
        <v>27.7318</v>
      </c>
      <c r="V179" s="12">
        <v>27.198899999999998</v>
      </c>
      <c r="W179" s="12">
        <v>26.793900000000001</v>
      </c>
      <c r="X179" s="12">
        <v>26.309899999999999</v>
      </c>
      <c r="Y179" s="12">
        <v>25.910299999999999</v>
      </c>
      <c r="Z179" s="12">
        <v>25.809699999999999</v>
      </c>
      <c r="AA179" s="12">
        <v>25.720300000000002</v>
      </c>
      <c r="AB179" s="12">
        <v>25.769100000000002</v>
      </c>
      <c r="AC179" s="12">
        <v>25.845199999999998</v>
      </c>
      <c r="AD179" s="12" t="s">
        <v>73</v>
      </c>
    </row>
    <row r="180" spans="1:30" x14ac:dyDescent="0.3">
      <c r="A180" s="13" t="s">
        <v>569</v>
      </c>
      <c r="B180" s="14" t="s">
        <v>748</v>
      </c>
      <c r="C180" t="s">
        <v>386</v>
      </c>
      <c r="D180" s="5" t="s">
        <v>387</v>
      </c>
      <c r="E180" s="12" t="s">
        <v>73</v>
      </c>
      <c r="F180" s="12" t="s">
        <v>73</v>
      </c>
      <c r="G180" s="12" t="s">
        <v>73</v>
      </c>
      <c r="H180" s="12" t="s">
        <v>73</v>
      </c>
      <c r="I180" s="12" t="s">
        <v>73</v>
      </c>
      <c r="J180" s="12" t="s">
        <v>73</v>
      </c>
      <c r="K180" s="12" t="s">
        <v>73</v>
      </c>
      <c r="L180" s="12" t="s">
        <v>73</v>
      </c>
      <c r="M180" s="12" t="s">
        <v>73</v>
      </c>
      <c r="N180" s="12" t="s">
        <v>73</v>
      </c>
      <c r="O180" s="12" t="s">
        <v>73</v>
      </c>
      <c r="P180" s="12" t="s">
        <v>73</v>
      </c>
      <c r="Q180" s="12" t="s">
        <v>73</v>
      </c>
      <c r="R180" s="12" t="s">
        <v>73</v>
      </c>
      <c r="S180" s="12" t="s">
        <v>73</v>
      </c>
      <c r="T180" s="12" t="s">
        <v>73</v>
      </c>
      <c r="U180" s="12" t="s">
        <v>73</v>
      </c>
      <c r="V180" s="12" t="s">
        <v>73</v>
      </c>
      <c r="W180" s="12" t="s">
        <v>73</v>
      </c>
      <c r="X180" s="12" t="s">
        <v>73</v>
      </c>
      <c r="Y180" s="12" t="s">
        <v>73</v>
      </c>
      <c r="Z180" s="12" t="s">
        <v>73</v>
      </c>
      <c r="AA180" s="12" t="s">
        <v>73</v>
      </c>
      <c r="AB180" s="12" t="s">
        <v>73</v>
      </c>
      <c r="AC180" s="12" t="s">
        <v>73</v>
      </c>
      <c r="AD180" s="12" t="s">
        <v>73</v>
      </c>
    </row>
    <row r="181" spans="1:30" x14ac:dyDescent="0.3">
      <c r="A181" s="13" t="s">
        <v>569</v>
      </c>
      <c r="B181" s="14" t="s">
        <v>749</v>
      </c>
      <c r="C181" t="s">
        <v>39</v>
      </c>
      <c r="D181" s="5" t="s">
        <v>388</v>
      </c>
      <c r="E181" s="12">
        <v>26.9678</v>
      </c>
      <c r="F181" s="12">
        <v>27.408000000000001</v>
      </c>
      <c r="G181" s="12">
        <v>27.8965</v>
      </c>
      <c r="H181" s="12">
        <v>28.019300000000001</v>
      </c>
      <c r="I181" s="12">
        <v>28.189299999999999</v>
      </c>
      <c r="J181" s="12">
        <v>27.442499999999999</v>
      </c>
      <c r="K181" s="12">
        <v>27.091100000000001</v>
      </c>
      <c r="L181" s="12">
        <v>27.75</v>
      </c>
      <c r="M181" s="12">
        <v>26.195599999999999</v>
      </c>
      <c r="N181" s="12">
        <v>26.515699999999999</v>
      </c>
      <c r="O181" s="12">
        <v>26.014500000000002</v>
      </c>
      <c r="P181" s="12">
        <v>25.376000000000001</v>
      </c>
      <c r="Q181" s="12">
        <v>24.944500000000001</v>
      </c>
      <c r="R181" s="12">
        <v>25.029599999999999</v>
      </c>
      <c r="S181" s="12">
        <v>25.805</v>
      </c>
      <c r="T181" s="12">
        <v>26.967400000000001</v>
      </c>
      <c r="U181" s="12">
        <v>27.116299999999999</v>
      </c>
      <c r="V181" s="12">
        <v>27.457599999999999</v>
      </c>
      <c r="W181" s="12">
        <v>27.814499999999999</v>
      </c>
      <c r="X181" s="12">
        <v>27.982299999999999</v>
      </c>
      <c r="Y181" s="12">
        <v>28.439900000000002</v>
      </c>
      <c r="Z181" s="12">
        <v>28.634799999999998</v>
      </c>
      <c r="AA181" s="12">
        <v>28.082699999999999</v>
      </c>
      <c r="AB181" s="12">
        <v>27.471299999999999</v>
      </c>
      <c r="AC181" s="12">
        <v>27.330200000000001</v>
      </c>
      <c r="AD181" s="12" t="s">
        <v>73</v>
      </c>
    </row>
    <row r="182" spans="1:30" x14ac:dyDescent="0.3">
      <c r="A182" s="13" t="s">
        <v>569</v>
      </c>
      <c r="B182" s="14" t="s">
        <v>750</v>
      </c>
      <c r="C182" t="s">
        <v>389</v>
      </c>
      <c r="D182" s="5" t="s">
        <v>390</v>
      </c>
      <c r="E182" s="12">
        <v>4.5012999999999996</v>
      </c>
      <c r="F182" s="12">
        <v>4.2824999999999998</v>
      </c>
      <c r="G182" s="12">
        <v>4.3715000000000002</v>
      </c>
      <c r="H182" s="12">
        <v>4.6696999999999997</v>
      </c>
      <c r="I182" s="12">
        <v>4.1662999999999997</v>
      </c>
      <c r="J182" s="12">
        <v>4.8022999999999998</v>
      </c>
      <c r="K182" s="12">
        <v>4.8244999999999996</v>
      </c>
      <c r="L182" s="12">
        <v>4.5894000000000004</v>
      </c>
      <c r="M182" s="12">
        <v>5.3132999999999999</v>
      </c>
      <c r="N182" s="12">
        <v>5.0162000000000004</v>
      </c>
      <c r="O182" s="12">
        <v>5.5499000000000001</v>
      </c>
      <c r="P182" s="12">
        <v>5.5549999999999997</v>
      </c>
      <c r="Q182" s="12">
        <v>5.5568999999999997</v>
      </c>
      <c r="R182" s="12">
        <v>5.8667999999999996</v>
      </c>
      <c r="S182" s="12">
        <v>4.7089999999999996</v>
      </c>
      <c r="T182" s="12">
        <v>5.7698</v>
      </c>
      <c r="U182" s="12">
        <v>5.2773000000000003</v>
      </c>
      <c r="V182" s="12">
        <v>4.1333000000000002</v>
      </c>
      <c r="W182" s="12">
        <v>5.2119999999999997</v>
      </c>
      <c r="X182" s="12">
        <v>5.0349000000000004</v>
      </c>
      <c r="Y182" s="12">
        <v>5.4707999999999997</v>
      </c>
      <c r="Z182" s="12">
        <v>5.6974</v>
      </c>
      <c r="AA182" s="12">
        <v>5.3636999999999997</v>
      </c>
      <c r="AB182" s="12">
        <v>5.5031999999999996</v>
      </c>
      <c r="AC182" s="12">
        <v>5.5701999999999998</v>
      </c>
      <c r="AD182" s="12" t="s">
        <v>73</v>
      </c>
    </row>
    <row r="183" spans="1:30" x14ac:dyDescent="0.3">
      <c r="A183" s="13" t="s">
        <v>569</v>
      </c>
      <c r="B183" s="14" t="s">
        <v>751</v>
      </c>
      <c r="C183" t="s">
        <v>391</v>
      </c>
      <c r="D183" s="5" t="s">
        <v>392</v>
      </c>
      <c r="E183" s="12">
        <v>1.26E-2</v>
      </c>
      <c r="F183" s="12">
        <v>1.2500000000000001E-2</v>
      </c>
      <c r="G183" s="12">
        <v>1.2500000000000001E-2</v>
      </c>
      <c r="H183" s="12">
        <v>1.2500000000000001E-2</v>
      </c>
      <c r="I183" s="12">
        <v>1.2999999999999999E-2</v>
      </c>
      <c r="J183" s="12">
        <v>1.26E-2</v>
      </c>
      <c r="K183" s="12">
        <v>1.15E-2</v>
      </c>
      <c r="L183" s="12">
        <v>1.23E-2</v>
      </c>
      <c r="M183" s="12">
        <v>1.3299999999999999E-2</v>
      </c>
      <c r="N183" s="12">
        <v>1.32E-2</v>
      </c>
      <c r="O183" s="12">
        <v>1.2999999999999999E-2</v>
      </c>
      <c r="P183" s="12">
        <v>1.2800000000000001E-2</v>
      </c>
      <c r="Q183" s="12">
        <v>6.6E-3</v>
      </c>
      <c r="R183" s="12">
        <v>6.1999999999999998E-3</v>
      </c>
      <c r="S183" s="12">
        <v>5.1000000000000004E-3</v>
      </c>
      <c r="T183" s="12">
        <v>5.7000000000000002E-3</v>
      </c>
      <c r="U183" s="12">
        <v>5.3E-3</v>
      </c>
      <c r="V183" s="12">
        <v>5.3E-3</v>
      </c>
      <c r="W183" s="12">
        <v>5.5999999999999999E-3</v>
      </c>
      <c r="X183" s="12">
        <v>5.7999999999999996E-3</v>
      </c>
      <c r="Y183" s="12">
        <v>5.8999999999999999E-3</v>
      </c>
      <c r="Z183" s="12">
        <v>0.01</v>
      </c>
      <c r="AA183" s="12">
        <v>1.5100000000000001E-2</v>
      </c>
      <c r="AB183" s="12">
        <v>1.0200000000000001E-2</v>
      </c>
      <c r="AC183" s="12">
        <v>1.11E-2</v>
      </c>
      <c r="AD183" s="12" t="s">
        <v>73</v>
      </c>
    </row>
    <row r="184" spans="1:30" x14ac:dyDescent="0.3">
      <c r="A184" s="13" t="s">
        <v>569</v>
      </c>
      <c r="B184" s="14" t="s">
        <v>752</v>
      </c>
      <c r="C184" t="s">
        <v>393</v>
      </c>
      <c r="D184" s="5" t="s">
        <v>394</v>
      </c>
      <c r="E184" s="12">
        <v>2.12E-2</v>
      </c>
      <c r="F184" s="12">
        <v>2.1299999999999999E-2</v>
      </c>
      <c r="G184" s="12">
        <v>2.1700000000000001E-2</v>
      </c>
      <c r="H184" s="12">
        <v>2.1700000000000001E-2</v>
      </c>
      <c r="I184" s="12">
        <v>2.2100000000000002E-2</v>
      </c>
      <c r="J184" s="12">
        <v>2.1999999999999999E-2</v>
      </c>
      <c r="K184" s="12">
        <v>2.1999999999999999E-2</v>
      </c>
      <c r="L184" s="12">
        <v>2.2100000000000002E-2</v>
      </c>
      <c r="M184" s="12">
        <v>2.24E-2</v>
      </c>
      <c r="N184" s="12">
        <v>2.2700000000000001E-2</v>
      </c>
      <c r="O184" s="12">
        <v>2.2599999999999999E-2</v>
      </c>
      <c r="P184" s="12">
        <v>2.2700000000000001E-2</v>
      </c>
      <c r="Q184" s="12">
        <v>2.2700000000000001E-2</v>
      </c>
      <c r="R184" s="12">
        <v>2.29E-2</v>
      </c>
      <c r="S184" s="12">
        <v>2.35E-2</v>
      </c>
      <c r="T184" s="12">
        <v>2.3300000000000001E-2</v>
      </c>
      <c r="U184" s="12">
        <v>2.3E-2</v>
      </c>
      <c r="V184" s="12">
        <v>2.3E-2</v>
      </c>
      <c r="W184" s="12">
        <v>2.2800000000000001E-2</v>
      </c>
      <c r="X184" s="12">
        <v>2.29E-2</v>
      </c>
      <c r="Y184" s="12">
        <v>2.29E-2</v>
      </c>
      <c r="Z184" s="12">
        <v>2.2700000000000001E-2</v>
      </c>
      <c r="AA184" s="12">
        <v>2.2800000000000001E-2</v>
      </c>
      <c r="AB184" s="12">
        <v>2.24E-2</v>
      </c>
      <c r="AC184" s="12">
        <v>2.23E-2</v>
      </c>
      <c r="AD184" s="12" t="s">
        <v>73</v>
      </c>
    </row>
    <row r="185" spans="1:30" x14ac:dyDescent="0.3">
      <c r="A185" s="13" t="s">
        <v>569</v>
      </c>
      <c r="B185" s="14" t="s">
        <v>753</v>
      </c>
      <c r="C185" t="s">
        <v>395</v>
      </c>
      <c r="D185" s="5" t="s">
        <v>396</v>
      </c>
      <c r="E185" s="12" t="s">
        <v>73</v>
      </c>
      <c r="F185" s="12" t="s">
        <v>73</v>
      </c>
      <c r="G185" s="12" t="s">
        <v>73</v>
      </c>
      <c r="H185" s="12" t="s">
        <v>73</v>
      </c>
      <c r="I185" s="12" t="s">
        <v>73</v>
      </c>
      <c r="J185" s="12" t="s">
        <v>73</v>
      </c>
      <c r="K185" s="12" t="s">
        <v>73</v>
      </c>
      <c r="L185" s="12" t="s">
        <v>73</v>
      </c>
      <c r="M185" s="12" t="s">
        <v>73</v>
      </c>
      <c r="N185" s="12" t="s">
        <v>73</v>
      </c>
      <c r="O185" s="12" t="s">
        <v>73</v>
      </c>
      <c r="P185" s="12" t="s">
        <v>73</v>
      </c>
      <c r="Q185" s="12" t="s">
        <v>73</v>
      </c>
      <c r="R185" s="12" t="s">
        <v>73</v>
      </c>
      <c r="S185" s="12" t="s">
        <v>73</v>
      </c>
      <c r="T185" s="12" t="s">
        <v>73</v>
      </c>
      <c r="U185" s="12" t="s">
        <v>73</v>
      </c>
      <c r="V185" s="12" t="s">
        <v>73</v>
      </c>
      <c r="W185" s="12" t="s">
        <v>73</v>
      </c>
      <c r="X185" s="12" t="s">
        <v>73</v>
      </c>
      <c r="Y185" s="12" t="s">
        <v>73</v>
      </c>
      <c r="Z185" s="12" t="s">
        <v>73</v>
      </c>
      <c r="AA185" s="12" t="s">
        <v>73</v>
      </c>
      <c r="AB185" s="12" t="s">
        <v>73</v>
      </c>
      <c r="AC185" s="12" t="s">
        <v>73</v>
      </c>
      <c r="AD185" s="12" t="s">
        <v>73</v>
      </c>
    </row>
    <row r="186" spans="1:30" x14ac:dyDescent="0.3">
      <c r="A186" s="13" t="s">
        <v>569</v>
      </c>
      <c r="B186" s="14" t="s">
        <v>754</v>
      </c>
      <c r="C186" t="s">
        <v>397</v>
      </c>
      <c r="D186" s="5" t="s">
        <v>398</v>
      </c>
      <c r="E186" s="12">
        <v>1.37E-2</v>
      </c>
      <c r="F186" s="12">
        <v>1.34E-2</v>
      </c>
      <c r="G186" s="12">
        <v>1.29E-2</v>
      </c>
      <c r="H186" s="12">
        <v>1.21E-2</v>
      </c>
      <c r="I186" s="12">
        <v>1.21E-2</v>
      </c>
      <c r="J186" s="12">
        <v>1.2200000000000001E-2</v>
      </c>
      <c r="K186" s="12">
        <v>1.26E-2</v>
      </c>
      <c r="L186" s="12">
        <v>1.32E-2</v>
      </c>
      <c r="M186" s="12">
        <v>1.35E-2</v>
      </c>
      <c r="N186" s="12">
        <v>1.41E-2</v>
      </c>
      <c r="O186" s="12">
        <v>1.43E-2</v>
      </c>
      <c r="P186" s="12">
        <v>1.4E-2</v>
      </c>
      <c r="Q186" s="12">
        <v>1.2999999999999999E-2</v>
      </c>
      <c r="R186" s="12">
        <v>1.12E-2</v>
      </c>
      <c r="S186" s="12">
        <v>1.03E-2</v>
      </c>
      <c r="T186" s="12">
        <v>9.7999999999999997E-3</v>
      </c>
      <c r="U186" s="12">
        <v>9.4000000000000004E-3</v>
      </c>
      <c r="V186" s="12">
        <v>8.9999999999999993E-3</v>
      </c>
      <c r="W186" s="12">
        <v>8.6E-3</v>
      </c>
      <c r="X186" s="12">
        <v>8.5000000000000006E-3</v>
      </c>
      <c r="Y186" s="12">
        <v>8.0999999999999996E-3</v>
      </c>
      <c r="Z186" s="12">
        <v>7.9000000000000008E-3</v>
      </c>
      <c r="AA186" s="12">
        <v>7.6E-3</v>
      </c>
      <c r="AB186" s="12">
        <v>7.4999999999999997E-3</v>
      </c>
      <c r="AC186" s="12">
        <v>7.3000000000000001E-3</v>
      </c>
      <c r="AD186" s="12" t="s">
        <v>73</v>
      </c>
    </row>
    <row r="187" spans="1:30" x14ac:dyDescent="0.3">
      <c r="A187" s="13" t="s">
        <v>569</v>
      </c>
      <c r="B187" s="14" t="s">
        <v>755</v>
      </c>
      <c r="C187" t="s">
        <v>399</v>
      </c>
      <c r="D187" s="5" t="s">
        <v>400</v>
      </c>
      <c r="E187" s="12">
        <v>52.6509</v>
      </c>
      <c r="F187" s="12">
        <v>54.872900000000001</v>
      </c>
      <c r="G187" s="12">
        <v>55.640700000000002</v>
      </c>
      <c r="H187" s="12">
        <v>58.202599999999997</v>
      </c>
      <c r="I187" s="12">
        <v>59.009900000000002</v>
      </c>
      <c r="J187" s="12">
        <v>60.479599999999998</v>
      </c>
      <c r="K187" s="12">
        <v>61.119700000000002</v>
      </c>
      <c r="L187" s="12">
        <v>61.707900000000002</v>
      </c>
      <c r="M187" s="12">
        <v>62.058999999999997</v>
      </c>
      <c r="N187" s="12">
        <v>62.319499999999998</v>
      </c>
      <c r="O187" s="12">
        <v>62.535899999999998</v>
      </c>
      <c r="P187" s="12">
        <v>60.189100000000003</v>
      </c>
      <c r="Q187" s="12">
        <v>62.353299999999997</v>
      </c>
      <c r="R187" s="12">
        <v>62.401200000000003</v>
      </c>
      <c r="S187" s="12">
        <v>62.463000000000001</v>
      </c>
      <c r="T187" s="12">
        <v>62.509700000000002</v>
      </c>
      <c r="U187" s="12">
        <v>62.746600000000001</v>
      </c>
      <c r="V187" s="12">
        <v>63.100700000000003</v>
      </c>
      <c r="W187" s="12">
        <v>65.113399999999999</v>
      </c>
      <c r="X187" s="12">
        <v>65.467600000000004</v>
      </c>
      <c r="Y187" s="12">
        <v>66.010000000000005</v>
      </c>
      <c r="Z187" s="12">
        <v>65.563900000000004</v>
      </c>
      <c r="AA187" s="12">
        <v>66.3904</v>
      </c>
      <c r="AB187" s="12">
        <v>64.924499999999995</v>
      </c>
      <c r="AC187" s="12">
        <v>64.905000000000001</v>
      </c>
      <c r="AD187" s="12" t="s">
        <v>73</v>
      </c>
    </row>
    <row r="188" spans="1:30" x14ac:dyDescent="0.3">
      <c r="A188" s="13" t="s">
        <v>569</v>
      </c>
      <c r="B188" s="14" t="s">
        <v>756</v>
      </c>
      <c r="C188" t="s">
        <v>401</v>
      </c>
      <c r="D188" s="5" t="s">
        <v>402</v>
      </c>
      <c r="E188" s="12">
        <v>0.53659999999999997</v>
      </c>
      <c r="F188" s="12">
        <v>0.58550000000000002</v>
      </c>
      <c r="G188" s="12">
        <v>0.42920000000000003</v>
      </c>
      <c r="H188" s="12">
        <v>0.52829999999999999</v>
      </c>
      <c r="I188" s="12">
        <v>0.49859999999999999</v>
      </c>
      <c r="J188" s="12">
        <v>0.46360000000000001</v>
      </c>
      <c r="K188" s="12">
        <v>0.4763</v>
      </c>
      <c r="L188" s="12">
        <v>0.46210000000000001</v>
      </c>
      <c r="M188" s="12">
        <v>0.48039999999999999</v>
      </c>
      <c r="N188" s="12">
        <v>0.58909999999999996</v>
      </c>
      <c r="O188" s="12">
        <v>0.58830000000000005</v>
      </c>
      <c r="P188" s="12">
        <v>0.61419999999999997</v>
      </c>
      <c r="Q188" s="12">
        <v>0.57569999999999999</v>
      </c>
      <c r="R188" s="12">
        <v>0.62939999999999996</v>
      </c>
      <c r="S188" s="12">
        <v>0.65080000000000005</v>
      </c>
      <c r="T188" s="12">
        <v>0.63039999999999996</v>
      </c>
      <c r="U188" s="12">
        <v>0.65620000000000001</v>
      </c>
      <c r="V188" s="12">
        <v>0.6401</v>
      </c>
      <c r="W188" s="12">
        <v>0.60750000000000004</v>
      </c>
      <c r="X188" s="12">
        <v>0.63600000000000001</v>
      </c>
      <c r="Y188" s="12">
        <v>0.60709999999999997</v>
      </c>
      <c r="Z188" s="12">
        <v>0.60850000000000004</v>
      </c>
      <c r="AA188" s="12">
        <v>0.50329999999999997</v>
      </c>
      <c r="AB188" s="12">
        <v>0.50629999999999997</v>
      </c>
      <c r="AC188" s="12">
        <v>0.50549999999999995</v>
      </c>
      <c r="AD188" s="12" t="s">
        <v>73</v>
      </c>
    </row>
    <row r="189" spans="1:30" x14ac:dyDescent="0.3">
      <c r="A189" s="13" t="s">
        <v>569</v>
      </c>
      <c r="B189" s="14" t="s">
        <v>757</v>
      </c>
      <c r="C189" t="s">
        <v>40</v>
      </c>
      <c r="D189" s="5" t="s">
        <v>403</v>
      </c>
      <c r="E189" s="12">
        <v>4.4340000000000002</v>
      </c>
      <c r="F189" s="12">
        <v>4.3894000000000002</v>
      </c>
      <c r="G189" s="12">
        <v>4.3536000000000001</v>
      </c>
      <c r="H189" s="12">
        <v>4.3205</v>
      </c>
      <c r="I189" s="12">
        <v>4.3619000000000003</v>
      </c>
      <c r="J189" s="12">
        <v>4.3314000000000004</v>
      </c>
      <c r="K189" s="12">
        <v>4.2754000000000003</v>
      </c>
      <c r="L189" s="12">
        <v>4.1875</v>
      </c>
      <c r="M189" s="12">
        <v>4.2186000000000003</v>
      </c>
      <c r="N189" s="12">
        <v>4.1757</v>
      </c>
      <c r="O189" s="12">
        <v>4.1738</v>
      </c>
      <c r="P189" s="12">
        <v>4.157</v>
      </c>
      <c r="Q189" s="12">
        <v>4.1273999999999997</v>
      </c>
      <c r="R189" s="12">
        <v>4.1249000000000002</v>
      </c>
      <c r="S189" s="12">
        <v>4.1162999999999998</v>
      </c>
      <c r="T189" s="12">
        <v>4.0248999999999997</v>
      </c>
      <c r="U189" s="12">
        <v>4.0278</v>
      </c>
      <c r="V189" s="12">
        <v>4.0453000000000001</v>
      </c>
      <c r="W189" s="12">
        <v>4.0087000000000002</v>
      </c>
      <c r="X189" s="12">
        <v>3.9131</v>
      </c>
      <c r="Y189" s="12">
        <v>3.8755000000000002</v>
      </c>
      <c r="Z189" s="12">
        <v>3.8643000000000001</v>
      </c>
      <c r="AA189" s="12">
        <v>3.8668999999999998</v>
      </c>
      <c r="AB189" s="12">
        <v>3.7974000000000001</v>
      </c>
      <c r="AC189" s="12">
        <v>3.7938999999999998</v>
      </c>
      <c r="AD189" s="12" t="s">
        <v>73</v>
      </c>
    </row>
    <row r="190" spans="1:30" x14ac:dyDescent="0.3">
      <c r="A190" s="13" t="s">
        <v>569</v>
      </c>
      <c r="B190" s="14" t="s">
        <v>758</v>
      </c>
      <c r="C190" t="s">
        <v>41</v>
      </c>
      <c r="D190" s="5" t="s">
        <v>404</v>
      </c>
      <c r="E190" s="12">
        <v>4.1856</v>
      </c>
      <c r="F190" s="12">
        <v>4.2378999999999998</v>
      </c>
      <c r="G190" s="12">
        <v>4.2092999999999998</v>
      </c>
      <c r="H190" s="12">
        <v>4.1532999999999998</v>
      </c>
      <c r="I190" s="12">
        <v>4.0856000000000003</v>
      </c>
      <c r="J190" s="12">
        <v>4.1078000000000001</v>
      </c>
      <c r="K190" s="12">
        <v>4.1326000000000001</v>
      </c>
      <c r="L190" s="12">
        <v>4.1342999999999996</v>
      </c>
      <c r="M190" s="12">
        <v>4.2260999999999997</v>
      </c>
      <c r="N190" s="12">
        <v>4.1588000000000003</v>
      </c>
      <c r="O190" s="12">
        <v>4.1787999999999998</v>
      </c>
      <c r="P190" s="12">
        <v>4.1467999999999998</v>
      </c>
      <c r="Q190" s="12">
        <v>4.12</v>
      </c>
      <c r="R190" s="12">
        <v>4.2428999999999997</v>
      </c>
      <c r="S190" s="12">
        <v>4.2747000000000002</v>
      </c>
      <c r="T190" s="12">
        <v>4.2354000000000003</v>
      </c>
      <c r="U190" s="12">
        <v>4.2050000000000001</v>
      </c>
      <c r="V190" s="12">
        <v>4.1856</v>
      </c>
      <c r="W190" s="12">
        <v>4.1835000000000004</v>
      </c>
      <c r="X190" s="12">
        <v>4.1003999999999996</v>
      </c>
      <c r="Y190" s="12">
        <v>4.0777999999999999</v>
      </c>
      <c r="Z190" s="12">
        <v>4.0785</v>
      </c>
      <c r="AA190" s="12">
        <v>4.0872000000000002</v>
      </c>
      <c r="AB190" s="12">
        <v>4.0491000000000001</v>
      </c>
      <c r="AC190" s="12">
        <v>4.0528000000000004</v>
      </c>
      <c r="AD190" s="12" t="s">
        <v>73</v>
      </c>
    </row>
    <row r="191" spans="1:30" x14ac:dyDescent="0.3">
      <c r="A191" s="13" t="s">
        <v>569</v>
      </c>
      <c r="B191" s="14" t="s">
        <v>759</v>
      </c>
      <c r="C191" t="s">
        <v>405</v>
      </c>
      <c r="D191" s="5" t="s">
        <v>406</v>
      </c>
      <c r="E191" s="12">
        <v>3.6191</v>
      </c>
      <c r="F191" s="12">
        <v>3.2728000000000002</v>
      </c>
      <c r="G191" s="12">
        <v>3.5081000000000002</v>
      </c>
      <c r="H191" s="12">
        <v>3.8302999999999998</v>
      </c>
      <c r="I191" s="12">
        <v>4.3296000000000001</v>
      </c>
      <c r="J191" s="12">
        <v>4.74</v>
      </c>
      <c r="K191" s="12">
        <v>5.1073000000000004</v>
      </c>
      <c r="L191" s="12">
        <v>5.4370000000000003</v>
      </c>
      <c r="M191" s="12">
        <v>4.8240999999999996</v>
      </c>
      <c r="N191" s="12">
        <v>4.7009999999999996</v>
      </c>
      <c r="O191" s="12">
        <v>4.2778999999999998</v>
      </c>
      <c r="P191" s="12">
        <v>4.8936999999999999</v>
      </c>
      <c r="Q191" s="12">
        <v>4.8932000000000002</v>
      </c>
      <c r="R191" s="12">
        <v>4.8604000000000003</v>
      </c>
      <c r="S191" s="12">
        <v>4.7836999999999996</v>
      </c>
      <c r="T191" s="12">
        <v>4.6052999999999997</v>
      </c>
      <c r="U191" s="12">
        <v>4.3992000000000004</v>
      </c>
      <c r="V191" s="12">
        <v>3.7421000000000002</v>
      </c>
      <c r="W191" s="12">
        <v>3.6490999999999998</v>
      </c>
      <c r="X191" s="12">
        <v>3.8180999999999998</v>
      </c>
      <c r="Y191" s="12">
        <v>4.2125000000000004</v>
      </c>
      <c r="Z191" s="12">
        <v>4.2352999999999996</v>
      </c>
      <c r="AA191" s="12">
        <v>4.3541999999999996</v>
      </c>
      <c r="AB191" s="12">
        <v>4.4950000000000001</v>
      </c>
      <c r="AC191" s="12">
        <v>4.6630000000000003</v>
      </c>
      <c r="AD191" s="12" t="s">
        <v>73</v>
      </c>
    </row>
    <row r="192" spans="1:30" x14ac:dyDescent="0.3">
      <c r="A192" s="13" t="s">
        <v>569</v>
      </c>
      <c r="B192" s="14" t="s">
        <v>760</v>
      </c>
      <c r="C192" t="s">
        <v>407</v>
      </c>
      <c r="D192" s="5" t="s">
        <v>408</v>
      </c>
      <c r="E192" s="12">
        <v>2.8475999999999999</v>
      </c>
      <c r="F192" s="12">
        <v>2.8752</v>
      </c>
      <c r="G192" s="12">
        <v>2.9891000000000001</v>
      </c>
      <c r="H192" s="12">
        <v>3.1280999999999999</v>
      </c>
      <c r="I192" s="12">
        <v>3.3182999999999998</v>
      </c>
      <c r="J192" s="12">
        <v>3.5333999999999999</v>
      </c>
      <c r="K192" s="12">
        <v>3.7401</v>
      </c>
      <c r="L192" s="12">
        <v>3.9115000000000002</v>
      </c>
      <c r="M192" s="12">
        <v>4.5936000000000003</v>
      </c>
      <c r="N192" s="12">
        <v>4.9077000000000002</v>
      </c>
      <c r="O192" s="12">
        <v>4.9912000000000001</v>
      </c>
      <c r="P192" s="12">
        <v>5.2050000000000001</v>
      </c>
      <c r="Q192" s="12">
        <v>5.5820999999999996</v>
      </c>
      <c r="R192" s="12">
        <v>5.8639000000000001</v>
      </c>
      <c r="S192" s="12">
        <v>6.0225</v>
      </c>
      <c r="T192" s="12">
        <v>6.3339999999999996</v>
      </c>
      <c r="U192" s="12">
        <v>6.5410000000000004</v>
      </c>
      <c r="V192" s="12">
        <v>6.6516000000000002</v>
      </c>
      <c r="W192" s="12">
        <v>6.6859000000000002</v>
      </c>
      <c r="X192" s="12">
        <v>6.8106999999999998</v>
      </c>
      <c r="Y192" s="12">
        <v>6.9844999999999997</v>
      </c>
      <c r="Z192" s="12">
        <v>7.2176999999999998</v>
      </c>
      <c r="AA192" s="12">
        <v>7.3653000000000004</v>
      </c>
      <c r="AB192" s="12">
        <v>7.4474999999999998</v>
      </c>
      <c r="AC192" s="12">
        <v>7.4650999999999996</v>
      </c>
      <c r="AD192" s="12" t="s">
        <v>73</v>
      </c>
    </row>
    <row r="193" spans="1:30" x14ac:dyDescent="0.3">
      <c r="A193" s="13" t="s">
        <v>569</v>
      </c>
      <c r="B193" s="14" t="s">
        <v>761</v>
      </c>
      <c r="C193" t="s">
        <v>409</v>
      </c>
      <c r="D193" s="5" t="s">
        <v>410</v>
      </c>
      <c r="E193" s="12">
        <v>18.107600000000001</v>
      </c>
      <c r="F193" s="12">
        <v>18.407599999999999</v>
      </c>
      <c r="G193" s="12">
        <v>19.014500000000002</v>
      </c>
      <c r="H193" s="12">
        <v>19.485299999999999</v>
      </c>
      <c r="I193" s="12">
        <v>19.3032</v>
      </c>
      <c r="J193" s="12">
        <v>19.678699999999999</v>
      </c>
      <c r="K193" s="12">
        <v>20.496600000000001</v>
      </c>
      <c r="L193" s="12">
        <v>20.5139</v>
      </c>
      <c r="M193" s="12">
        <v>21.345800000000001</v>
      </c>
      <c r="N193" s="12">
        <v>21.537700000000001</v>
      </c>
      <c r="O193" s="12">
        <v>22.485499999999998</v>
      </c>
      <c r="P193" s="12">
        <v>24.6539</v>
      </c>
      <c r="Q193" s="12">
        <v>25.523299999999999</v>
      </c>
      <c r="R193" s="12">
        <v>27.374700000000001</v>
      </c>
      <c r="S193" s="12">
        <v>28.833600000000001</v>
      </c>
      <c r="T193" s="12">
        <v>29.6815</v>
      </c>
      <c r="U193" s="12">
        <v>30.2393</v>
      </c>
      <c r="V193" s="12">
        <v>30.2193</v>
      </c>
      <c r="W193" s="12">
        <v>30.830100000000002</v>
      </c>
      <c r="X193" s="12">
        <v>32.107300000000002</v>
      </c>
      <c r="Y193" s="12">
        <v>33.761099999999999</v>
      </c>
      <c r="Z193" s="12">
        <v>34.483800000000002</v>
      </c>
      <c r="AA193" s="12">
        <v>35.393300000000004</v>
      </c>
      <c r="AB193" s="12">
        <v>41.515799999999999</v>
      </c>
      <c r="AC193" s="12">
        <v>43.659599999999998</v>
      </c>
      <c r="AD193" s="12" t="s">
        <v>73</v>
      </c>
    </row>
    <row r="194" spans="1:30" x14ac:dyDescent="0.3">
      <c r="A194" s="13" t="s">
        <v>569</v>
      </c>
      <c r="B194" s="14" t="s">
        <v>762</v>
      </c>
      <c r="C194" t="s">
        <v>411</v>
      </c>
      <c r="D194" s="5" t="s">
        <v>412</v>
      </c>
      <c r="E194" s="12">
        <v>44.476199999999999</v>
      </c>
      <c r="F194" s="12">
        <v>45.412100000000002</v>
      </c>
      <c r="G194" s="12">
        <v>44.291400000000003</v>
      </c>
      <c r="H194" s="12">
        <v>46.275199999999998</v>
      </c>
      <c r="I194" s="12">
        <v>45.822299999999998</v>
      </c>
      <c r="J194" s="12">
        <v>46.967300000000002</v>
      </c>
      <c r="K194" s="12">
        <v>47.224800000000002</v>
      </c>
      <c r="L194" s="12">
        <v>49.838200000000001</v>
      </c>
      <c r="M194" s="12">
        <v>49.875</v>
      </c>
      <c r="N194" s="12">
        <v>50.870899999999999</v>
      </c>
      <c r="O194" s="12">
        <v>53.161299999999997</v>
      </c>
      <c r="P194" s="12">
        <v>52.618299999999998</v>
      </c>
      <c r="Q194" s="12">
        <v>51.668999999999997</v>
      </c>
      <c r="R194" s="12">
        <v>49.598399999999998</v>
      </c>
      <c r="S194" s="12">
        <v>45.017200000000003</v>
      </c>
      <c r="T194" s="12">
        <v>41</v>
      </c>
      <c r="U194" s="12">
        <v>44.7271</v>
      </c>
      <c r="V194" s="12">
        <v>44.984000000000002</v>
      </c>
      <c r="W194" s="12">
        <v>44.860399999999998</v>
      </c>
      <c r="X194" s="12">
        <v>41.628799999999998</v>
      </c>
      <c r="Y194" s="12">
        <v>44.9101</v>
      </c>
      <c r="Z194" s="12">
        <v>45.547600000000003</v>
      </c>
      <c r="AA194" s="12">
        <v>45.712499999999999</v>
      </c>
      <c r="AB194" s="12">
        <v>45.888399999999997</v>
      </c>
      <c r="AC194" s="12">
        <v>45.934699999999999</v>
      </c>
      <c r="AD194" s="12" t="s">
        <v>73</v>
      </c>
    </row>
    <row r="195" spans="1:30" x14ac:dyDescent="0.3">
      <c r="A195" s="13" t="s">
        <v>569</v>
      </c>
      <c r="B195" s="14" t="s">
        <v>763</v>
      </c>
      <c r="C195" t="s">
        <v>413</v>
      </c>
      <c r="D195" s="5" t="s">
        <v>414</v>
      </c>
      <c r="E195" s="12">
        <v>0.47310000000000002</v>
      </c>
      <c r="F195" s="12">
        <v>0.58940000000000003</v>
      </c>
      <c r="G195" s="12">
        <v>0.58640000000000003</v>
      </c>
      <c r="H195" s="12">
        <v>0.59589999999999999</v>
      </c>
      <c r="I195" s="12">
        <v>0.49980000000000002</v>
      </c>
      <c r="J195" s="12">
        <v>0.57879999999999998</v>
      </c>
      <c r="K195" s="12">
        <v>0.58740000000000003</v>
      </c>
      <c r="L195" s="12">
        <v>0.59750000000000003</v>
      </c>
      <c r="M195" s="12">
        <v>0.64370000000000005</v>
      </c>
      <c r="N195" s="12">
        <v>0.66930000000000001</v>
      </c>
      <c r="O195" s="12">
        <v>0.65059999999999996</v>
      </c>
      <c r="P195" s="12">
        <v>0.64939999999999998</v>
      </c>
      <c r="Q195" s="12">
        <v>0.69989999999999997</v>
      </c>
      <c r="R195" s="12">
        <v>0.6512</v>
      </c>
      <c r="S195" s="12">
        <v>0.65710000000000002</v>
      </c>
      <c r="T195" s="12">
        <v>0.7107</v>
      </c>
      <c r="U195" s="12">
        <v>0.69320000000000004</v>
      </c>
      <c r="V195" s="12">
        <v>0.69969999999999999</v>
      </c>
      <c r="W195" s="12">
        <v>0.68289999999999995</v>
      </c>
      <c r="X195" s="12">
        <v>0.76380000000000003</v>
      </c>
      <c r="Y195" s="12">
        <v>0.70020000000000004</v>
      </c>
      <c r="Z195" s="12">
        <v>0.6764</v>
      </c>
      <c r="AA195" s="12">
        <v>0.77629999999999999</v>
      </c>
      <c r="AB195" s="12">
        <v>0.80469999999999997</v>
      </c>
      <c r="AC195" s="12">
        <v>0.83140000000000003</v>
      </c>
      <c r="AD195" s="12" t="s">
        <v>73</v>
      </c>
    </row>
    <row r="196" spans="1:30" x14ac:dyDescent="0.3">
      <c r="A196" s="13" t="s">
        <v>569</v>
      </c>
      <c r="B196" s="14" t="s">
        <v>764</v>
      </c>
      <c r="C196" t="s">
        <v>415</v>
      </c>
      <c r="D196" s="5" t="s">
        <v>416</v>
      </c>
      <c r="E196" s="12">
        <v>0.79930000000000001</v>
      </c>
      <c r="F196" s="12">
        <v>0.81220000000000003</v>
      </c>
      <c r="G196" s="12">
        <v>0.83560000000000001</v>
      </c>
      <c r="H196" s="12">
        <v>0.85009999999999997</v>
      </c>
      <c r="I196" s="12">
        <v>0.85760000000000003</v>
      </c>
      <c r="J196" s="12">
        <v>0.91559999999999997</v>
      </c>
      <c r="K196" s="12">
        <v>0.93640000000000001</v>
      </c>
      <c r="L196" s="12">
        <v>0.95040000000000002</v>
      </c>
      <c r="M196" s="12">
        <v>0.96360000000000001</v>
      </c>
      <c r="N196" s="12">
        <v>1.0074000000000001</v>
      </c>
      <c r="O196" s="12">
        <v>1.0259</v>
      </c>
      <c r="P196" s="12">
        <v>1.0325</v>
      </c>
      <c r="Q196" s="12">
        <v>1.3171999999999999</v>
      </c>
      <c r="R196" s="12">
        <v>1.3724000000000001</v>
      </c>
      <c r="S196" s="12">
        <v>1.2601</v>
      </c>
      <c r="T196" s="12">
        <v>1.3067</v>
      </c>
      <c r="U196" s="12">
        <v>1.3661000000000001</v>
      </c>
      <c r="V196" s="12">
        <v>1.4286000000000001</v>
      </c>
      <c r="W196" s="12">
        <v>1.4853000000000001</v>
      </c>
      <c r="X196" s="12">
        <v>1.5712999999999999</v>
      </c>
      <c r="Y196" s="12">
        <v>1.6513</v>
      </c>
      <c r="Z196" s="12">
        <v>1.7366999999999999</v>
      </c>
      <c r="AA196" s="12">
        <v>1.8240000000000001</v>
      </c>
      <c r="AB196" s="12">
        <v>1.9149</v>
      </c>
      <c r="AC196" s="12">
        <v>1.9910000000000001</v>
      </c>
      <c r="AD196" s="12" t="s">
        <v>73</v>
      </c>
    </row>
    <row r="197" spans="1:30" x14ac:dyDescent="0.3">
      <c r="A197" s="13" t="s">
        <v>569</v>
      </c>
      <c r="B197" s="14" t="s">
        <v>765</v>
      </c>
      <c r="C197" t="s">
        <v>417</v>
      </c>
      <c r="D197" s="5" t="s">
        <v>418</v>
      </c>
      <c r="E197" s="12">
        <v>5.6300000000000003E-2</v>
      </c>
      <c r="F197" s="12">
        <v>5.62E-2</v>
      </c>
      <c r="G197" s="12">
        <v>5.6099999999999997E-2</v>
      </c>
      <c r="H197" s="12">
        <v>5.6099999999999997E-2</v>
      </c>
      <c r="I197" s="12">
        <v>5.6000000000000001E-2</v>
      </c>
      <c r="J197" s="12">
        <v>5.6000000000000001E-2</v>
      </c>
      <c r="K197" s="12">
        <v>5.6000000000000001E-2</v>
      </c>
      <c r="L197" s="12">
        <v>5.62E-2</v>
      </c>
      <c r="M197" s="12">
        <v>5.62E-2</v>
      </c>
      <c r="N197" s="12">
        <v>5.62E-2</v>
      </c>
      <c r="O197" s="12">
        <v>5.62E-2</v>
      </c>
      <c r="P197" s="12">
        <v>5.62E-2</v>
      </c>
      <c r="Q197" s="12">
        <v>5.6899999999999999E-2</v>
      </c>
      <c r="R197" s="12">
        <v>5.7200000000000001E-2</v>
      </c>
      <c r="S197" s="12">
        <v>5.7599999999999998E-2</v>
      </c>
      <c r="T197" s="12">
        <v>5.8000000000000003E-2</v>
      </c>
      <c r="U197" s="12">
        <v>5.8299999999999998E-2</v>
      </c>
      <c r="V197" s="12">
        <v>5.8599999999999999E-2</v>
      </c>
      <c r="W197" s="12">
        <v>5.8799999999999998E-2</v>
      </c>
      <c r="X197" s="12">
        <v>5.8999999999999997E-2</v>
      </c>
      <c r="Y197" s="12">
        <v>5.8999999999999997E-2</v>
      </c>
      <c r="Z197" s="12">
        <v>5.9200000000000003E-2</v>
      </c>
      <c r="AA197" s="12">
        <v>5.9299999999999999E-2</v>
      </c>
      <c r="AB197" s="12">
        <v>5.9200000000000003E-2</v>
      </c>
      <c r="AC197" s="12">
        <v>5.9299999999999999E-2</v>
      </c>
      <c r="AD197" s="12" t="s">
        <v>73</v>
      </c>
    </row>
    <row r="198" spans="1:30" x14ac:dyDescent="0.3">
      <c r="A198" s="13" t="s">
        <v>569</v>
      </c>
      <c r="B198" s="14" t="s">
        <v>766</v>
      </c>
      <c r="C198" t="s">
        <v>419</v>
      </c>
      <c r="D198" s="5" t="s">
        <v>420</v>
      </c>
      <c r="E198" s="12">
        <v>8.9599999999999999E-2</v>
      </c>
      <c r="F198" s="12">
        <v>8.7499999999999994E-2</v>
      </c>
      <c r="G198" s="12">
        <v>9.4500000000000001E-2</v>
      </c>
      <c r="H198" s="12">
        <v>8.4699999999999998E-2</v>
      </c>
      <c r="I198" s="12">
        <v>8.3000000000000004E-2</v>
      </c>
      <c r="J198" s="12">
        <v>8.3199999999999996E-2</v>
      </c>
      <c r="K198" s="12">
        <v>8.6499999999999994E-2</v>
      </c>
      <c r="L198" s="12">
        <v>8.5099999999999995E-2</v>
      </c>
      <c r="M198" s="12">
        <v>7.8100000000000003E-2</v>
      </c>
      <c r="N198" s="12">
        <v>7.8100000000000003E-2</v>
      </c>
      <c r="O198" s="12">
        <v>7.7299999999999994E-2</v>
      </c>
      <c r="P198" s="12">
        <v>7.7899999999999997E-2</v>
      </c>
      <c r="Q198" s="12">
        <v>7.9399999999999998E-2</v>
      </c>
      <c r="R198" s="12">
        <v>8.3299999999999999E-2</v>
      </c>
      <c r="S198" s="12">
        <v>8.2000000000000003E-2</v>
      </c>
      <c r="T198" s="12">
        <v>8.2199999999999995E-2</v>
      </c>
      <c r="U198" s="12">
        <v>7.9299999999999995E-2</v>
      </c>
      <c r="V198" s="12">
        <v>0.08</v>
      </c>
      <c r="W198" s="12">
        <v>7.9299999999999995E-2</v>
      </c>
      <c r="X198" s="12">
        <v>7.9600000000000004E-2</v>
      </c>
      <c r="Y198" s="12">
        <v>8.2799999999999999E-2</v>
      </c>
      <c r="Z198" s="12">
        <v>8.2500000000000004E-2</v>
      </c>
      <c r="AA198" s="12">
        <v>8.2799999999999999E-2</v>
      </c>
      <c r="AB198" s="12">
        <v>8.3299999999999999E-2</v>
      </c>
      <c r="AC198" s="12">
        <v>8.4099999999999994E-2</v>
      </c>
      <c r="AD198" s="12" t="s">
        <v>73</v>
      </c>
    </row>
    <row r="199" spans="1:30" x14ac:dyDescent="0.3">
      <c r="A199" s="13" t="s">
        <v>569</v>
      </c>
      <c r="B199" s="14" t="s">
        <v>767</v>
      </c>
      <c r="C199" t="s">
        <v>421</v>
      </c>
      <c r="D199" s="5" t="s">
        <v>422</v>
      </c>
      <c r="E199" s="12">
        <v>2.8330000000000002</v>
      </c>
      <c r="F199" s="12">
        <v>2.839</v>
      </c>
      <c r="G199" s="12">
        <v>2.8184</v>
      </c>
      <c r="H199" s="12">
        <v>2.6728000000000001</v>
      </c>
      <c r="I199" s="12">
        <v>2.6779000000000002</v>
      </c>
      <c r="J199" s="12">
        <v>2.7848999999999999</v>
      </c>
      <c r="K199" s="12">
        <v>2.8597000000000001</v>
      </c>
      <c r="L199" s="12">
        <v>2.8984999999999999</v>
      </c>
      <c r="M199" s="12">
        <v>2.8128000000000002</v>
      </c>
      <c r="N199" s="12">
        <v>2.8140000000000001</v>
      </c>
      <c r="O199" s="12">
        <v>2.7673000000000001</v>
      </c>
      <c r="P199" s="12">
        <v>2.72</v>
      </c>
      <c r="Q199" s="12">
        <v>2.6775000000000002</v>
      </c>
      <c r="R199" s="12">
        <v>2.6724999999999999</v>
      </c>
      <c r="S199" s="12">
        <v>2.7145000000000001</v>
      </c>
      <c r="T199" s="12">
        <v>2.6758000000000002</v>
      </c>
      <c r="U199" s="12">
        <v>2.6055999999999999</v>
      </c>
      <c r="V199" s="12">
        <v>2.6019000000000001</v>
      </c>
      <c r="W199" s="12">
        <v>2.5417999999999998</v>
      </c>
      <c r="X199" s="12">
        <v>2.5143</v>
      </c>
      <c r="Y199" s="12">
        <v>2.5573999999999999</v>
      </c>
      <c r="Z199" s="12">
        <v>2.5127000000000002</v>
      </c>
      <c r="AA199" s="12">
        <v>2.4864999999999999</v>
      </c>
      <c r="AB199" s="12">
        <v>2.4956999999999998</v>
      </c>
      <c r="AC199" s="12">
        <v>2.4902000000000002</v>
      </c>
      <c r="AD199" s="12" t="s">
        <v>73</v>
      </c>
    </row>
    <row r="200" spans="1:30" x14ac:dyDescent="0.3">
      <c r="A200" s="13" t="s">
        <v>569</v>
      </c>
      <c r="B200" s="14" t="s">
        <v>768</v>
      </c>
      <c r="C200" t="s">
        <v>423</v>
      </c>
      <c r="D200" s="5" t="s">
        <v>424</v>
      </c>
      <c r="E200" s="12">
        <v>29.064399999999999</v>
      </c>
      <c r="F200" s="12">
        <v>27.754000000000001</v>
      </c>
      <c r="G200" s="12">
        <v>27.1282</v>
      </c>
      <c r="H200" s="12">
        <v>26.710699999999999</v>
      </c>
      <c r="I200" s="12">
        <v>26.434200000000001</v>
      </c>
      <c r="J200" s="12">
        <v>26.719000000000001</v>
      </c>
      <c r="K200" s="12">
        <v>27.945599999999999</v>
      </c>
      <c r="L200" s="12">
        <v>28.0688</v>
      </c>
      <c r="M200" s="12">
        <v>28.367799999999999</v>
      </c>
      <c r="N200" s="12">
        <v>28.587700000000002</v>
      </c>
      <c r="O200" s="12">
        <v>28.2224</v>
      </c>
      <c r="P200" s="12">
        <v>30.086300000000001</v>
      </c>
      <c r="Q200" s="12">
        <v>33.0152</v>
      </c>
      <c r="R200" s="12">
        <v>36.4863</v>
      </c>
      <c r="S200" s="12">
        <v>38.102400000000003</v>
      </c>
      <c r="T200" s="12">
        <v>38.586199999999998</v>
      </c>
      <c r="U200" s="12">
        <v>38.398400000000002</v>
      </c>
      <c r="V200" s="12">
        <v>38.925899999999999</v>
      </c>
      <c r="W200" s="12">
        <v>45.049199999999999</v>
      </c>
      <c r="X200" s="12">
        <v>46.641399999999997</v>
      </c>
      <c r="Y200" s="12">
        <v>48.432600000000001</v>
      </c>
      <c r="Z200" s="12">
        <v>49.172400000000003</v>
      </c>
      <c r="AA200" s="12">
        <v>47.616199999999999</v>
      </c>
      <c r="AB200" s="12">
        <v>46.074300000000001</v>
      </c>
      <c r="AC200" s="12">
        <v>46.385899999999999</v>
      </c>
      <c r="AD200" s="12" t="s">
        <v>73</v>
      </c>
    </row>
    <row r="201" spans="1:30" x14ac:dyDescent="0.3">
      <c r="A201" s="13" t="s">
        <v>569</v>
      </c>
      <c r="B201" s="14" t="s">
        <v>769</v>
      </c>
      <c r="C201" t="s">
        <v>425</v>
      </c>
      <c r="D201" s="5" t="s">
        <v>426</v>
      </c>
      <c r="E201" s="12">
        <v>5.7149999999999999</v>
      </c>
      <c r="F201" s="12">
        <v>6.2544000000000004</v>
      </c>
      <c r="G201" s="12">
        <v>7.3760000000000003</v>
      </c>
      <c r="H201" s="12">
        <v>8.4321000000000002</v>
      </c>
      <c r="I201" s="12">
        <v>8.9734999999999996</v>
      </c>
      <c r="J201" s="12">
        <v>8.6831999999999994</v>
      </c>
      <c r="K201" s="12">
        <v>9.1709999999999994</v>
      </c>
      <c r="L201" s="12">
        <v>8.5706000000000007</v>
      </c>
      <c r="M201" s="12">
        <v>9.4770000000000003</v>
      </c>
      <c r="N201" s="12">
        <v>8.8634000000000004</v>
      </c>
      <c r="O201" s="12">
        <v>9.0641999999999996</v>
      </c>
      <c r="P201" s="12">
        <v>9.0548000000000002</v>
      </c>
      <c r="Q201" s="12">
        <v>9.6204000000000001</v>
      </c>
      <c r="R201" s="12">
        <v>9.5771999999999995</v>
      </c>
      <c r="S201" s="12">
        <v>9.7042000000000002</v>
      </c>
      <c r="T201" s="12">
        <v>9.8300999999999998</v>
      </c>
      <c r="U201" s="12">
        <v>9.9417000000000009</v>
      </c>
      <c r="V201" s="12">
        <v>10.0326</v>
      </c>
      <c r="W201" s="12">
        <v>10.0891</v>
      </c>
      <c r="X201" s="12">
        <v>10.1638</v>
      </c>
      <c r="Y201" s="12">
        <v>10.4573</v>
      </c>
      <c r="Z201" s="12">
        <v>10.5092</v>
      </c>
      <c r="AA201" s="12">
        <v>10.514099999999999</v>
      </c>
      <c r="AB201" s="12">
        <v>10.5534</v>
      </c>
      <c r="AC201" s="12">
        <v>10.594900000000001</v>
      </c>
      <c r="AD201" s="12" t="s">
        <v>73</v>
      </c>
    </row>
    <row r="202" spans="1:30" x14ac:dyDescent="0.3">
      <c r="A202" s="13" t="s">
        <v>569</v>
      </c>
      <c r="B202" s="14" t="s">
        <v>770</v>
      </c>
      <c r="C202" t="s">
        <v>427</v>
      </c>
      <c r="D202" s="5" t="s">
        <v>428</v>
      </c>
      <c r="E202" s="12" t="s">
        <v>73</v>
      </c>
      <c r="F202" s="12" t="s">
        <v>73</v>
      </c>
      <c r="G202" s="12" t="s">
        <v>73</v>
      </c>
      <c r="H202" s="12" t="s">
        <v>73</v>
      </c>
      <c r="I202" s="12" t="s">
        <v>73</v>
      </c>
      <c r="J202" s="12" t="s">
        <v>73</v>
      </c>
      <c r="K202" s="12" t="s">
        <v>73</v>
      </c>
      <c r="L202" s="12" t="s">
        <v>73</v>
      </c>
      <c r="M202" s="12" t="s">
        <v>73</v>
      </c>
      <c r="N202" s="12" t="s">
        <v>73</v>
      </c>
      <c r="O202" s="12" t="s">
        <v>73</v>
      </c>
      <c r="P202" s="12" t="s">
        <v>73</v>
      </c>
      <c r="Q202" s="12" t="s">
        <v>73</v>
      </c>
      <c r="R202" s="12" t="s">
        <v>73</v>
      </c>
      <c r="S202" s="12" t="s">
        <v>73</v>
      </c>
      <c r="T202" s="12" t="s">
        <v>73</v>
      </c>
      <c r="U202" s="12" t="s">
        <v>73</v>
      </c>
      <c r="V202" s="12" t="s">
        <v>73</v>
      </c>
      <c r="W202" s="12" t="s">
        <v>73</v>
      </c>
      <c r="X202" s="12" t="s">
        <v>73</v>
      </c>
      <c r="Y202" s="12" t="s">
        <v>73</v>
      </c>
      <c r="Z202" s="12" t="s">
        <v>73</v>
      </c>
      <c r="AA202" s="12" t="s">
        <v>73</v>
      </c>
      <c r="AB202" s="12" t="s">
        <v>73</v>
      </c>
      <c r="AC202" s="12" t="s">
        <v>73</v>
      </c>
      <c r="AD202" s="12" t="s">
        <v>73</v>
      </c>
    </row>
    <row r="203" spans="1:30" x14ac:dyDescent="0.3">
      <c r="A203" s="13" t="s">
        <v>569</v>
      </c>
      <c r="B203" s="14" t="s">
        <v>771</v>
      </c>
      <c r="C203" t="s">
        <v>429</v>
      </c>
      <c r="D203" s="5" t="s">
        <v>430</v>
      </c>
      <c r="E203" s="12">
        <v>1.5E-3</v>
      </c>
      <c r="F203" s="12">
        <v>1.5E-3</v>
      </c>
      <c r="G203" s="12">
        <v>1.5E-3</v>
      </c>
      <c r="H203" s="12">
        <v>1.5E-3</v>
      </c>
      <c r="I203" s="12">
        <v>1.5E-3</v>
      </c>
      <c r="J203" s="12">
        <v>1.5E-3</v>
      </c>
      <c r="K203" s="12">
        <v>1.5E-3</v>
      </c>
      <c r="L203" s="12">
        <v>1.5E-3</v>
      </c>
      <c r="M203" s="12">
        <v>1.6000000000000001E-3</v>
      </c>
      <c r="N203" s="12">
        <v>1.6000000000000001E-3</v>
      </c>
      <c r="O203" s="12">
        <v>1.6000000000000001E-3</v>
      </c>
      <c r="P203" s="12">
        <v>1.6000000000000001E-3</v>
      </c>
      <c r="Q203" s="12">
        <v>1.6000000000000001E-3</v>
      </c>
      <c r="R203" s="12">
        <v>1.6000000000000001E-3</v>
      </c>
      <c r="S203" s="12">
        <v>1.6000000000000001E-3</v>
      </c>
      <c r="T203" s="12">
        <v>1.6000000000000001E-3</v>
      </c>
      <c r="U203" s="12">
        <v>1.6000000000000001E-3</v>
      </c>
      <c r="V203" s="12">
        <v>1.6000000000000001E-3</v>
      </c>
      <c r="W203" s="12">
        <v>1.6999999999999999E-3</v>
      </c>
      <c r="X203" s="12">
        <v>1.6999999999999999E-3</v>
      </c>
      <c r="Y203" s="12">
        <v>1.6999999999999999E-3</v>
      </c>
      <c r="Z203" s="12">
        <v>1.6999999999999999E-3</v>
      </c>
      <c r="AA203" s="12">
        <v>1.6999999999999999E-3</v>
      </c>
      <c r="AB203" s="12">
        <v>1.6999999999999999E-3</v>
      </c>
      <c r="AC203" s="12">
        <v>1.6999999999999999E-3</v>
      </c>
      <c r="AD203" s="12" t="s">
        <v>73</v>
      </c>
    </row>
    <row r="204" spans="1:30" x14ac:dyDescent="0.3">
      <c r="A204" s="13" t="s">
        <v>569</v>
      </c>
      <c r="B204" s="14" t="s">
        <v>772</v>
      </c>
      <c r="C204" t="s">
        <v>431</v>
      </c>
      <c r="D204" s="5" t="s">
        <v>432</v>
      </c>
      <c r="E204" s="12">
        <v>7.7092000000000001</v>
      </c>
      <c r="F204" s="12">
        <v>7.9611000000000001</v>
      </c>
      <c r="G204" s="12">
        <v>8.2324000000000002</v>
      </c>
      <c r="H204" s="12">
        <v>8.5408000000000008</v>
      </c>
      <c r="I204" s="12">
        <v>8.7424999999999997</v>
      </c>
      <c r="J204" s="12">
        <v>9.0831999999999997</v>
      </c>
      <c r="K204" s="12">
        <v>9.3590999999999998</v>
      </c>
      <c r="L204" s="12">
        <v>9.6465999999999994</v>
      </c>
      <c r="M204" s="12">
        <v>14.6995</v>
      </c>
      <c r="N204" s="12">
        <v>15.059900000000001</v>
      </c>
      <c r="O204" s="12">
        <v>15.5092</v>
      </c>
      <c r="P204" s="12">
        <v>15.9621</v>
      </c>
      <c r="Q204" s="12">
        <v>16.395700000000001</v>
      </c>
      <c r="R204" s="12">
        <v>16.669499999999999</v>
      </c>
      <c r="S204" s="12">
        <v>17.241199999999999</v>
      </c>
      <c r="T204" s="12">
        <v>17.712299999999999</v>
      </c>
      <c r="U204" s="12">
        <v>18.3125</v>
      </c>
      <c r="V204" s="12">
        <v>18.2349</v>
      </c>
      <c r="W204" s="12">
        <v>18.846800000000002</v>
      </c>
      <c r="X204" s="12">
        <v>18.915099999999999</v>
      </c>
      <c r="Y204" s="12">
        <v>18.802399999999999</v>
      </c>
      <c r="Z204" s="12">
        <v>18.962399999999999</v>
      </c>
      <c r="AA204" s="12">
        <v>19.057700000000001</v>
      </c>
      <c r="AB204" s="12">
        <v>20.226400000000002</v>
      </c>
      <c r="AC204" s="12">
        <v>20.505099999999999</v>
      </c>
      <c r="AD204" s="12" t="s">
        <v>73</v>
      </c>
    </row>
    <row r="205" spans="1:30" x14ac:dyDescent="0.3">
      <c r="A205" s="13" t="s">
        <v>569</v>
      </c>
      <c r="B205" s="14" t="s">
        <v>773</v>
      </c>
      <c r="C205" t="s">
        <v>433</v>
      </c>
      <c r="D205" s="5" t="s">
        <v>434</v>
      </c>
      <c r="E205" s="12">
        <v>27.596</v>
      </c>
      <c r="F205" s="12">
        <v>25.456600000000002</v>
      </c>
      <c r="G205" s="12">
        <v>25.991399999999999</v>
      </c>
      <c r="H205" s="12">
        <v>25.4419</v>
      </c>
      <c r="I205" s="12">
        <v>22.676100000000002</v>
      </c>
      <c r="J205" s="12">
        <v>19.660299999999999</v>
      </c>
      <c r="K205" s="12">
        <v>19.200800000000001</v>
      </c>
      <c r="L205" s="12">
        <v>18.577300000000001</v>
      </c>
      <c r="M205" s="12">
        <v>17.164400000000001</v>
      </c>
      <c r="N205" s="12">
        <v>16.373200000000001</v>
      </c>
      <c r="O205" s="12">
        <v>16.290400000000002</v>
      </c>
      <c r="P205" s="12">
        <v>15.943</v>
      </c>
      <c r="Q205" s="12">
        <v>15.5511</v>
      </c>
      <c r="R205" s="12">
        <v>16.241700000000002</v>
      </c>
      <c r="S205" s="12">
        <v>15.772</v>
      </c>
      <c r="T205" s="12">
        <v>14.431100000000001</v>
      </c>
      <c r="U205" s="12">
        <v>13.959300000000001</v>
      </c>
      <c r="V205" s="12">
        <v>13.6572</v>
      </c>
      <c r="W205" s="12">
        <v>13.2088</v>
      </c>
      <c r="X205" s="12">
        <v>12.717700000000001</v>
      </c>
      <c r="Y205" s="12">
        <v>12.028499999999999</v>
      </c>
      <c r="Z205" s="12">
        <v>11.406599999999999</v>
      </c>
      <c r="AA205" s="12">
        <v>10.3817</v>
      </c>
      <c r="AB205" s="12">
        <v>9.2420000000000009</v>
      </c>
      <c r="AC205" s="12">
        <v>8.7180999999999997</v>
      </c>
      <c r="AD205" s="12" t="s">
        <v>73</v>
      </c>
    </row>
    <row r="206" spans="1:30" x14ac:dyDescent="0.3">
      <c r="A206" s="13" t="s">
        <v>569</v>
      </c>
      <c r="B206" s="14" t="s">
        <v>774</v>
      </c>
      <c r="C206" t="s">
        <v>43</v>
      </c>
      <c r="D206" s="5" t="s">
        <v>435</v>
      </c>
      <c r="E206" s="12">
        <v>0.69079999999999997</v>
      </c>
      <c r="F206" s="12">
        <v>0.73129999999999995</v>
      </c>
      <c r="G206" s="12">
        <v>0.77170000000000005</v>
      </c>
      <c r="H206" s="12">
        <v>0.81210000000000004</v>
      </c>
      <c r="I206" s="12">
        <v>0.81210000000000004</v>
      </c>
      <c r="J206" s="12">
        <v>0.93110000000000004</v>
      </c>
      <c r="K206" s="12">
        <v>0.97829999999999995</v>
      </c>
      <c r="L206" s="12">
        <v>1.0276000000000001</v>
      </c>
      <c r="M206" s="12">
        <v>1.0829</v>
      </c>
      <c r="N206" s="12">
        <v>1.2726999999999999</v>
      </c>
      <c r="O206" s="12">
        <v>1.1177999999999999</v>
      </c>
      <c r="P206" s="12">
        <v>1.1161000000000001</v>
      </c>
      <c r="Q206" s="12">
        <v>1.1208</v>
      </c>
      <c r="R206" s="12">
        <v>1.2448999999999999</v>
      </c>
      <c r="S206" s="12">
        <v>1.3399000000000001</v>
      </c>
      <c r="T206" s="12">
        <v>1.3960999999999999</v>
      </c>
      <c r="U206" s="12">
        <v>1.4123000000000001</v>
      </c>
      <c r="V206" s="12">
        <v>1.4440999999999999</v>
      </c>
      <c r="W206" s="12">
        <v>1.4490000000000001</v>
      </c>
      <c r="X206" s="12">
        <v>1.4744999999999999</v>
      </c>
      <c r="Y206" s="12">
        <v>1.4903999999999999</v>
      </c>
      <c r="Z206" s="12">
        <v>1.5133000000000001</v>
      </c>
      <c r="AA206" s="12">
        <v>1.6039000000000001</v>
      </c>
      <c r="AB206" s="12">
        <v>1.6011</v>
      </c>
      <c r="AC206" s="12">
        <v>1.6314</v>
      </c>
      <c r="AD206" s="12" t="s">
        <v>73</v>
      </c>
    </row>
    <row r="207" spans="1:30" x14ac:dyDescent="0.3">
      <c r="A207" s="13" t="s">
        <v>569</v>
      </c>
      <c r="B207" s="14" t="s">
        <v>775</v>
      </c>
      <c r="C207" t="s">
        <v>436</v>
      </c>
      <c r="D207" s="5" t="s">
        <v>437</v>
      </c>
      <c r="E207" s="12">
        <v>36.325600000000001</v>
      </c>
      <c r="F207" s="12">
        <v>34.234499999999997</v>
      </c>
      <c r="G207" s="12">
        <v>33.608600000000003</v>
      </c>
      <c r="H207" s="12">
        <v>33.9953</v>
      </c>
      <c r="I207" s="12">
        <v>34.047899999999998</v>
      </c>
      <c r="J207" s="12">
        <v>33.697299999999998</v>
      </c>
      <c r="K207" s="12">
        <v>33.509599999999999</v>
      </c>
      <c r="L207" s="12">
        <v>32.933799999999998</v>
      </c>
      <c r="M207" s="12">
        <v>32.443100000000001</v>
      </c>
      <c r="N207" s="12">
        <v>31.904599999999999</v>
      </c>
      <c r="O207" s="12">
        <v>32.184199999999997</v>
      </c>
      <c r="P207" s="12">
        <v>31.8505</v>
      </c>
      <c r="Q207" s="12">
        <v>31.818999999999999</v>
      </c>
      <c r="R207" s="12">
        <v>31.943000000000001</v>
      </c>
      <c r="S207" s="12">
        <v>32.388800000000003</v>
      </c>
      <c r="T207" s="12">
        <v>32.579099999999997</v>
      </c>
      <c r="U207" s="12">
        <v>32.979100000000003</v>
      </c>
      <c r="V207" s="12">
        <v>33.243600000000001</v>
      </c>
      <c r="W207" s="12">
        <v>32.847700000000003</v>
      </c>
      <c r="X207" s="12">
        <v>32.479900000000001</v>
      </c>
      <c r="Y207" s="12">
        <v>31.989699999999999</v>
      </c>
      <c r="Z207" s="12">
        <v>32.1678</v>
      </c>
      <c r="AA207" s="12">
        <v>32.191000000000003</v>
      </c>
      <c r="AB207" s="12">
        <v>31.825700000000001</v>
      </c>
      <c r="AC207" s="12">
        <v>31.547699999999999</v>
      </c>
      <c r="AD207" s="12" t="s">
        <v>73</v>
      </c>
    </row>
    <row r="208" spans="1:30" x14ac:dyDescent="0.3">
      <c r="A208" s="13" t="s">
        <v>569</v>
      </c>
      <c r="B208" s="14" t="s">
        <v>776</v>
      </c>
      <c r="C208" t="s">
        <v>45</v>
      </c>
      <c r="D208" s="5" t="s">
        <v>438</v>
      </c>
      <c r="E208" s="12">
        <v>249.98670000000001</v>
      </c>
      <c r="F208" s="12">
        <v>250.79040000000001</v>
      </c>
      <c r="G208" s="12">
        <v>250.678</v>
      </c>
      <c r="H208" s="12">
        <v>249.524</v>
      </c>
      <c r="I208" s="12">
        <v>250.87719999999999</v>
      </c>
      <c r="J208" s="12">
        <v>251.8954</v>
      </c>
      <c r="K208" s="12">
        <v>252.48910000000001</v>
      </c>
      <c r="L208" s="12">
        <v>253.49170000000001</v>
      </c>
      <c r="M208" s="12">
        <v>257.08769999999998</v>
      </c>
      <c r="N208" s="12">
        <v>253.994</v>
      </c>
      <c r="O208" s="12">
        <v>256.57799999999997</v>
      </c>
      <c r="P208" s="12">
        <v>252.1146</v>
      </c>
      <c r="Q208" s="12">
        <v>251.96700000000001</v>
      </c>
      <c r="R208" s="12">
        <v>250.7294</v>
      </c>
      <c r="S208" s="12">
        <v>253.96709999999999</v>
      </c>
      <c r="T208" s="12">
        <v>256.27069999999998</v>
      </c>
      <c r="U208" s="12">
        <v>265.36989999999997</v>
      </c>
      <c r="V208" s="12">
        <v>265.31810000000002</v>
      </c>
      <c r="W208" s="12">
        <v>271.03899999999999</v>
      </c>
      <c r="X208" s="12">
        <v>270.45049999999998</v>
      </c>
      <c r="Y208" s="12">
        <v>271.44439999999997</v>
      </c>
      <c r="Z208" s="12">
        <v>267.41480000000001</v>
      </c>
      <c r="AA208" s="12">
        <v>262.10480000000001</v>
      </c>
      <c r="AB208" s="12">
        <v>258.96300000000002</v>
      </c>
      <c r="AC208" s="12">
        <v>257.34679999999997</v>
      </c>
      <c r="AD208" s="12" t="s">
        <v>73</v>
      </c>
    </row>
    <row r="209" spans="1:30" x14ac:dyDescent="0.3">
      <c r="A209" s="13" t="s">
        <v>569</v>
      </c>
      <c r="B209" s="14" t="s">
        <v>777</v>
      </c>
      <c r="C209" t="s">
        <v>439</v>
      </c>
      <c r="D209" s="5" t="s">
        <v>440</v>
      </c>
      <c r="E209" s="12">
        <v>22.5471</v>
      </c>
      <c r="F209" s="12">
        <v>22.718499999999999</v>
      </c>
      <c r="G209" s="12">
        <v>23.732700000000001</v>
      </c>
      <c r="H209" s="12">
        <v>24.4878</v>
      </c>
      <c r="I209" s="12">
        <v>25.2499</v>
      </c>
      <c r="J209" s="12">
        <v>25.532599999999999</v>
      </c>
      <c r="K209" s="12">
        <v>26.4055</v>
      </c>
      <c r="L209" s="12">
        <v>25.793099999999999</v>
      </c>
      <c r="M209" s="12">
        <v>26.245000000000001</v>
      </c>
      <c r="N209" s="12">
        <v>25.6539</v>
      </c>
      <c r="O209" s="12">
        <v>24.185300000000002</v>
      </c>
      <c r="P209" s="12">
        <v>24.099900000000002</v>
      </c>
      <c r="Q209" s="12">
        <v>23.077400000000001</v>
      </c>
      <c r="R209" s="12">
        <v>22.836200000000002</v>
      </c>
      <c r="S209" s="12">
        <v>22.959299999999999</v>
      </c>
      <c r="T209" s="12">
        <v>22.5124</v>
      </c>
      <c r="U209" s="12">
        <v>22.599</v>
      </c>
      <c r="V209" s="12">
        <v>22.220700000000001</v>
      </c>
      <c r="W209" s="12">
        <v>21.674800000000001</v>
      </c>
      <c r="X209" s="12">
        <v>21.537500000000001</v>
      </c>
      <c r="Y209" s="12">
        <v>21.072399999999998</v>
      </c>
      <c r="Z209" s="12">
        <v>22.238600000000002</v>
      </c>
      <c r="AA209" s="12">
        <v>21.749500000000001</v>
      </c>
      <c r="AB209" s="12">
        <v>22.154399999999999</v>
      </c>
      <c r="AC209" s="12">
        <v>22.961400000000001</v>
      </c>
      <c r="AD209" s="12" t="s">
        <v>73</v>
      </c>
    </row>
    <row r="210" spans="1:30" x14ac:dyDescent="0.3">
      <c r="A210" s="13" t="s">
        <v>569</v>
      </c>
      <c r="B210" s="14" t="s">
        <v>778</v>
      </c>
      <c r="C210" t="s">
        <v>441</v>
      </c>
      <c r="D210" s="5" t="s">
        <v>442</v>
      </c>
      <c r="E210" s="12">
        <v>13.944599999999999</v>
      </c>
      <c r="F210" s="12">
        <v>14.099500000000001</v>
      </c>
      <c r="G210" s="12">
        <v>14.356400000000001</v>
      </c>
      <c r="H210" s="12">
        <v>14.7578</v>
      </c>
      <c r="I210" s="12">
        <v>15.7805</v>
      </c>
      <c r="J210" s="12">
        <v>16.703600000000002</v>
      </c>
      <c r="K210" s="12">
        <v>17.639800000000001</v>
      </c>
      <c r="L210" s="12">
        <v>18.723099999999999</v>
      </c>
      <c r="M210" s="12">
        <v>19.7987</v>
      </c>
      <c r="N210" s="12">
        <v>21.282</v>
      </c>
      <c r="O210" s="12">
        <v>22.667400000000001</v>
      </c>
      <c r="P210" s="12">
        <v>24.101700000000001</v>
      </c>
      <c r="Q210" s="12">
        <v>25.6859</v>
      </c>
      <c r="R210" s="12">
        <v>26.828399999999998</v>
      </c>
      <c r="S210" s="12">
        <v>27.9831</v>
      </c>
      <c r="T210" s="12">
        <v>29.003499999999999</v>
      </c>
      <c r="U210" s="12">
        <v>31.5718</v>
      </c>
      <c r="V210" s="12">
        <v>32.3765</v>
      </c>
      <c r="W210" s="12">
        <v>33.204900000000002</v>
      </c>
      <c r="X210" s="12">
        <v>33.668700000000001</v>
      </c>
      <c r="Y210" s="12">
        <v>34.2089</v>
      </c>
      <c r="Z210" s="12">
        <v>35.131399999999999</v>
      </c>
      <c r="AA210" s="12">
        <v>35.919800000000002</v>
      </c>
      <c r="AB210" s="12">
        <v>37.622</v>
      </c>
      <c r="AC210" s="12">
        <v>37.786200000000001</v>
      </c>
      <c r="AD210" s="12" t="s">
        <v>73</v>
      </c>
    </row>
    <row r="211" spans="1:30" x14ac:dyDescent="0.3">
      <c r="A211" s="13" t="s">
        <v>569</v>
      </c>
      <c r="B211" s="14" t="s">
        <v>779</v>
      </c>
      <c r="C211" t="s">
        <v>443</v>
      </c>
      <c r="D211" s="5" t="s">
        <v>444</v>
      </c>
      <c r="E211" s="12">
        <v>0.29609999999999997</v>
      </c>
      <c r="F211" s="12">
        <v>0.27710000000000001</v>
      </c>
      <c r="G211" s="12">
        <v>0.27700000000000002</v>
      </c>
      <c r="H211" s="12">
        <v>0.28770000000000001</v>
      </c>
      <c r="I211" s="12">
        <v>0.29270000000000002</v>
      </c>
      <c r="J211" s="12">
        <v>0.29730000000000001</v>
      </c>
      <c r="K211" s="12">
        <v>0.3024</v>
      </c>
      <c r="L211" s="12">
        <v>0.35980000000000001</v>
      </c>
      <c r="M211" s="12">
        <v>0.36180000000000001</v>
      </c>
      <c r="N211" s="12">
        <v>0.33379999999999999</v>
      </c>
      <c r="O211" s="12">
        <v>0.3422</v>
      </c>
      <c r="P211" s="12">
        <v>0.3468</v>
      </c>
      <c r="Q211" s="12">
        <v>0.34560000000000002</v>
      </c>
      <c r="R211" s="12">
        <v>0.3427</v>
      </c>
      <c r="S211" s="12">
        <v>0.34189999999999998</v>
      </c>
      <c r="T211" s="12">
        <v>0.2984</v>
      </c>
      <c r="U211" s="12">
        <v>0.2351</v>
      </c>
      <c r="V211" s="12">
        <v>0.20799999999999999</v>
      </c>
      <c r="W211" s="12">
        <v>0.2094</v>
      </c>
      <c r="X211" s="12">
        <v>0.20930000000000001</v>
      </c>
      <c r="Y211" s="12">
        <v>0.2094</v>
      </c>
      <c r="Z211" s="12">
        <v>0.2097</v>
      </c>
      <c r="AA211" s="12">
        <v>0.20880000000000001</v>
      </c>
      <c r="AB211" s="12">
        <v>0.18759999999999999</v>
      </c>
      <c r="AC211" s="12">
        <v>0.1832</v>
      </c>
      <c r="AD211" s="12" t="s">
        <v>73</v>
      </c>
    </row>
    <row r="212" spans="1:30" x14ac:dyDescent="0.3">
      <c r="A212" s="13" t="s">
        <v>569</v>
      </c>
      <c r="B212" s="14" t="s">
        <v>780</v>
      </c>
      <c r="C212" t="s">
        <v>445</v>
      </c>
      <c r="D212" s="5" t="s">
        <v>446</v>
      </c>
      <c r="E212" s="12">
        <v>28.787199999999999</v>
      </c>
      <c r="F212" s="12">
        <v>29.571200000000001</v>
      </c>
      <c r="G212" s="12">
        <v>30.080200000000001</v>
      </c>
      <c r="H212" s="12">
        <v>30.5471</v>
      </c>
      <c r="I212" s="12">
        <v>31.560400000000001</v>
      </c>
      <c r="J212" s="12">
        <v>32.507399999999997</v>
      </c>
      <c r="K212" s="12">
        <v>32.781700000000001</v>
      </c>
      <c r="L212" s="12">
        <v>33.219200000000001</v>
      </c>
      <c r="M212" s="12">
        <v>33.697800000000001</v>
      </c>
      <c r="N212" s="12">
        <v>33.9054</v>
      </c>
      <c r="O212" s="12">
        <v>28.442900000000002</v>
      </c>
      <c r="P212" s="12">
        <v>28.820900000000002</v>
      </c>
      <c r="Q212" s="12">
        <v>33.618200000000002</v>
      </c>
      <c r="R212" s="12">
        <v>33.505299999999998</v>
      </c>
      <c r="S212" s="12">
        <v>33.200200000000002</v>
      </c>
      <c r="T212" s="12">
        <v>32.745100000000001</v>
      </c>
      <c r="U212" s="12">
        <v>31.780999999999999</v>
      </c>
      <c r="V212" s="12">
        <v>31.264299999999999</v>
      </c>
      <c r="W212" s="12">
        <v>30.8874</v>
      </c>
      <c r="X212" s="12">
        <v>31.011800000000001</v>
      </c>
      <c r="Y212" s="12">
        <v>31.574400000000001</v>
      </c>
      <c r="Z212" s="12">
        <v>31.2713</v>
      </c>
      <c r="AA212" s="12">
        <v>32.7714</v>
      </c>
      <c r="AB212" s="12">
        <v>32.270099999999999</v>
      </c>
      <c r="AC212" s="12">
        <v>32.458799999999997</v>
      </c>
      <c r="AD212" s="12" t="s">
        <v>73</v>
      </c>
    </row>
    <row r="213" spans="1:30" x14ac:dyDescent="0.3">
      <c r="A213" s="13" t="s">
        <v>569</v>
      </c>
      <c r="B213" s="14" t="s">
        <v>781</v>
      </c>
      <c r="C213" t="s">
        <v>447</v>
      </c>
      <c r="D213" s="5" t="s">
        <v>448</v>
      </c>
      <c r="E213" s="12">
        <v>67.933700000000002</v>
      </c>
      <c r="F213" s="12">
        <v>66.708799999999997</v>
      </c>
      <c r="G213" s="12">
        <v>68.4328</v>
      </c>
      <c r="H213" s="12">
        <v>69.214100000000002</v>
      </c>
      <c r="I213" s="12">
        <v>71.039500000000004</v>
      </c>
      <c r="J213" s="12">
        <v>71.726399999999998</v>
      </c>
      <c r="K213" s="12">
        <v>73.238100000000003</v>
      </c>
      <c r="L213" s="12">
        <v>73.222399999999993</v>
      </c>
      <c r="M213" s="12">
        <v>74.539000000000001</v>
      </c>
      <c r="N213" s="12">
        <v>74.5625</v>
      </c>
      <c r="O213" s="12">
        <v>74.718699999999998</v>
      </c>
      <c r="P213" s="12">
        <v>75.591499999999996</v>
      </c>
      <c r="Q213" s="12">
        <v>76.010900000000007</v>
      </c>
      <c r="R213" s="12">
        <v>76.781999999999996</v>
      </c>
      <c r="S213" s="12">
        <v>76.887100000000004</v>
      </c>
      <c r="T213" s="12">
        <v>77.537099999999995</v>
      </c>
      <c r="U213" s="12">
        <v>76.784800000000004</v>
      </c>
      <c r="V213" s="12">
        <v>76.553200000000004</v>
      </c>
      <c r="W213" s="12">
        <v>76.537999999999997</v>
      </c>
      <c r="X213" s="12">
        <v>74.499899999999997</v>
      </c>
      <c r="Y213" s="12">
        <v>73.657399999999996</v>
      </c>
      <c r="Z213" s="12">
        <v>74.398700000000005</v>
      </c>
      <c r="AA213" s="12">
        <v>73.405799999999999</v>
      </c>
      <c r="AB213" s="12">
        <v>73.695300000000003</v>
      </c>
      <c r="AC213" s="12">
        <v>74.178600000000003</v>
      </c>
      <c r="AD213" s="12" t="s">
        <v>73</v>
      </c>
    </row>
    <row r="214" spans="1:30" x14ac:dyDescent="0.3">
      <c r="A214" s="13" t="s">
        <v>569</v>
      </c>
      <c r="B214" s="14" t="s">
        <v>782</v>
      </c>
      <c r="C214" t="s">
        <v>449</v>
      </c>
      <c r="D214" s="5" t="s">
        <v>450</v>
      </c>
      <c r="E214" s="12">
        <v>1.6400000000000001E-2</v>
      </c>
      <c r="F214" s="12">
        <v>1.6400000000000001E-2</v>
      </c>
      <c r="G214" s="12">
        <v>1.6400000000000001E-2</v>
      </c>
      <c r="H214" s="12">
        <v>1.6400000000000001E-2</v>
      </c>
      <c r="I214" s="12">
        <v>1.6400000000000001E-2</v>
      </c>
      <c r="J214" s="12">
        <v>1.6500000000000001E-2</v>
      </c>
      <c r="K214" s="12">
        <v>1.6400000000000001E-2</v>
      </c>
      <c r="L214" s="12">
        <v>1.66E-2</v>
      </c>
      <c r="M214" s="12">
        <v>1.66E-2</v>
      </c>
      <c r="N214" s="12">
        <v>1.66E-2</v>
      </c>
      <c r="O214" s="12">
        <v>1.6500000000000001E-2</v>
      </c>
      <c r="P214" s="12">
        <v>1.66E-2</v>
      </c>
      <c r="Q214" s="12">
        <v>1.66E-2</v>
      </c>
      <c r="R214" s="12">
        <v>1.67E-2</v>
      </c>
      <c r="S214" s="12">
        <v>1.6799999999999999E-2</v>
      </c>
      <c r="T214" s="12">
        <v>1.6799999999999999E-2</v>
      </c>
      <c r="U214" s="12">
        <v>1.6799999999999999E-2</v>
      </c>
      <c r="V214" s="12">
        <v>1.6799999999999999E-2</v>
      </c>
      <c r="W214" s="12">
        <v>1.6799999999999999E-2</v>
      </c>
      <c r="X214" s="12">
        <v>1.6799999999999999E-2</v>
      </c>
      <c r="Y214" s="12">
        <v>1.6799999999999999E-2</v>
      </c>
      <c r="Z214" s="12">
        <v>1.6799999999999999E-2</v>
      </c>
      <c r="AA214" s="12">
        <v>1.6799999999999999E-2</v>
      </c>
      <c r="AB214" s="12">
        <v>1.6899999999999998E-2</v>
      </c>
      <c r="AC214" s="12">
        <v>1.6899999999999998E-2</v>
      </c>
      <c r="AD214" s="12" t="s">
        <v>73</v>
      </c>
    </row>
    <row r="215" spans="1:30" x14ac:dyDescent="0.3">
      <c r="A215" s="13" t="s">
        <v>569</v>
      </c>
      <c r="B215" s="14" t="s">
        <v>783</v>
      </c>
      <c r="C215" t="s">
        <v>451</v>
      </c>
      <c r="D215" s="5" t="s">
        <v>452</v>
      </c>
      <c r="E215" s="12" t="s">
        <v>73</v>
      </c>
      <c r="F215" s="12" t="s">
        <v>73</v>
      </c>
      <c r="G215" s="12" t="s">
        <v>73</v>
      </c>
      <c r="H215" s="12" t="s">
        <v>73</v>
      </c>
      <c r="I215" s="12" t="s">
        <v>73</v>
      </c>
      <c r="J215" s="12" t="s">
        <v>73</v>
      </c>
      <c r="K215" s="12" t="s">
        <v>73</v>
      </c>
      <c r="L215" s="12" t="s">
        <v>73</v>
      </c>
      <c r="M215" s="12" t="s">
        <v>73</v>
      </c>
      <c r="N215" s="12" t="s">
        <v>73</v>
      </c>
      <c r="O215" s="12" t="s">
        <v>73</v>
      </c>
      <c r="P215" s="12" t="s">
        <v>73</v>
      </c>
      <c r="Q215" s="12" t="s">
        <v>73</v>
      </c>
      <c r="R215" s="12" t="s">
        <v>73</v>
      </c>
      <c r="S215" s="12" t="s">
        <v>73</v>
      </c>
      <c r="T215" s="12" t="s">
        <v>73</v>
      </c>
      <c r="U215" s="12" t="s">
        <v>73</v>
      </c>
      <c r="V215" s="12" t="s">
        <v>73</v>
      </c>
      <c r="W215" s="12" t="s">
        <v>73</v>
      </c>
      <c r="X215" s="12" t="s">
        <v>73</v>
      </c>
      <c r="Y215" s="12" t="s">
        <v>73</v>
      </c>
      <c r="Z215" s="12" t="s">
        <v>73</v>
      </c>
      <c r="AA215" s="12" t="s">
        <v>73</v>
      </c>
      <c r="AB215" s="12" t="s">
        <v>73</v>
      </c>
      <c r="AC215" s="12" t="s">
        <v>73</v>
      </c>
      <c r="AD215" s="12" t="s">
        <v>73</v>
      </c>
    </row>
    <row r="216" spans="1:30" x14ac:dyDescent="0.3">
      <c r="A216" s="13" t="s">
        <v>569</v>
      </c>
      <c r="B216" s="14" t="s">
        <v>784</v>
      </c>
      <c r="C216" t="s">
        <v>453</v>
      </c>
      <c r="D216" s="5" t="s">
        <v>454</v>
      </c>
      <c r="E216" s="12">
        <v>3.5806</v>
      </c>
      <c r="F216" s="12">
        <v>3.7501000000000002</v>
      </c>
      <c r="G216" s="12">
        <v>3.7884000000000002</v>
      </c>
      <c r="H216" s="12">
        <v>4.2119999999999997</v>
      </c>
      <c r="I216" s="12">
        <v>4.2610000000000001</v>
      </c>
      <c r="J216" s="12">
        <v>4.3109999999999999</v>
      </c>
      <c r="K216" s="12">
        <v>4.4085000000000001</v>
      </c>
      <c r="L216" s="12">
        <v>4.5856000000000003</v>
      </c>
      <c r="M216" s="12">
        <v>4.7224000000000004</v>
      </c>
      <c r="N216" s="12">
        <v>4.8324999999999996</v>
      </c>
      <c r="O216" s="12">
        <v>4.8954000000000004</v>
      </c>
      <c r="P216" s="12">
        <v>5.0110000000000001</v>
      </c>
      <c r="Q216" s="12">
        <v>5.0659000000000001</v>
      </c>
      <c r="R216" s="12">
        <v>5.1470000000000002</v>
      </c>
      <c r="S216" s="12">
        <v>5.2275</v>
      </c>
      <c r="T216" s="12">
        <v>5.1494</v>
      </c>
      <c r="U216" s="12">
        <v>4.9917999999999996</v>
      </c>
      <c r="V216" s="12">
        <v>4.9645999999999999</v>
      </c>
      <c r="W216" s="12">
        <v>4.7049000000000003</v>
      </c>
      <c r="X216" s="12">
        <v>5.2523999999999997</v>
      </c>
      <c r="Y216" s="12">
        <v>5.3079999999999998</v>
      </c>
      <c r="Z216" s="12">
        <v>5.4943</v>
      </c>
      <c r="AA216" s="12">
        <v>5.5324</v>
      </c>
      <c r="AB216" s="12">
        <v>5.4882</v>
      </c>
      <c r="AC216" s="12">
        <v>5.6451000000000002</v>
      </c>
      <c r="AD216" s="12" t="s">
        <v>73</v>
      </c>
    </row>
    <row r="217" spans="1:30" x14ac:dyDescent="0.3">
      <c r="A217" s="13" t="s">
        <v>569</v>
      </c>
      <c r="B217" s="14" t="s">
        <v>785</v>
      </c>
      <c r="C217" t="s">
        <v>455</v>
      </c>
      <c r="D217" s="5" t="s">
        <v>456</v>
      </c>
      <c r="E217" s="12">
        <v>3.1930999999999998</v>
      </c>
      <c r="F217" s="12">
        <v>3.2911000000000001</v>
      </c>
      <c r="G217" s="12">
        <v>3.0962000000000001</v>
      </c>
      <c r="H217" s="12">
        <v>2.9946000000000002</v>
      </c>
      <c r="I217" s="12">
        <v>2.9883999999999999</v>
      </c>
      <c r="J217" s="12">
        <v>3.2412000000000001</v>
      </c>
      <c r="K217" s="12">
        <v>3.5270999999999999</v>
      </c>
      <c r="L217" s="12">
        <v>3.1606000000000001</v>
      </c>
      <c r="M217" s="12">
        <v>3.0213000000000001</v>
      </c>
      <c r="N217" s="12">
        <v>3.8885000000000001</v>
      </c>
      <c r="O217" s="12">
        <v>4.0167999999999999</v>
      </c>
      <c r="P217" s="12">
        <v>3.4331999999999998</v>
      </c>
      <c r="Q217" s="12">
        <v>4.9851999999999999</v>
      </c>
      <c r="R217" s="12">
        <v>5.1071999999999997</v>
      </c>
      <c r="S217" s="12">
        <v>5.2146999999999997</v>
      </c>
      <c r="T217" s="12">
        <v>5.0096999999999996</v>
      </c>
      <c r="U217" s="12">
        <v>4.8563000000000001</v>
      </c>
      <c r="V217" s="12">
        <v>4.9661</v>
      </c>
      <c r="W217" s="12">
        <v>4.9885000000000002</v>
      </c>
      <c r="X217" s="12">
        <v>5.1817000000000002</v>
      </c>
      <c r="Y217" s="12">
        <v>5.133</v>
      </c>
      <c r="Z217" s="12">
        <v>5.5267999999999997</v>
      </c>
      <c r="AA217" s="12">
        <v>6.1897000000000002</v>
      </c>
      <c r="AB217" s="12">
        <v>6.1718999999999999</v>
      </c>
      <c r="AC217" s="12">
        <v>6.3872999999999998</v>
      </c>
      <c r="AD217" s="12" t="s">
        <v>73</v>
      </c>
    </row>
    <row r="218" spans="1:30" x14ac:dyDescent="0.3">
      <c r="A218" s="13" t="s">
        <v>569</v>
      </c>
      <c r="B218" s="14" t="s">
        <v>786</v>
      </c>
      <c r="C218" t="s">
        <v>457</v>
      </c>
      <c r="D218" s="5" t="s">
        <v>458</v>
      </c>
      <c r="E218" s="12">
        <v>9.0200999999999993</v>
      </c>
      <c r="F218" s="12">
        <v>9.1841000000000008</v>
      </c>
      <c r="G218" s="12">
        <v>8.3528000000000002</v>
      </c>
      <c r="H218" s="12">
        <v>7.9786999999999999</v>
      </c>
      <c r="I218" s="12">
        <v>7.7884000000000002</v>
      </c>
      <c r="J218" s="12">
        <v>7.8091999999999997</v>
      </c>
      <c r="K218" s="12">
        <v>7.5297999999999998</v>
      </c>
      <c r="L218" s="12">
        <v>7.6025</v>
      </c>
      <c r="M218" s="12">
        <v>7.4941000000000004</v>
      </c>
      <c r="N218" s="12">
        <v>8.0837000000000003</v>
      </c>
      <c r="O218" s="12">
        <v>8.7560000000000002</v>
      </c>
      <c r="P218" s="12">
        <v>9.1854999999999993</v>
      </c>
      <c r="Q218" s="12">
        <v>9.2809000000000008</v>
      </c>
      <c r="R218" s="12">
        <v>9.3615999999999993</v>
      </c>
      <c r="S218" s="12">
        <v>7.4396000000000004</v>
      </c>
      <c r="T218" s="12">
        <v>8.2615999999999996</v>
      </c>
      <c r="U218" s="12">
        <v>8.2466000000000008</v>
      </c>
      <c r="V218" s="12">
        <v>8.1818000000000008</v>
      </c>
      <c r="W218" s="12">
        <v>8.2138000000000009</v>
      </c>
      <c r="X218" s="12">
        <v>7.9231999999999996</v>
      </c>
      <c r="Y218" s="12">
        <v>8.1537000000000006</v>
      </c>
      <c r="Z218" s="12">
        <v>8.3125999999999998</v>
      </c>
      <c r="AA218" s="12">
        <v>8.4085000000000001</v>
      </c>
      <c r="AB218" s="12">
        <v>9.0593000000000004</v>
      </c>
      <c r="AC218" s="12">
        <v>9.1975999999999996</v>
      </c>
      <c r="AD218" s="12" t="s">
        <v>73</v>
      </c>
    </row>
    <row r="219" spans="1:30" x14ac:dyDescent="0.3">
      <c r="A219" s="13" t="s">
        <v>569</v>
      </c>
      <c r="B219" s="14" t="s">
        <v>787</v>
      </c>
      <c r="C219" t="s">
        <v>459</v>
      </c>
      <c r="D219" s="5" t="s">
        <v>460</v>
      </c>
      <c r="E219" s="12">
        <v>225.44390000000001</v>
      </c>
      <c r="F219" s="12">
        <v>230.91460000000004</v>
      </c>
      <c r="G219" s="12">
        <v>237.75369999999998</v>
      </c>
      <c r="H219" s="12">
        <v>241.82340000000002</v>
      </c>
      <c r="I219" s="12">
        <v>246.52090000000004</v>
      </c>
      <c r="J219" s="12">
        <v>256.95909999999998</v>
      </c>
      <c r="K219" s="12">
        <v>257.94159999999994</v>
      </c>
      <c r="L219" s="12">
        <v>281.22069999999991</v>
      </c>
      <c r="M219" s="12">
        <v>295.57329999999996</v>
      </c>
      <c r="N219" s="12">
        <v>298.52019999999999</v>
      </c>
      <c r="O219" s="12">
        <v>307.6379</v>
      </c>
      <c r="P219" s="12">
        <v>305.51149999999996</v>
      </c>
      <c r="Q219" s="12">
        <v>314.05149999999998</v>
      </c>
      <c r="R219" s="12">
        <v>315.51280000000003</v>
      </c>
      <c r="S219" s="12">
        <v>319.03519999999997</v>
      </c>
      <c r="T219" s="12">
        <v>322.26440000000002</v>
      </c>
      <c r="U219" s="12">
        <v>329.96980000000002</v>
      </c>
      <c r="V219" s="12">
        <v>327.64030000000002</v>
      </c>
      <c r="W219" s="12">
        <v>334.92669999999998</v>
      </c>
      <c r="X219" s="12">
        <v>349.59679999999997</v>
      </c>
      <c r="Y219" s="12">
        <v>365.31380000000001</v>
      </c>
      <c r="Z219" s="12">
        <v>355.82370000000009</v>
      </c>
      <c r="AA219" s="12">
        <v>362.25810000000013</v>
      </c>
      <c r="AB219" s="12">
        <v>373.28210000000001</v>
      </c>
      <c r="AC219" s="12">
        <v>380.54940000000005</v>
      </c>
      <c r="AD219" s="12" t="s">
        <v>73</v>
      </c>
    </row>
    <row r="220" spans="1:30" x14ac:dyDescent="0.3">
      <c r="A220" s="13" t="s">
        <v>569</v>
      </c>
      <c r="B220" s="14" t="s">
        <v>788</v>
      </c>
      <c r="C220" t="s">
        <v>461</v>
      </c>
      <c r="D220" s="5" t="s">
        <v>462</v>
      </c>
      <c r="E220" s="12">
        <v>112.03600000000002</v>
      </c>
      <c r="F220" s="12">
        <v>114.9753</v>
      </c>
      <c r="G220" s="12">
        <v>118.49380000000001</v>
      </c>
      <c r="H220" s="12">
        <v>124.4414</v>
      </c>
      <c r="I220" s="12">
        <v>128.62140000000002</v>
      </c>
      <c r="J220" s="12">
        <v>133.5712</v>
      </c>
      <c r="K220" s="12">
        <v>137.89300000000003</v>
      </c>
      <c r="L220" s="12">
        <v>140.12019999999998</v>
      </c>
      <c r="M220" s="12">
        <v>144.7132</v>
      </c>
      <c r="N220" s="12">
        <v>148.40010000000001</v>
      </c>
      <c r="O220" s="12">
        <v>155.60839999999999</v>
      </c>
      <c r="P220" s="12">
        <v>163.8237</v>
      </c>
      <c r="Q220" s="12">
        <v>172.11539999999997</v>
      </c>
      <c r="R220" s="12">
        <v>178.82360000000003</v>
      </c>
      <c r="S220" s="12">
        <v>185.4401</v>
      </c>
      <c r="T220" s="12">
        <v>194.60499999999999</v>
      </c>
      <c r="U220" s="12">
        <v>201.83819999999997</v>
      </c>
      <c r="V220" s="12">
        <v>208.14629999999997</v>
      </c>
      <c r="W220" s="12">
        <v>215.96969999999996</v>
      </c>
      <c r="X220" s="12">
        <v>223.21299999999997</v>
      </c>
      <c r="Y220" s="12">
        <v>227.31729999999996</v>
      </c>
      <c r="Z220" s="12">
        <v>238.49809999999999</v>
      </c>
      <c r="AA220" s="12">
        <v>245.12750000000005</v>
      </c>
      <c r="AB220" s="12">
        <v>251.45950000000005</v>
      </c>
      <c r="AC220" s="12">
        <v>257.17259999999999</v>
      </c>
      <c r="AD220" s="12" t="s">
        <v>73</v>
      </c>
    </row>
    <row r="221" spans="1:30" x14ac:dyDescent="0.3">
      <c r="A221" s="13" t="s">
        <v>569</v>
      </c>
      <c r="B221" s="14" t="s">
        <v>789</v>
      </c>
      <c r="C221" t="s">
        <v>463</v>
      </c>
      <c r="D221" s="5" t="s">
        <v>464</v>
      </c>
      <c r="E221" s="12">
        <v>126.6341</v>
      </c>
      <c r="F221" s="12">
        <v>129.07650000000001</v>
      </c>
      <c r="G221" s="12">
        <v>132.29639999999998</v>
      </c>
      <c r="H221" s="12">
        <v>136.33049999999997</v>
      </c>
      <c r="I221" s="12">
        <v>138.964</v>
      </c>
      <c r="J221" s="12">
        <v>142.19889999999998</v>
      </c>
      <c r="K221" s="12">
        <v>143.89470000000003</v>
      </c>
      <c r="L221" s="12">
        <v>145.75450000000004</v>
      </c>
      <c r="M221" s="12">
        <v>145.97539999999998</v>
      </c>
      <c r="N221" s="12">
        <v>145.01649999999998</v>
      </c>
      <c r="O221" s="12">
        <v>145.34509999999997</v>
      </c>
      <c r="P221" s="12">
        <v>146.85039999999998</v>
      </c>
      <c r="Q221" s="12">
        <v>150.87970000000001</v>
      </c>
      <c r="R221" s="12">
        <v>151.3416</v>
      </c>
      <c r="S221" s="12">
        <v>152.4889</v>
      </c>
      <c r="T221" s="12">
        <v>151.10820000000001</v>
      </c>
      <c r="U221" s="12">
        <v>151.57379999999998</v>
      </c>
      <c r="V221" s="12">
        <v>150.03190000000001</v>
      </c>
      <c r="W221" s="12">
        <v>149.91929999999999</v>
      </c>
      <c r="X221" s="12">
        <v>147.33679999999998</v>
      </c>
      <c r="Y221" s="12">
        <v>150.90439999999998</v>
      </c>
      <c r="Z221" s="12">
        <v>150.81319999999999</v>
      </c>
      <c r="AA221" s="12">
        <v>152.94879999999998</v>
      </c>
      <c r="AB221" s="12">
        <v>152.67680000000001</v>
      </c>
      <c r="AC221" s="12">
        <v>153.62860000000001</v>
      </c>
      <c r="AD221" s="12" t="s">
        <v>73</v>
      </c>
    </row>
    <row r="222" spans="1:30" x14ac:dyDescent="0.3">
      <c r="A222" s="13" t="s">
        <v>569</v>
      </c>
      <c r="B222" s="14" t="s">
        <v>790</v>
      </c>
      <c r="C222" t="s">
        <v>465</v>
      </c>
      <c r="D222" s="5" t="s">
        <v>466</v>
      </c>
      <c r="E222" s="12">
        <v>1.8923999999999999</v>
      </c>
      <c r="F222" s="12">
        <v>2.0077999999999996</v>
      </c>
      <c r="G222" s="12">
        <v>1.75</v>
      </c>
      <c r="H222" s="12">
        <v>1.9916</v>
      </c>
      <c r="I222" s="12">
        <v>1.8818999999999997</v>
      </c>
      <c r="J222" s="12">
        <v>1.7614999999999998</v>
      </c>
      <c r="K222" s="12">
        <v>1.7922</v>
      </c>
      <c r="L222" s="12">
        <v>1.8050999999999999</v>
      </c>
      <c r="M222" s="12">
        <v>1.9163000000000003</v>
      </c>
      <c r="N222" s="12">
        <v>2.097</v>
      </c>
      <c r="O222" s="12">
        <v>2.1176999999999997</v>
      </c>
      <c r="P222" s="12">
        <v>2.2311999999999999</v>
      </c>
      <c r="Q222" s="12">
        <v>2.2218</v>
      </c>
      <c r="R222" s="12">
        <v>2.4741</v>
      </c>
      <c r="S222" s="12">
        <v>2.6278000000000001</v>
      </c>
      <c r="T222" s="12">
        <v>2.6677</v>
      </c>
      <c r="U222" s="12">
        <v>2.3908999999999998</v>
      </c>
      <c r="V222" s="12">
        <v>2.5456000000000003</v>
      </c>
      <c r="W222" s="12">
        <v>2.4664999999999999</v>
      </c>
      <c r="X222" s="12">
        <v>2.5767000000000002</v>
      </c>
      <c r="Y222" s="12">
        <v>2.5897000000000006</v>
      </c>
      <c r="Z222" s="12">
        <v>2.3786999999999998</v>
      </c>
      <c r="AA222" s="12">
        <v>2.2920000000000003</v>
      </c>
      <c r="AB222" s="12">
        <v>2.3564999999999996</v>
      </c>
      <c r="AC222" s="12">
        <v>2.5402999999999998</v>
      </c>
      <c r="AD222" s="12" t="s">
        <v>73</v>
      </c>
    </row>
    <row r="223" spans="1:30" x14ac:dyDescent="0.3">
      <c r="A223" s="13" t="s">
        <v>569</v>
      </c>
      <c r="B223" s="14" t="s">
        <v>791</v>
      </c>
      <c r="C223" t="s">
        <v>467</v>
      </c>
      <c r="D223" s="5" t="s">
        <v>468</v>
      </c>
      <c r="E223" s="12">
        <v>52.944000000000003</v>
      </c>
      <c r="F223" s="12">
        <v>51.403299999999994</v>
      </c>
      <c r="G223" s="12">
        <v>51.665900000000008</v>
      </c>
      <c r="H223" s="12">
        <v>51.777100000000004</v>
      </c>
      <c r="I223" s="12">
        <v>51.712200000000003</v>
      </c>
      <c r="J223" s="12">
        <v>50.173299999999998</v>
      </c>
      <c r="K223" s="12">
        <v>50.838900000000002</v>
      </c>
      <c r="L223" s="12">
        <v>51.449699999999993</v>
      </c>
      <c r="M223" s="12">
        <v>50.796700000000008</v>
      </c>
      <c r="N223" s="12">
        <v>49.798900000000003</v>
      </c>
      <c r="O223" s="12">
        <v>49.654800000000009</v>
      </c>
      <c r="P223" s="12">
        <v>47.877700000000004</v>
      </c>
      <c r="Q223" s="12">
        <v>47.277099999999997</v>
      </c>
      <c r="R223" s="12">
        <v>47.662099999999995</v>
      </c>
      <c r="S223" s="12">
        <v>48.519399999999997</v>
      </c>
      <c r="T223" s="12">
        <v>49.109599999999993</v>
      </c>
      <c r="U223" s="12">
        <v>49.038699999999999</v>
      </c>
      <c r="V223" s="12">
        <v>49.462500000000006</v>
      </c>
      <c r="W223" s="12">
        <v>48.925400000000003</v>
      </c>
      <c r="X223" s="12">
        <v>48.859799999999993</v>
      </c>
      <c r="Y223" s="12">
        <v>48.957099999999997</v>
      </c>
      <c r="Z223" s="12">
        <v>48.191799999999986</v>
      </c>
      <c r="AA223" s="12">
        <v>48.112099999999998</v>
      </c>
      <c r="AB223" s="12">
        <v>47.70170000000001</v>
      </c>
      <c r="AC223" s="12">
        <v>47.622</v>
      </c>
      <c r="AD223" s="12" t="s">
        <v>73</v>
      </c>
    </row>
    <row r="224" spans="1:30" x14ac:dyDescent="0.3">
      <c r="A224" s="13" t="s">
        <v>569</v>
      </c>
      <c r="B224" s="14" t="s">
        <v>792</v>
      </c>
      <c r="C224" t="s">
        <v>469</v>
      </c>
      <c r="D224" s="5" t="s">
        <v>470</v>
      </c>
      <c r="E224" s="12">
        <v>1299.5479000000003</v>
      </c>
      <c r="F224" s="12">
        <v>1309.6196000000002</v>
      </c>
      <c r="G224" s="12">
        <v>1321.3839</v>
      </c>
      <c r="H224" s="12">
        <v>1347.3374999999996</v>
      </c>
      <c r="I224" s="12">
        <v>1368.9646000000007</v>
      </c>
      <c r="J224" s="12">
        <v>1402.9974999999997</v>
      </c>
      <c r="K224" s="12">
        <v>1440.3042</v>
      </c>
      <c r="L224" s="12">
        <v>1474.8184999999994</v>
      </c>
      <c r="M224" s="12">
        <v>1497.7228999999995</v>
      </c>
      <c r="N224" s="12">
        <v>1500.8234</v>
      </c>
      <c r="O224" s="12">
        <v>1502.9916000000001</v>
      </c>
      <c r="P224" s="12">
        <v>1519.9236000000001</v>
      </c>
      <c r="Q224" s="12">
        <v>1540.6026000000006</v>
      </c>
      <c r="R224" s="12">
        <v>1556.0586000000003</v>
      </c>
      <c r="S224" s="12">
        <v>1565.3299999999997</v>
      </c>
      <c r="T224" s="12">
        <v>1577.3912</v>
      </c>
      <c r="U224" s="12">
        <v>1593.0628000000002</v>
      </c>
      <c r="V224" s="12">
        <v>1614.3084000000003</v>
      </c>
      <c r="W224" s="12">
        <v>1613.9239999999998</v>
      </c>
      <c r="X224" s="12">
        <v>1626.9525999999994</v>
      </c>
      <c r="Y224" s="12">
        <v>1657.9199000000003</v>
      </c>
      <c r="Z224" s="12">
        <v>1666.7733000000005</v>
      </c>
      <c r="AA224" s="12">
        <v>1682.6693999999991</v>
      </c>
      <c r="AB224" s="12">
        <v>1695.8073999999988</v>
      </c>
      <c r="AC224" s="12">
        <v>1712.2538999999995</v>
      </c>
      <c r="AD224" s="12" t="s">
        <v>73</v>
      </c>
    </row>
    <row r="225" spans="1:30" x14ac:dyDescent="0.3">
      <c r="A225" s="13" t="s">
        <v>569</v>
      </c>
      <c r="B225" s="14" t="s">
        <v>793</v>
      </c>
      <c r="C225" t="s">
        <v>471</v>
      </c>
      <c r="D225" s="5" t="s">
        <v>472</v>
      </c>
      <c r="E225" s="12">
        <v>1013.1702999999999</v>
      </c>
      <c r="F225" s="12">
        <v>996.59669999999994</v>
      </c>
      <c r="G225" s="12">
        <v>985.71239999999989</v>
      </c>
      <c r="H225" s="12">
        <v>971.06780000000015</v>
      </c>
      <c r="I225" s="12">
        <v>1000.4355</v>
      </c>
      <c r="J225" s="12">
        <v>1011.5383000000002</v>
      </c>
      <c r="K225" s="12">
        <v>1023.3007000000005</v>
      </c>
      <c r="L225" s="12">
        <v>1022.3850999999999</v>
      </c>
      <c r="M225" s="12">
        <v>1036.2123999999999</v>
      </c>
      <c r="N225" s="12">
        <v>1043.2504999999999</v>
      </c>
      <c r="O225" s="12">
        <v>1042.4069999999999</v>
      </c>
      <c r="P225" s="12">
        <v>1042.6169000000004</v>
      </c>
      <c r="Q225" s="12">
        <v>1046.0173000000002</v>
      </c>
      <c r="R225" s="12">
        <v>1041.7553000000003</v>
      </c>
      <c r="S225" s="12">
        <v>1043.4380000000001</v>
      </c>
      <c r="T225" s="12">
        <v>1039.9537000000003</v>
      </c>
      <c r="U225" s="12">
        <v>1037.7397999999998</v>
      </c>
      <c r="V225" s="12">
        <v>1043.6689000000001</v>
      </c>
      <c r="W225" s="12">
        <v>1024.8050000000003</v>
      </c>
      <c r="X225" s="12">
        <v>998.77179999999976</v>
      </c>
      <c r="Y225" s="12">
        <v>1008.7765999999997</v>
      </c>
      <c r="Z225" s="12">
        <v>1023.0006</v>
      </c>
      <c r="AA225" s="12">
        <v>1021.1415</v>
      </c>
      <c r="AB225" s="12">
        <v>1051.3092999999999</v>
      </c>
      <c r="AC225" s="12">
        <v>1050.5321999999999</v>
      </c>
      <c r="AD225" s="12" t="s">
        <v>73</v>
      </c>
    </row>
    <row r="226" spans="1:30" x14ac:dyDescent="0.3">
      <c r="A226" s="13" t="s">
        <v>569</v>
      </c>
      <c r="B226" s="14" t="s">
        <v>794</v>
      </c>
      <c r="C226" t="s">
        <v>473</v>
      </c>
      <c r="D226" s="5" t="s">
        <v>474</v>
      </c>
      <c r="E226" s="12">
        <v>838.54599999999982</v>
      </c>
      <c r="F226" s="12">
        <v>823.26759999999979</v>
      </c>
      <c r="G226" s="12">
        <v>812.35219999999993</v>
      </c>
      <c r="H226" s="12">
        <v>802.65570000000002</v>
      </c>
      <c r="I226" s="12">
        <v>827.99060000000009</v>
      </c>
      <c r="J226" s="12">
        <v>838.72649999999999</v>
      </c>
      <c r="K226" s="12">
        <v>849.16630000000009</v>
      </c>
      <c r="L226" s="12">
        <v>848.95949999999982</v>
      </c>
      <c r="M226" s="12">
        <v>865.35630000000003</v>
      </c>
      <c r="N226" s="12">
        <v>869.05809999999985</v>
      </c>
      <c r="O226" s="12">
        <v>869.90179999999998</v>
      </c>
      <c r="P226" s="12">
        <v>867.10470000000009</v>
      </c>
      <c r="Q226" s="12">
        <v>868.86480000000006</v>
      </c>
      <c r="R226" s="12">
        <v>862.79490000000021</v>
      </c>
      <c r="S226" s="12">
        <v>866.22110000000009</v>
      </c>
      <c r="T226" s="12">
        <v>867.75710000000004</v>
      </c>
      <c r="U226" s="12">
        <v>871.93500000000029</v>
      </c>
      <c r="V226" s="12">
        <v>874.53890000000013</v>
      </c>
      <c r="W226" s="12">
        <v>855.81750000000022</v>
      </c>
      <c r="X226" s="12">
        <v>835.17379999999991</v>
      </c>
      <c r="Y226" s="12">
        <v>848.08219999999983</v>
      </c>
      <c r="Z226" s="12">
        <v>857.76990000000001</v>
      </c>
      <c r="AA226" s="12">
        <v>855.8623</v>
      </c>
      <c r="AB226" s="12">
        <v>875.89320000000009</v>
      </c>
      <c r="AC226" s="12">
        <v>876.00689999999997</v>
      </c>
      <c r="AD226" s="12" t="s">
        <v>73</v>
      </c>
    </row>
    <row r="227" spans="1:30" x14ac:dyDescent="0.3">
      <c r="A227" s="13" t="s">
        <v>569</v>
      </c>
      <c r="B227" s="14" t="s">
        <v>795</v>
      </c>
      <c r="C227" t="s">
        <v>475</v>
      </c>
      <c r="D227" s="5" t="s">
        <v>476</v>
      </c>
      <c r="E227" s="12">
        <v>834.84219999999982</v>
      </c>
      <c r="F227" s="12">
        <v>819.32069999999987</v>
      </c>
      <c r="G227" s="12">
        <v>808.31809999999996</v>
      </c>
      <c r="H227" s="12">
        <v>798.59360000000004</v>
      </c>
      <c r="I227" s="12">
        <v>823.91849999999999</v>
      </c>
      <c r="J227" s="12">
        <v>834.58220000000006</v>
      </c>
      <c r="K227" s="12">
        <v>845.03290000000015</v>
      </c>
      <c r="L227" s="12">
        <v>844.96479999999985</v>
      </c>
      <c r="M227" s="12">
        <v>861.21579999999983</v>
      </c>
      <c r="N227" s="12">
        <v>864.99440000000016</v>
      </c>
      <c r="O227" s="12">
        <v>865.81089999999995</v>
      </c>
      <c r="P227" s="12">
        <v>862.98230000000001</v>
      </c>
      <c r="Q227" s="12">
        <v>864.65509999999995</v>
      </c>
      <c r="R227" s="12">
        <v>858.68779999999992</v>
      </c>
      <c r="S227" s="12">
        <v>862.25560000000007</v>
      </c>
      <c r="T227" s="12">
        <v>864.09809999999993</v>
      </c>
      <c r="U227" s="12">
        <v>868.14400000000001</v>
      </c>
      <c r="V227" s="12">
        <v>870.74560000000008</v>
      </c>
      <c r="W227" s="12">
        <v>852.09640000000002</v>
      </c>
      <c r="X227" s="12">
        <v>831.35899999999981</v>
      </c>
      <c r="Y227" s="12">
        <v>844.35510000000022</v>
      </c>
      <c r="Z227" s="12">
        <v>853.87659999999994</v>
      </c>
      <c r="AA227" s="12">
        <v>852.29039999999998</v>
      </c>
      <c r="AB227" s="12">
        <v>872.50060000000019</v>
      </c>
      <c r="AC227" s="12">
        <v>872.58</v>
      </c>
      <c r="AD227" s="12" t="s">
        <v>73</v>
      </c>
    </row>
    <row r="228" spans="1:30" x14ac:dyDescent="0.3">
      <c r="A228" s="13" t="s">
        <v>569</v>
      </c>
      <c r="B228" s="14" t="s">
        <v>796</v>
      </c>
      <c r="C228" t="s">
        <v>477</v>
      </c>
      <c r="D228" s="5" t="s">
        <v>478</v>
      </c>
      <c r="E228" s="12">
        <v>214.48909999999998</v>
      </c>
      <c r="F228" s="12">
        <v>210.71260000000001</v>
      </c>
      <c r="G228" s="12">
        <v>209.73780000000005</v>
      </c>
      <c r="H228" s="12">
        <v>206.30200000000002</v>
      </c>
      <c r="I228" s="12">
        <v>204.81580000000002</v>
      </c>
      <c r="J228" s="12">
        <v>200.94220000000001</v>
      </c>
      <c r="K228" s="12">
        <v>199.27600000000001</v>
      </c>
      <c r="L228" s="12">
        <v>200.89799999999997</v>
      </c>
      <c r="M228" s="12">
        <v>201.72570000000002</v>
      </c>
      <c r="N228" s="12">
        <v>201.17500000000004</v>
      </c>
      <c r="O228" s="12">
        <v>200.35720000000001</v>
      </c>
      <c r="P228" s="12">
        <v>197.74299999999999</v>
      </c>
      <c r="Q228" s="12">
        <v>197.92429999999999</v>
      </c>
      <c r="R228" s="12">
        <v>198.23599999999999</v>
      </c>
      <c r="S228" s="12">
        <v>199.7696</v>
      </c>
      <c r="T228" s="12">
        <v>202.7628</v>
      </c>
      <c r="U228" s="12">
        <v>203.33479999999997</v>
      </c>
      <c r="V228" s="12">
        <v>201.96480000000003</v>
      </c>
      <c r="W228" s="12">
        <v>197.97099999999998</v>
      </c>
      <c r="X228" s="12">
        <v>196.35879999999997</v>
      </c>
      <c r="Y228" s="12">
        <v>195.16469999999995</v>
      </c>
      <c r="Z228" s="12">
        <v>192.55860000000001</v>
      </c>
      <c r="AA228" s="12">
        <v>188.99029999999999</v>
      </c>
      <c r="AB228" s="12">
        <v>186.17439999999999</v>
      </c>
      <c r="AC228" s="12">
        <v>185.81119999999993</v>
      </c>
      <c r="AD228" s="12" t="s">
        <v>73</v>
      </c>
    </row>
    <row r="229" spans="1:30" x14ac:dyDescent="0.3">
      <c r="A229" s="13" t="s">
        <v>569</v>
      </c>
      <c r="B229" s="14" t="s">
        <v>797</v>
      </c>
      <c r="C229" t="s">
        <v>479</v>
      </c>
      <c r="D229" s="5" t="s">
        <v>480</v>
      </c>
      <c r="E229" s="12">
        <v>511.59150000000005</v>
      </c>
      <c r="F229" s="12">
        <v>501.16110000000009</v>
      </c>
      <c r="G229" s="12">
        <v>501.87869999999987</v>
      </c>
      <c r="H229" s="12">
        <v>499.84720000000004</v>
      </c>
      <c r="I229" s="12">
        <v>494.04909999999995</v>
      </c>
      <c r="J229" s="12">
        <v>481.11629999999991</v>
      </c>
      <c r="K229" s="12">
        <v>481.08639999999991</v>
      </c>
      <c r="L229" s="12">
        <v>484.89529999999996</v>
      </c>
      <c r="M229" s="12">
        <v>487.92049999999989</v>
      </c>
      <c r="N229" s="12">
        <v>487.53040000000004</v>
      </c>
      <c r="O229" s="12">
        <v>489.10179999999991</v>
      </c>
      <c r="P229" s="12">
        <v>487.68209999999993</v>
      </c>
      <c r="Q229" s="12">
        <v>493.02909999999997</v>
      </c>
      <c r="R229" s="12">
        <v>500.99130000000002</v>
      </c>
      <c r="S229" s="12">
        <v>506.99090000000001</v>
      </c>
      <c r="T229" s="12">
        <v>511.88439999999991</v>
      </c>
      <c r="U229" s="12">
        <v>514.77929999999992</v>
      </c>
      <c r="V229" s="12">
        <v>515.84460000000001</v>
      </c>
      <c r="W229" s="12">
        <v>518.02539999999988</v>
      </c>
      <c r="X229" s="12">
        <v>517.42739999999981</v>
      </c>
      <c r="Y229" s="12">
        <v>519.16370000000006</v>
      </c>
      <c r="Z229" s="12">
        <v>517.09749999999985</v>
      </c>
      <c r="AA229" s="12">
        <v>511.64140000000009</v>
      </c>
      <c r="AB229" s="12">
        <v>500.98750000000001</v>
      </c>
      <c r="AC229" s="12">
        <v>499.0571000000001</v>
      </c>
      <c r="AD229" s="12" t="s">
        <v>73</v>
      </c>
    </row>
    <row r="230" spans="1:30" x14ac:dyDescent="0.3">
      <c r="A230" s="13" t="s">
        <v>569</v>
      </c>
      <c r="B230" s="14" t="s">
        <v>798</v>
      </c>
      <c r="C230" t="s">
        <v>481</v>
      </c>
      <c r="D230" s="5" t="s">
        <v>482</v>
      </c>
      <c r="E230" s="12">
        <v>121.77649999999998</v>
      </c>
      <c r="F230" s="12">
        <v>119.437</v>
      </c>
      <c r="G230" s="12">
        <v>121.24550000000002</v>
      </c>
      <c r="H230" s="12">
        <v>123.039</v>
      </c>
      <c r="I230" s="12">
        <v>122.57329999999999</v>
      </c>
      <c r="J230" s="12">
        <v>121.54609999999998</v>
      </c>
      <c r="K230" s="12">
        <v>125.39359999999996</v>
      </c>
      <c r="L230" s="12">
        <v>126.36290000000001</v>
      </c>
      <c r="M230" s="12">
        <v>128.38220000000001</v>
      </c>
      <c r="N230" s="12">
        <v>130.4171</v>
      </c>
      <c r="O230" s="12">
        <v>132.49360000000001</v>
      </c>
      <c r="P230" s="12">
        <v>136.761</v>
      </c>
      <c r="Q230" s="12">
        <v>141.67869999999999</v>
      </c>
      <c r="R230" s="12">
        <v>148.28810000000004</v>
      </c>
      <c r="S230" s="12">
        <v>151.96600000000001</v>
      </c>
      <c r="T230" s="12">
        <v>153.45429999999999</v>
      </c>
      <c r="U230" s="12">
        <v>156.39509999999999</v>
      </c>
      <c r="V230" s="12">
        <v>158.61139999999997</v>
      </c>
      <c r="W230" s="12">
        <v>165.92259999999999</v>
      </c>
      <c r="X230" s="12">
        <v>168.09769999999997</v>
      </c>
      <c r="Y230" s="12">
        <v>171.29410000000001</v>
      </c>
      <c r="Z230" s="12">
        <v>173.2475</v>
      </c>
      <c r="AA230" s="12">
        <v>172.39589999999998</v>
      </c>
      <c r="AB230" s="12">
        <v>165.39779999999996</v>
      </c>
      <c r="AC230" s="12">
        <v>165.34829999999999</v>
      </c>
      <c r="AD230" s="12" t="s">
        <v>73</v>
      </c>
    </row>
    <row r="231" spans="1:30" x14ac:dyDescent="0.3">
      <c r="A231" s="13" t="s">
        <v>569</v>
      </c>
      <c r="B231" s="14" t="s">
        <v>799</v>
      </c>
      <c r="C231" t="s">
        <v>483</v>
      </c>
      <c r="D231" s="5" t="s">
        <v>484</v>
      </c>
      <c r="E231" s="12">
        <v>233.4933</v>
      </c>
      <c r="F231" s="12">
        <v>228.8999</v>
      </c>
      <c r="G231" s="12">
        <v>231.60320000000002</v>
      </c>
      <c r="H231" s="12">
        <v>233.00530000000003</v>
      </c>
      <c r="I231" s="12">
        <v>229.02629999999999</v>
      </c>
      <c r="J231" s="12">
        <v>220.9512</v>
      </c>
      <c r="K231" s="12">
        <v>223.06419999999994</v>
      </c>
      <c r="L231" s="12">
        <v>225.79560000000001</v>
      </c>
      <c r="M231" s="12">
        <v>228.5213</v>
      </c>
      <c r="N231" s="12">
        <v>229.57429999999999</v>
      </c>
      <c r="O231" s="12">
        <v>231.37209999999999</v>
      </c>
      <c r="P231" s="12">
        <v>233.185</v>
      </c>
      <c r="Q231" s="12">
        <v>238.49529999999996</v>
      </c>
      <c r="R231" s="12">
        <v>245.76120000000003</v>
      </c>
      <c r="S231" s="12">
        <v>249.83490000000003</v>
      </c>
      <c r="T231" s="12">
        <v>251.46879999999999</v>
      </c>
      <c r="U231" s="12">
        <v>253.27669999999995</v>
      </c>
      <c r="V231" s="12">
        <v>255.46780000000001</v>
      </c>
      <c r="W231" s="12">
        <v>262.0478</v>
      </c>
      <c r="X231" s="12">
        <v>263.69269999999995</v>
      </c>
      <c r="Y231" s="12">
        <v>267.04610000000002</v>
      </c>
      <c r="Z231" s="12">
        <v>267.51549999999997</v>
      </c>
      <c r="AA231" s="12">
        <v>265.92419999999998</v>
      </c>
      <c r="AB231" s="12">
        <v>258.82339999999994</v>
      </c>
      <c r="AC231" s="12">
        <v>257.5505</v>
      </c>
      <c r="AD231" s="12" t="s">
        <v>73</v>
      </c>
    </row>
    <row r="232" spans="1:30" x14ac:dyDescent="0.3">
      <c r="A232" s="13" t="s">
        <v>569</v>
      </c>
      <c r="B232" s="14" t="s">
        <v>800</v>
      </c>
      <c r="C232" t="s">
        <v>485</v>
      </c>
      <c r="D232" s="5" t="s">
        <v>486</v>
      </c>
      <c r="E232" s="12">
        <v>269.34159999999991</v>
      </c>
      <c r="F232" s="12">
        <v>264.26110000000006</v>
      </c>
      <c r="G232" s="12">
        <v>263.35599999999999</v>
      </c>
      <c r="H232" s="12">
        <v>259.7878</v>
      </c>
      <c r="I232" s="12">
        <v>258.0514</v>
      </c>
      <c r="J232" s="12">
        <v>252.91200000000001</v>
      </c>
      <c r="K232" s="12">
        <v>251.53390000000002</v>
      </c>
      <c r="L232" s="12">
        <v>253.83400000000006</v>
      </c>
      <c r="M232" s="12">
        <v>254.04860000000002</v>
      </c>
      <c r="N232" s="12">
        <v>252.60770000000002</v>
      </c>
      <c r="O232" s="12">
        <v>251.99299999999999</v>
      </c>
      <c r="P232" s="12">
        <v>247.46099999999998</v>
      </c>
      <c r="Q232" s="12">
        <v>246.96579999999997</v>
      </c>
      <c r="R232" s="12">
        <v>247.56730000000002</v>
      </c>
      <c r="S232" s="12">
        <v>249.74550000000005</v>
      </c>
      <c r="T232" s="12">
        <v>253.06330000000003</v>
      </c>
      <c r="U232" s="12">
        <v>253.70070000000004</v>
      </c>
      <c r="V232" s="12">
        <v>252.85899999999998</v>
      </c>
      <c r="W232" s="12">
        <v>248.68140000000002</v>
      </c>
      <c r="X232" s="12">
        <v>246.9409</v>
      </c>
      <c r="Y232" s="12">
        <v>245.95630000000003</v>
      </c>
      <c r="Z232" s="12">
        <v>242.6037</v>
      </c>
      <c r="AA232" s="12">
        <v>238.71110000000002</v>
      </c>
      <c r="AB232" s="12">
        <v>235.53820000000002</v>
      </c>
      <c r="AC232" s="12">
        <v>235.14489999999998</v>
      </c>
      <c r="AD232" s="12" t="s">
        <v>73</v>
      </c>
    </row>
    <row r="233" spans="1:30" x14ac:dyDescent="0.3">
      <c r="A233" s="13" t="s">
        <v>569</v>
      </c>
      <c r="B233" s="14" t="s">
        <v>801</v>
      </c>
      <c r="C233" t="s">
        <v>487</v>
      </c>
      <c r="D233" s="5" t="s">
        <v>488</v>
      </c>
      <c r="E233" s="12">
        <v>351.42150000000004</v>
      </c>
      <c r="F233" s="12">
        <v>357.96210000000002</v>
      </c>
      <c r="G233" s="12">
        <v>371.49670000000003</v>
      </c>
      <c r="H233" s="12">
        <v>381.327</v>
      </c>
      <c r="I233" s="12">
        <v>389.02840000000015</v>
      </c>
      <c r="J233" s="12">
        <v>400.7405999999998</v>
      </c>
      <c r="K233" s="12">
        <v>412.26180000000005</v>
      </c>
      <c r="L233" s="12">
        <v>422.78620000000001</v>
      </c>
      <c r="M233" s="12">
        <v>431.13300000000004</v>
      </c>
      <c r="N233" s="12">
        <v>437.52480000000008</v>
      </c>
      <c r="O233" s="12">
        <v>443.38729999999987</v>
      </c>
      <c r="P233" s="12">
        <v>445.91590000000008</v>
      </c>
      <c r="Q233" s="12">
        <v>459.37869999999992</v>
      </c>
      <c r="R233" s="12">
        <v>468.11479999999995</v>
      </c>
      <c r="S233" s="12">
        <v>474.71940000000012</v>
      </c>
      <c r="T233" s="12">
        <v>481.42630000000003</v>
      </c>
      <c r="U233" s="12">
        <v>489.49759999999992</v>
      </c>
      <c r="V233" s="12">
        <v>498.00220000000002</v>
      </c>
      <c r="W233" s="12">
        <v>491.0904000000001</v>
      </c>
      <c r="X233" s="12">
        <v>503.1515</v>
      </c>
      <c r="Y233" s="12">
        <v>511.84930000000003</v>
      </c>
      <c r="Z233" s="12">
        <v>517.29640000000006</v>
      </c>
      <c r="AA233" s="12">
        <v>526.30200000000002</v>
      </c>
      <c r="AB233" s="12">
        <v>530.9067</v>
      </c>
      <c r="AC233" s="12">
        <v>538.70389999999986</v>
      </c>
      <c r="AD233" s="12" t="s">
        <v>73</v>
      </c>
    </row>
    <row r="234" spans="1:30" x14ac:dyDescent="0.3">
      <c r="A234" s="13" t="s">
        <v>569</v>
      </c>
      <c r="B234" s="14" t="s">
        <v>802</v>
      </c>
      <c r="C234" t="s">
        <v>489</v>
      </c>
      <c r="D234" s="5" t="s">
        <v>490</v>
      </c>
      <c r="E234" s="12">
        <v>274.34690000000001</v>
      </c>
      <c r="F234" s="12">
        <v>279.33479999999997</v>
      </c>
      <c r="G234" s="12">
        <v>291.6185999999999</v>
      </c>
      <c r="H234" s="12">
        <v>301.64829999999995</v>
      </c>
      <c r="I234" s="12">
        <v>307.06419999999997</v>
      </c>
      <c r="J234" s="12">
        <v>317.47619999999995</v>
      </c>
      <c r="K234" s="12">
        <v>326.06859999999995</v>
      </c>
      <c r="L234" s="12">
        <v>337.14989999999995</v>
      </c>
      <c r="M234" s="12">
        <v>352.01779999999991</v>
      </c>
      <c r="N234" s="12">
        <v>362.90380000000005</v>
      </c>
      <c r="O234" s="12">
        <v>376.41189999999995</v>
      </c>
      <c r="P234" s="12">
        <v>378.57169999999996</v>
      </c>
      <c r="Q234" s="12">
        <v>393.25589999999988</v>
      </c>
      <c r="R234" s="12">
        <v>403.25479999999993</v>
      </c>
      <c r="S234" s="12">
        <v>414.26210000000003</v>
      </c>
      <c r="T234" s="12">
        <v>423.46480000000008</v>
      </c>
      <c r="U234" s="12">
        <v>433.65919999999994</v>
      </c>
      <c r="V234" s="12">
        <v>441.97960000000006</v>
      </c>
      <c r="W234" s="12">
        <v>454.95880000000005</v>
      </c>
      <c r="X234" s="12">
        <v>470.83560000000006</v>
      </c>
      <c r="Y234" s="12">
        <v>482.6921999999999</v>
      </c>
      <c r="Z234" s="12">
        <v>490.29690000000005</v>
      </c>
      <c r="AA234" s="12">
        <v>501.0829</v>
      </c>
      <c r="AB234" s="12">
        <v>520.76600000000008</v>
      </c>
      <c r="AC234" s="12">
        <v>532.39419999999996</v>
      </c>
      <c r="AD234" s="12" t="s">
        <v>73</v>
      </c>
    </row>
    <row r="235" spans="1:30" x14ac:dyDescent="0.3">
      <c r="A235" s="13" t="s">
        <v>569</v>
      </c>
      <c r="B235" s="14" t="s">
        <v>803</v>
      </c>
      <c r="C235" t="s">
        <v>491</v>
      </c>
      <c r="D235" s="5" t="s">
        <v>492</v>
      </c>
      <c r="E235" s="12">
        <v>890.74590000000012</v>
      </c>
      <c r="F235" s="12">
        <v>883.47760000000005</v>
      </c>
      <c r="G235" s="12">
        <v>883.48239999999998</v>
      </c>
      <c r="H235" s="12">
        <v>874.09220000000028</v>
      </c>
      <c r="I235" s="12">
        <v>876.61590000000001</v>
      </c>
      <c r="J235" s="12">
        <v>867.17410000000041</v>
      </c>
      <c r="K235" s="12">
        <v>865.68899999999996</v>
      </c>
      <c r="L235" s="12">
        <v>867.02210000000025</v>
      </c>
      <c r="M235" s="12">
        <v>868.82799999999986</v>
      </c>
      <c r="N235" s="12">
        <v>865.01990000000001</v>
      </c>
      <c r="O235" s="12">
        <v>863.83600000000013</v>
      </c>
      <c r="P235" s="12">
        <v>856.88120000000004</v>
      </c>
      <c r="Q235" s="12">
        <v>858.37850000000003</v>
      </c>
      <c r="R235" s="12">
        <v>860.28140000000008</v>
      </c>
      <c r="S235" s="12">
        <v>863.9607000000002</v>
      </c>
      <c r="T235" s="12">
        <v>863.94240000000002</v>
      </c>
      <c r="U235" s="12">
        <v>866.93410000000029</v>
      </c>
      <c r="V235" s="12">
        <v>869.08249999999975</v>
      </c>
      <c r="W235" s="12">
        <v>870.01359999999988</v>
      </c>
      <c r="X235" s="12">
        <v>861.72389999999973</v>
      </c>
      <c r="Y235" s="12">
        <v>860.46349999999984</v>
      </c>
      <c r="Z235" s="12">
        <v>857.88109999999983</v>
      </c>
      <c r="AA235" s="12">
        <v>849.06819999999982</v>
      </c>
      <c r="AB235" s="12">
        <v>852.5047999999997</v>
      </c>
      <c r="AC235" s="12">
        <v>849.80589999999984</v>
      </c>
      <c r="AD235" s="12" t="s">
        <v>73</v>
      </c>
    </row>
    <row r="236" spans="1:30" x14ac:dyDescent="0.3">
      <c r="A236" s="13" t="s">
        <v>569</v>
      </c>
      <c r="B236" s="14" t="s">
        <v>804</v>
      </c>
      <c r="C236" t="s">
        <v>493</v>
      </c>
      <c r="D236" s="5" t="s">
        <v>494</v>
      </c>
      <c r="E236" s="12">
        <v>2219.0237999999999</v>
      </c>
      <c r="F236" s="12">
        <v>2213.3046000000004</v>
      </c>
      <c r="G236" s="12">
        <v>2220.8486000000007</v>
      </c>
      <c r="H236" s="12">
        <v>2244.6825000000003</v>
      </c>
      <c r="I236" s="12">
        <v>2293.2697999999991</v>
      </c>
      <c r="J236" s="12">
        <v>2314.3191000000002</v>
      </c>
      <c r="K236" s="12">
        <v>2332.2922000000003</v>
      </c>
      <c r="L236" s="12">
        <v>2342.4472000000005</v>
      </c>
      <c r="M236" s="12">
        <v>2371.7053000000005</v>
      </c>
      <c r="N236" s="12">
        <v>2372.7524000000012</v>
      </c>
      <c r="O236" s="12">
        <v>2376.825800000001</v>
      </c>
      <c r="P236" s="12">
        <v>2389.1660000000002</v>
      </c>
      <c r="Q236" s="12">
        <v>2398.3196000000007</v>
      </c>
      <c r="R236" s="12">
        <v>2405.7351000000003</v>
      </c>
      <c r="S236" s="12">
        <v>2408.2348999999995</v>
      </c>
      <c r="T236" s="12">
        <v>2416.9422000000004</v>
      </c>
      <c r="U236" s="12">
        <v>2431.7497000000003</v>
      </c>
      <c r="V236" s="12">
        <v>2433.4702000000007</v>
      </c>
      <c r="W236" s="12">
        <v>2440.0065000000004</v>
      </c>
      <c r="X236" s="12">
        <v>2427.7090000000012</v>
      </c>
      <c r="Y236" s="12">
        <v>2461.0894999999996</v>
      </c>
      <c r="Z236" s="12">
        <v>2483.4883000000009</v>
      </c>
      <c r="AA236" s="12">
        <v>2507.5800999999992</v>
      </c>
      <c r="AB236" s="12">
        <v>2540.7133999999992</v>
      </c>
      <c r="AC236" s="12">
        <v>2535.3401000000008</v>
      </c>
      <c r="AD236" s="12" t="s">
        <v>73</v>
      </c>
    </row>
    <row r="237" spans="1:30" x14ac:dyDescent="0.3">
      <c r="A237" s="13" t="s">
        <v>569</v>
      </c>
      <c r="B237" s="14" t="s">
        <v>805</v>
      </c>
      <c r="C237" t="s">
        <v>495</v>
      </c>
      <c r="D237" s="5" t="s">
        <v>496</v>
      </c>
      <c r="E237" s="12">
        <v>2810.6534999999994</v>
      </c>
      <c r="F237" s="12">
        <v>2814.9199000000008</v>
      </c>
      <c r="G237" s="12">
        <v>2841.7821000000004</v>
      </c>
      <c r="H237" s="12">
        <v>2887.1120000000005</v>
      </c>
      <c r="I237" s="12">
        <v>2950.7591999999986</v>
      </c>
      <c r="J237" s="12">
        <v>2998.5586999999996</v>
      </c>
      <c r="K237" s="12">
        <v>3040.5652999999988</v>
      </c>
      <c r="L237" s="12">
        <v>3083.6013000000012</v>
      </c>
      <c r="M237" s="12">
        <v>3144.4684000000016</v>
      </c>
      <c r="N237" s="12">
        <v>3159.7556000000004</v>
      </c>
      <c r="O237" s="12">
        <v>3184.0444999999995</v>
      </c>
      <c r="P237" s="12">
        <v>3212.2165000000005</v>
      </c>
      <c r="Q237" s="12">
        <v>3240.2973000000006</v>
      </c>
      <c r="R237" s="12">
        <v>3267.1367000000005</v>
      </c>
      <c r="S237" s="12">
        <v>3286.7889</v>
      </c>
      <c r="T237" s="12">
        <v>3314.9315000000006</v>
      </c>
      <c r="U237" s="12">
        <v>3352.8912</v>
      </c>
      <c r="V237" s="12">
        <v>3369.1510000000017</v>
      </c>
      <c r="W237" s="12">
        <v>3381.1176000000005</v>
      </c>
      <c r="X237" s="12">
        <v>3397.9643999999998</v>
      </c>
      <c r="Y237" s="12">
        <v>3461.5998000000018</v>
      </c>
      <c r="Z237" s="12">
        <v>3497.3492000000001</v>
      </c>
      <c r="AA237" s="12">
        <v>3537.3004000000001</v>
      </c>
      <c r="AB237" s="12">
        <v>3586.4726999999989</v>
      </c>
      <c r="AC237" s="12">
        <v>3598.2530000000011</v>
      </c>
      <c r="AD237" s="12" t="s">
        <v>73</v>
      </c>
    </row>
    <row r="238" spans="1:30" x14ac:dyDescent="0.3">
      <c r="A238" s="13" t="s">
        <v>569</v>
      </c>
      <c r="B238" s="14" t="s">
        <v>806</v>
      </c>
      <c r="C238" t="s">
        <v>497</v>
      </c>
      <c r="D238" s="5" t="s">
        <v>498</v>
      </c>
      <c r="E238" s="12">
        <v>179.42750000000001</v>
      </c>
      <c r="F238" s="12">
        <v>181.76450000000003</v>
      </c>
      <c r="G238" s="12">
        <v>186.59690000000001</v>
      </c>
      <c r="H238" s="12">
        <v>192.5094</v>
      </c>
      <c r="I238" s="12">
        <v>199.89750000000001</v>
      </c>
      <c r="J238" s="12">
        <v>206.45240000000004</v>
      </c>
      <c r="K238" s="12">
        <v>215.0727</v>
      </c>
      <c r="L238" s="12">
        <v>234.10679999999999</v>
      </c>
      <c r="M238" s="12">
        <v>245.0966</v>
      </c>
      <c r="N238" s="12">
        <v>246.74019999999999</v>
      </c>
      <c r="O238" s="12">
        <v>251.25449999999998</v>
      </c>
      <c r="P238" s="12">
        <v>265.36160000000001</v>
      </c>
      <c r="Q238" s="12">
        <v>271.6164</v>
      </c>
      <c r="R238" s="12">
        <v>279.47999999999996</v>
      </c>
      <c r="S238" s="12">
        <v>284.79829999999998</v>
      </c>
      <c r="T238" s="12">
        <v>293.16559999999998</v>
      </c>
      <c r="U238" s="12">
        <v>304.37670000000003</v>
      </c>
      <c r="V238" s="12">
        <v>308.13400000000013</v>
      </c>
      <c r="W238" s="12">
        <v>317.19819999999999</v>
      </c>
      <c r="X238" s="12">
        <v>331.18959999999998</v>
      </c>
      <c r="Y238" s="12">
        <v>348.52680000000004</v>
      </c>
      <c r="Z238" s="12">
        <v>350.12979999999993</v>
      </c>
      <c r="AA238" s="12">
        <v>356.12700000000007</v>
      </c>
      <c r="AB238" s="12">
        <v>364.50940000000008</v>
      </c>
      <c r="AC238" s="12">
        <v>372.74080000000004</v>
      </c>
      <c r="AD238" s="12" t="s">
        <v>73</v>
      </c>
    </row>
    <row r="239" spans="1:30" x14ac:dyDescent="0.3">
      <c r="A239" s="13" t="s">
        <v>569</v>
      </c>
      <c r="B239" s="14" t="s">
        <v>807</v>
      </c>
      <c r="C239" t="s">
        <v>499</v>
      </c>
      <c r="D239" s="5" t="s">
        <v>500</v>
      </c>
      <c r="E239" s="12">
        <v>412.20220000000006</v>
      </c>
      <c r="F239" s="12">
        <v>419.85080000000005</v>
      </c>
      <c r="G239" s="12">
        <v>434.33660000000003</v>
      </c>
      <c r="H239" s="12">
        <v>449.9201000000001</v>
      </c>
      <c r="I239" s="12">
        <v>457.59190000000012</v>
      </c>
      <c r="J239" s="12">
        <v>477.78719999999998</v>
      </c>
      <c r="K239" s="12">
        <v>493.20039999999983</v>
      </c>
      <c r="L239" s="12">
        <v>507.04730000000006</v>
      </c>
      <c r="M239" s="12">
        <v>527.66649999999981</v>
      </c>
      <c r="N239" s="12">
        <v>540.26299999999992</v>
      </c>
      <c r="O239" s="12">
        <v>555.96419999999989</v>
      </c>
      <c r="P239" s="12">
        <v>557.68890000000022</v>
      </c>
      <c r="Q239" s="12">
        <v>570.36129999999991</v>
      </c>
      <c r="R239" s="12">
        <v>581.92160000000001</v>
      </c>
      <c r="S239" s="12">
        <v>593.75570000000005</v>
      </c>
      <c r="T239" s="12">
        <v>604.82370000000014</v>
      </c>
      <c r="U239" s="12">
        <v>616.76480000000015</v>
      </c>
      <c r="V239" s="12">
        <v>627.54680000000019</v>
      </c>
      <c r="W239" s="12">
        <v>623.91290000000004</v>
      </c>
      <c r="X239" s="12">
        <v>639.06579999999997</v>
      </c>
      <c r="Y239" s="12">
        <v>651.98350000000005</v>
      </c>
      <c r="Z239" s="12">
        <v>663.73110000000008</v>
      </c>
      <c r="AA239" s="12">
        <v>673.5933</v>
      </c>
      <c r="AB239" s="12">
        <v>681.24990000000003</v>
      </c>
      <c r="AC239" s="12">
        <v>690.1721</v>
      </c>
      <c r="AD239" s="12" t="s">
        <v>73</v>
      </c>
    </row>
    <row r="240" spans="1:30" x14ac:dyDescent="0.3">
      <c r="A240" s="13" t="s">
        <v>569</v>
      </c>
      <c r="B240" s="14" t="s">
        <v>808</v>
      </c>
      <c r="C240" t="s">
        <v>501</v>
      </c>
      <c r="D240" s="5" t="s">
        <v>502</v>
      </c>
      <c r="E240" s="12">
        <v>591.62969999999984</v>
      </c>
      <c r="F240" s="12">
        <v>601.61529999999993</v>
      </c>
      <c r="G240" s="12">
        <v>620.93349999999987</v>
      </c>
      <c r="H240" s="12">
        <v>642.42949999999985</v>
      </c>
      <c r="I240" s="12">
        <v>657.48939999999982</v>
      </c>
      <c r="J240" s="12">
        <v>684.23960000000034</v>
      </c>
      <c r="K240" s="12">
        <v>708.27310000000034</v>
      </c>
      <c r="L240" s="12">
        <v>741.15409999999997</v>
      </c>
      <c r="M240" s="12">
        <v>772.76310000000024</v>
      </c>
      <c r="N240" s="12">
        <v>787.00319999999977</v>
      </c>
      <c r="O240" s="12">
        <v>807.21870000000024</v>
      </c>
      <c r="P240" s="12">
        <v>823.05050000000051</v>
      </c>
      <c r="Q240" s="12">
        <v>841.97770000000014</v>
      </c>
      <c r="R240" s="12">
        <v>861.4015999999998</v>
      </c>
      <c r="S240" s="12">
        <v>878.55400000000054</v>
      </c>
      <c r="T240" s="12">
        <v>897.98930000000018</v>
      </c>
      <c r="U240" s="12">
        <v>921.14150000000018</v>
      </c>
      <c r="V240" s="12">
        <v>935.68080000000009</v>
      </c>
      <c r="W240" s="12">
        <v>941.11109999999962</v>
      </c>
      <c r="X240" s="12">
        <v>970.25539999999978</v>
      </c>
      <c r="Y240" s="12">
        <v>1000.5103</v>
      </c>
      <c r="Z240" s="12">
        <v>1013.8608999999998</v>
      </c>
      <c r="AA240" s="12">
        <v>1029.7203000000004</v>
      </c>
      <c r="AB240" s="12">
        <v>1045.7593000000004</v>
      </c>
      <c r="AC240" s="12">
        <v>1062.9128999999998</v>
      </c>
      <c r="AD240" s="12" t="s">
        <v>73</v>
      </c>
    </row>
    <row r="241" spans="1:30" x14ac:dyDescent="0.3">
      <c r="A241" s="13" t="s">
        <v>569</v>
      </c>
      <c r="B241" s="14" t="s">
        <v>809</v>
      </c>
      <c r="C241" t="s">
        <v>503</v>
      </c>
      <c r="D241" s="5" t="s">
        <v>504</v>
      </c>
      <c r="E241" s="12">
        <v>1230.3298999999995</v>
      </c>
      <c r="F241" s="12">
        <v>1222.9142999999999</v>
      </c>
      <c r="G241" s="12">
        <v>1229.2149999999997</v>
      </c>
      <c r="H241" s="12">
        <v>1238.0785000000001</v>
      </c>
      <c r="I241" s="12">
        <v>1274.4052000000001</v>
      </c>
      <c r="J241" s="12">
        <v>1279.9690999999996</v>
      </c>
      <c r="K241" s="12">
        <v>1281.7822000000003</v>
      </c>
      <c r="L241" s="12">
        <v>1271.6105999999995</v>
      </c>
      <c r="M241" s="12">
        <v>1294.9534999999987</v>
      </c>
      <c r="N241" s="12">
        <v>1303.0268000000003</v>
      </c>
      <c r="O241" s="12">
        <v>1311.8465000000001</v>
      </c>
      <c r="P241" s="12">
        <v>1315.4615999999996</v>
      </c>
      <c r="Q241" s="12">
        <v>1310.1664999999994</v>
      </c>
      <c r="R241" s="12">
        <v>1315.3813999999995</v>
      </c>
      <c r="S241" s="12">
        <v>1315.4528000000007</v>
      </c>
      <c r="T241" s="12">
        <v>1325.0353000000002</v>
      </c>
      <c r="U241" s="12">
        <v>1335.9032999999997</v>
      </c>
      <c r="V241" s="12">
        <v>1328.2130999999993</v>
      </c>
      <c r="W241" s="12">
        <v>1325.4132999999999</v>
      </c>
      <c r="X241" s="12">
        <v>1313.0456999999999</v>
      </c>
      <c r="Y241" s="12">
        <v>1333.4889000000005</v>
      </c>
      <c r="Z241" s="12">
        <v>1356.3243000000009</v>
      </c>
      <c r="AA241" s="12">
        <v>1371.2305000000003</v>
      </c>
      <c r="AB241" s="12">
        <v>1396.6645000000001</v>
      </c>
      <c r="AC241" s="12">
        <v>1382.9212</v>
      </c>
      <c r="AD241" s="12" t="s">
        <v>73</v>
      </c>
    </row>
    <row r="242" spans="1:30" x14ac:dyDescent="0.3">
      <c r="A242" s="13" t="s">
        <v>569</v>
      </c>
      <c r="B242" s="14" t="s">
        <v>810</v>
      </c>
      <c r="C242" t="s">
        <v>505</v>
      </c>
      <c r="D242" s="5" t="s">
        <v>506</v>
      </c>
      <c r="E242" s="12">
        <v>685.96139999999991</v>
      </c>
      <c r="F242" s="12">
        <v>700.87480000000005</v>
      </c>
      <c r="G242" s="12">
        <v>726.89850000000001</v>
      </c>
      <c r="H242" s="12">
        <v>759.25350000000003</v>
      </c>
      <c r="I242" s="12">
        <v>782.84920000000011</v>
      </c>
      <c r="J242" s="12">
        <v>793.43970000000013</v>
      </c>
      <c r="K242" s="12">
        <v>798.04259999999988</v>
      </c>
      <c r="L242" s="12">
        <v>795.96799999999996</v>
      </c>
      <c r="M242" s="12">
        <v>808.29919999999981</v>
      </c>
      <c r="N242" s="12">
        <v>816.90989999999999</v>
      </c>
      <c r="O242" s="12">
        <v>816.74009999999998</v>
      </c>
      <c r="P242" s="12">
        <v>823.90610000000004</v>
      </c>
      <c r="Q242" s="12">
        <v>826.42520000000002</v>
      </c>
      <c r="R242" s="12">
        <v>833.53489999999999</v>
      </c>
      <c r="S242" s="12">
        <v>837.3667999999999</v>
      </c>
      <c r="T242" s="12">
        <v>843.42939999999987</v>
      </c>
      <c r="U242" s="12">
        <v>850.36030000000005</v>
      </c>
      <c r="V242" s="12">
        <v>852.87170000000003</v>
      </c>
      <c r="W242" s="12">
        <v>853.18520000000001</v>
      </c>
      <c r="X242" s="12">
        <v>860.91399999999999</v>
      </c>
      <c r="Y242" s="12">
        <v>869.9819</v>
      </c>
      <c r="Z242" s="12">
        <v>885.0406999999999</v>
      </c>
      <c r="AA242" s="12">
        <v>906.38409999999999</v>
      </c>
      <c r="AB242" s="12">
        <v>916.01009999999997</v>
      </c>
      <c r="AC242" s="12">
        <v>904.87889999999993</v>
      </c>
      <c r="AD242" s="12" t="s">
        <v>73</v>
      </c>
    </row>
    <row r="243" spans="1:30" x14ac:dyDescent="0.3">
      <c r="A243" s="13" t="s">
        <v>569</v>
      </c>
      <c r="B243" s="14" t="s">
        <v>811</v>
      </c>
      <c r="C243" t="s">
        <v>507</v>
      </c>
      <c r="D243" s="5" t="s">
        <v>508</v>
      </c>
      <c r="E243" s="12">
        <v>617.7745000000001</v>
      </c>
      <c r="F243" s="12">
        <v>631.57320000000016</v>
      </c>
      <c r="G243" s="12">
        <v>656.39810000000011</v>
      </c>
      <c r="H243" s="12">
        <v>687.54189999999994</v>
      </c>
      <c r="I243" s="12">
        <v>709.5471</v>
      </c>
      <c r="J243" s="12">
        <v>718.80420000000004</v>
      </c>
      <c r="K243" s="12">
        <v>722.47110000000009</v>
      </c>
      <c r="L243" s="12">
        <v>720.77949999999987</v>
      </c>
      <c r="M243" s="12">
        <v>731.63819999999987</v>
      </c>
      <c r="N243" s="12">
        <v>740.42139999999995</v>
      </c>
      <c r="O243" s="12">
        <v>747.07460000000003</v>
      </c>
      <c r="P243" s="12">
        <v>753.78830000000016</v>
      </c>
      <c r="Q243" s="12">
        <v>752.76449999999988</v>
      </c>
      <c r="R243" s="12">
        <v>761.47380000000021</v>
      </c>
      <c r="S243" s="12">
        <v>766.0132000000001</v>
      </c>
      <c r="T243" s="12">
        <v>773.40440000000001</v>
      </c>
      <c r="U243" s="12">
        <v>781.16590000000008</v>
      </c>
      <c r="V243" s="12">
        <v>784.30109999999991</v>
      </c>
      <c r="W243" s="12">
        <v>785.11029999999994</v>
      </c>
      <c r="X243" s="12">
        <v>792.55370000000005</v>
      </c>
      <c r="Y243" s="12">
        <v>801.67850000000033</v>
      </c>
      <c r="Z243" s="12">
        <v>816.15240000000006</v>
      </c>
      <c r="AA243" s="12">
        <v>836.51869999999985</v>
      </c>
      <c r="AB243" s="12">
        <v>845.43810000000008</v>
      </c>
      <c r="AC243" s="12">
        <v>833.13849999999991</v>
      </c>
      <c r="AD243" s="12" t="s">
        <v>73</v>
      </c>
    </row>
    <row r="244" spans="1:30" x14ac:dyDescent="0.3">
      <c r="A244" s="13" t="s">
        <v>569</v>
      </c>
      <c r="B244" s="14" t="s">
        <v>812</v>
      </c>
      <c r="C244" t="s">
        <v>509</v>
      </c>
      <c r="D244" s="5" t="s">
        <v>510</v>
      </c>
      <c r="E244" s="12">
        <v>676.99900000000014</v>
      </c>
      <c r="F244" s="12">
        <v>692.12049999999988</v>
      </c>
      <c r="G244" s="12">
        <v>718.13130000000024</v>
      </c>
      <c r="H244" s="12">
        <v>750.45799999999997</v>
      </c>
      <c r="I244" s="12">
        <v>774.5404000000002</v>
      </c>
      <c r="J244" s="12">
        <v>785.80000000000018</v>
      </c>
      <c r="K244" s="12">
        <v>790.11769999999979</v>
      </c>
      <c r="L244" s="12">
        <v>787.90399999999988</v>
      </c>
      <c r="M244" s="12">
        <v>799.98589999999967</v>
      </c>
      <c r="N244" s="12">
        <v>808.14970000000017</v>
      </c>
      <c r="O244" s="12">
        <v>808.01750000000015</v>
      </c>
      <c r="P244" s="12">
        <v>814.97350000000017</v>
      </c>
      <c r="Q244" s="12">
        <v>817.4627999999999</v>
      </c>
      <c r="R244" s="12">
        <v>824.51080000000002</v>
      </c>
      <c r="S244" s="12">
        <v>828.35580000000004</v>
      </c>
      <c r="T244" s="12">
        <v>834.80539999999985</v>
      </c>
      <c r="U244" s="12">
        <v>841.62889999999993</v>
      </c>
      <c r="V244" s="12">
        <v>844.51289999999995</v>
      </c>
      <c r="W244" s="12">
        <v>844.85509999999988</v>
      </c>
      <c r="X244" s="12">
        <v>852.66800000000001</v>
      </c>
      <c r="Y244" s="12">
        <v>862.16640000000029</v>
      </c>
      <c r="Z244" s="12">
        <v>877.45870000000014</v>
      </c>
      <c r="AA244" s="12">
        <v>899.07939999999985</v>
      </c>
      <c r="AB244" s="12">
        <v>908.95910000000015</v>
      </c>
      <c r="AC244" s="12">
        <v>897.96089999999981</v>
      </c>
      <c r="AD244" s="12" t="s">
        <v>73</v>
      </c>
    </row>
    <row r="245" spans="1:30" x14ac:dyDescent="0.3">
      <c r="A245" s="13" t="s">
        <v>569</v>
      </c>
      <c r="B245" s="14" t="s">
        <v>813</v>
      </c>
      <c r="C245" t="s">
        <v>511</v>
      </c>
      <c r="D245" s="5" t="s">
        <v>512</v>
      </c>
      <c r="E245" s="12">
        <v>390.78879999999992</v>
      </c>
      <c r="F245" s="12">
        <v>398.85309999999998</v>
      </c>
      <c r="G245" s="12">
        <v>412.11400000000003</v>
      </c>
      <c r="H245" s="12">
        <v>425.85620000000006</v>
      </c>
      <c r="I245" s="12">
        <v>433.26790000000005</v>
      </c>
      <c r="J245" s="12">
        <v>452.76909999999987</v>
      </c>
      <c r="K245" s="12">
        <v>467.29839999999984</v>
      </c>
      <c r="L245" s="12">
        <v>480.27000000000004</v>
      </c>
      <c r="M245" s="12">
        <v>499.51359999999994</v>
      </c>
      <c r="N245" s="12">
        <v>511.40129999999999</v>
      </c>
      <c r="O245" s="12">
        <v>526.42600000000004</v>
      </c>
      <c r="P245" s="12">
        <v>526.8442</v>
      </c>
      <c r="Q245" s="12">
        <v>538.62599999999998</v>
      </c>
      <c r="R245" s="12">
        <v>548.87760000000003</v>
      </c>
      <c r="S245" s="12">
        <v>561.08470000000011</v>
      </c>
      <c r="T245" s="12">
        <v>570.46749999999997</v>
      </c>
      <c r="U245" s="12">
        <v>583.01700000000005</v>
      </c>
      <c r="V245" s="12">
        <v>594.93029999999999</v>
      </c>
      <c r="W245" s="12">
        <v>589.95000000000016</v>
      </c>
      <c r="X245" s="12">
        <v>604.53769999999986</v>
      </c>
      <c r="Y245" s="12">
        <v>615.73410000000001</v>
      </c>
      <c r="Z245" s="12">
        <v>626.64890000000014</v>
      </c>
      <c r="AA245" s="12">
        <v>636.36549999999988</v>
      </c>
      <c r="AB245" s="12">
        <v>643.25880000000006</v>
      </c>
      <c r="AC245" s="12">
        <v>651.79290000000003</v>
      </c>
      <c r="AD245" s="12" t="s">
        <v>73</v>
      </c>
    </row>
    <row r="246" spans="1:30" x14ac:dyDescent="0.3">
      <c r="A246" s="13" t="s">
        <v>569</v>
      </c>
      <c r="B246" s="14" t="s">
        <v>814</v>
      </c>
      <c r="C246" t="s">
        <v>513</v>
      </c>
      <c r="D246" s="5" t="s">
        <v>514</v>
      </c>
      <c r="E246" s="12">
        <v>2608.8649000000014</v>
      </c>
      <c r="F246" s="12">
        <v>2611.7732000000005</v>
      </c>
      <c r="G246" s="12">
        <v>2631.3578000000002</v>
      </c>
      <c r="H246" s="12">
        <v>2676.9747000000007</v>
      </c>
      <c r="I246" s="12">
        <v>2741.5012999999999</v>
      </c>
      <c r="J246" s="12">
        <v>2792.3873000000003</v>
      </c>
      <c r="K246" s="12">
        <v>2832.0030000000002</v>
      </c>
      <c r="L246" s="12">
        <v>2867.6972000000001</v>
      </c>
      <c r="M246" s="12">
        <v>2923.9339999999997</v>
      </c>
      <c r="N246" s="12">
        <v>2938.3148000000015</v>
      </c>
      <c r="O246" s="12">
        <v>2966.2966000000015</v>
      </c>
      <c r="P246" s="12">
        <v>2998.7519999999995</v>
      </c>
      <c r="Q246" s="12">
        <v>3021.0271999999995</v>
      </c>
      <c r="R246" s="12">
        <v>3046.9125000000004</v>
      </c>
      <c r="S246" s="12">
        <v>3064.8972000000003</v>
      </c>
      <c r="T246" s="12">
        <v>3092.0217000000007</v>
      </c>
      <c r="U246" s="12">
        <v>3130.0828999999994</v>
      </c>
      <c r="V246" s="12">
        <v>3144.9937000000023</v>
      </c>
      <c r="W246" s="12">
        <v>3156.2621999999997</v>
      </c>
      <c r="X246" s="12">
        <v>3166.9493999999995</v>
      </c>
      <c r="Y246" s="12">
        <v>3225.2703999999994</v>
      </c>
      <c r="Z246" s="12">
        <v>3266.7902000000004</v>
      </c>
      <c r="AA246" s="12">
        <v>3304.6178000000018</v>
      </c>
      <c r="AB246" s="12">
        <v>3348.2064000000009</v>
      </c>
      <c r="AC246" s="12">
        <v>3357.5429000000004</v>
      </c>
      <c r="AD246" s="12" t="s">
        <v>73</v>
      </c>
    </row>
    <row r="247" spans="1:30" x14ac:dyDescent="0.3">
      <c r="A247" s="13" t="s">
        <v>569</v>
      </c>
      <c r="B247" s="14" t="s">
        <v>815</v>
      </c>
      <c r="C247" t="s">
        <v>515</v>
      </c>
      <c r="D247" s="5" t="s">
        <v>516</v>
      </c>
      <c r="E247" s="12">
        <v>175.72290000000001</v>
      </c>
      <c r="F247" s="12">
        <v>177.80889999999997</v>
      </c>
      <c r="G247" s="12">
        <v>183.6626</v>
      </c>
      <c r="H247" s="12">
        <v>193.0607</v>
      </c>
      <c r="I247" s="12">
        <v>198.16899999999998</v>
      </c>
      <c r="J247" s="12">
        <v>205.51530000000005</v>
      </c>
      <c r="K247" s="12">
        <v>208.67559999999995</v>
      </c>
      <c r="L247" s="12">
        <v>213.28270000000003</v>
      </c>
      <c r="M247" s="12">
        <v>223.76419999999999</v>
      </c>
      <c r="N247" s="12">
        <v>228.83029999999999</v>
      </c>
      <c r="O247" s="12">
        <v>234.4539</v>
      </c>
      <c r="P247" s="12">
        <v>236.62230000000002</v>
      </c>
      <c r="Q247" s="12">
        <v>244.37700000000004</v>
      </c>
      <c r="R247" s="12">
        <v>247.74739999999997</v>
      </c>
      <c r="S247" s="12">
        <v>253.79179999999997</v>
      </c>
      <c r="T247" s="12">
        <v>257.53829999999999</v>
      </c>
      <c r="U247" s="12">
        <v>264.24190000000004</v>
      </c>
      <c r="V247" s="12">
        <v>268.49630000000002</v>
      </c>
      <c r="W247" s="12">
        <v>276.63310000000001</v>
      </c>
      <c r="X247" s="12">
        <v>283.82369999999997</v>
      </c>
      <c r="Y247" s="12">
        <v>287.83240000000001</v>
      </c>
      <c r="Z247" s="12">
        <v>297.29949999999997</v>
      </c>
      <c r="AA247" s="12">
        <v>302.8073</v>
      </c>
      <c r="AB247" s="12">
        <v>309.90969999999999</v>
      </c>
      <c r="AC247" s="12">
        <v>315.83279999999996</v>
      </c>
      <c r="AD247" s="12" t="s">
        <v>73</v>
      </c>
    </row>
    <row r="248" spans="1:30" x14ac:dyDescent="0.3">
      <c r="A248" s="13" t="s">
        <v>569</v>
      </c>
      <c r="B248" s="14" t="s">
        <v>816</v>
      </c>
      <c r="C248" t="s">
        <v>517</v>
      </c>
      <c r="D248" s="5" t="s">
        <v>518</v>
      </c>
      <c r="E248" s="12">
        <v>1022.3121000000001</v>
      </c>
      <c r="F248" s="12">
        <v>1028.8811000000003</v>
      </c>
      <c r="G248" s="12">
        <v>1033.1995999999999</v>
      </c>
      <c r="H248" s="12">
        <v>1053.4513999999997</v>
      </c>
      <c r="I248" s="12">
        <v>1072.5499000000002</v>
      </c>
      <c r="J248" s="12">
        <v>1104.9666999999997</v>
      </c>
      <c r="K248" s="12">
        <v>1132.8667000000005</v>
      </c>
      <c r="L248" s="12">
        <v>1168.2799999999997</v>
      </c>
      <c r="M248" s="12">
        <v>1194.1251999999999</v>
      </c>
      <c r="N248" s="12">
        <v>1191.2881</v>
      </c>
      <c r="O248" s="12">
        <v>1205.4358000000002</v>
      </c>
      <c r="P248" s="12">
        <v>1229.3909999999998</v>
      </c>
      <c r="Q248" s="12">
        <v>1239.8366000000003</v>
      </c>
      <c r="R248" s="12">
        <v>1257.6968000000002</v>
      </c>
      <c r="S248" s="12">
        <v>1268.1297999999995</v>
      </c>
      <c r="T248" s="12">
        <v>1284.2034999999996</v>
      </c>
      <c r="U248" s="12">
        <v>1304.0411999999997</v>
      </c>
      <c r="V248" s="12">
        <v>1315.5174999999999</v>
      </c>
      <c r="W248" s="12">
        <v>1313.5565000000001</v>
      </c>
      <c r="X248" s="12">
        <v>1323.5317000000002</v>
      </c>
      <c r="Y248" s="12">
        <v>1353.4533000000006</v>
      </c>
      <c r="Z248" s="12">
        <v>1365.3414000000009</v>
      </c>
      <c r="AA248" s="12">
        <v>1379.2315000000003</v>
      </c>
      <c r="AB248" s="12">
        <v>1395.6343999999997</v>
      </c>
      <c r="AC248" s="12">
        <v>1410.5382999999999</v>
      </c>
      <c r="AD248" s="12" t="s">
        <v>73</v>
      </c>
    </row>
    <row r="249" spans="1:30" x14ac:dyDescent="0.3">
      <c r="A249" s="13" t="s">
        <v>569</v>
      </c>
      <c r="B249" s="14" t="s">
        <v>817</v>
      </c>
      <c r="C249" t="s">
        <v>519</v>
      </c>
      <c r="D249" s="5" t="s">
        <v>520</v>
      </c>
      <c r="E249" s="12">
        <v>182.11909999999997</v>
      </c>
      <c r="F249" s="12">
        <v>180.70349999999999</v>
      </c>
      <c r="G249" s="12">
        <v>186.92259999999999</v>
      </c>
      <c r="H249" s="12">
        <v>192.30469999999997</v>
      </c>
      <c r="I249" s="12">
        <v>196.98989999999998</v>
      </c>
      <c r="J249" s="12">
        <v>201.88830000000002</v>
      </c>
      <c r="K249" s="12">
        <v>213.59209999999999</v>
      </c>
      <c r="L249" s="12">
        <v>219.6225</v>
      </c>
      <c r="M249" s="12">
        <v>224.17599999999999</v>
      </c>
      <c r="N249" s="12">
        <v>226.93690000000001</v>
      </c>
      <c r="O249" s="12">
        <v>227.08019999999996</v>
      </c>
      <c r="P249" s="12">
        <v>238.18519999999998</v>
      </c>
      <c r="Q249" s="12">
        <v>242.27770000000004</v>
      </c>
      <c r="R249" s="12">
        <v>249.12660000000002</v>
      </c>
      <c r="S249" s="12">
        <v>247.93219999999999</v>
      </c>
      <c r="T249" s="12">
        <v>250.56180000000001</v>
      </c>
      <c r="U249" s="12">
        <v>256.16109999999998</v>
      </c>
      <c r="V249" s="12">
        <v>258.40170000000001</v>
      </c>
      <c r="W249" s="12">
        <v>261.38319999999999</v>
      </c>
      <c r="X249" s="12">
        <v>266.03169999999994</v>
      </c>
      <c r="Y249" s="12">
        <v>276.97680000000003</v>
      </c>
      <c r="Z249" s="12">
        <v>284.70929999999998</v>
      </c>
      <c r="AA249" s="12">
        <v>289.27329999999995</v>
      </c>
      <c r="AB249" s="12">
        <v>298.43439999999998</v>
      </c>
      <c r="AC249" s="12">
        <v>306.06869999999998</v>
      </c>
      <c r="AD249" s="12" t="s">
        <v>73</v>
      </c>
    </row>
    <row r="250" spans="1:30" x14ac:dyDescent="0.3">
      <c r="A250" s="13" t="s">
        <v>569</v>
      </c>
      <c r="B250" s="14" t="s">
        <v>818</v>
      </c>
      <c r="C250" t="s">
        <v>521</v>
      </c>
      <c r="D250" s="5" t="s">
        <v>522</v>
      </c>
      <c r="E250" s="12">
        <v>176.10390000000001</v>
      </c>
      <c r="F250" s="12">
        <v>174.62700000000001</v>
      </c>
      <c r="G250" s="12">
        <v>180.76599999999999</v>
      </c>
      <c r="H250" s="12">
        <v>185.99519999999998</v>
      </c>
      <c r="I250" s="12">
        <v>190.48259999999996</v>
      </c>
      <c r="J250" s="12">
        <v>195.18830000000003</v>
      </c>
      <c r="K250" s="12">
        <v>206.76850000000002</v>
      </c>
      <c r="L250" s="12">
        <v>212.63390000000001</v>
      </c>
      <c r="M250" s="12">
        <v>217.33919999999998</v>
      </c>
      <c r="N250" s="12">
        <v>220.16389999999998</v>
      </c>
      <c r="O250" s="12">
        <v>220.02369999999999</v>
      </c>
      <c r="P250" s="12">
        <v>230.7996</v>
      </c>
      <c r="Q250" s="12">
        <v>234.79380000000003</v>
      </c>
      <c r="R250" s="12">
        <v>240.70950000000005</v>
      </c>
      <c r="S250" s="12">
        <v>239.44099999999997</v>
      </c>
      <c r="T250" s="12">
        <v>241.7251</v>
      </c>
      <c r="U250" s="12">
        <v>247.22660000000002</v>
      </c>
      <c r="V250" s="12">
        <v>249.2629</v>
      </c>
      <c r="W250" s="12">
        <v>252.1362</v>
      </c>
      <c r="X250" s="12">
        <v>256.4649</v>
      </c>
      <c r="Y250" s="12">
        <v>264.44749999999999</v>
      </c>
      <c r="Z250" s="12">
        <v>272.1146</v>
      </c>
      <c r="AA250" s="12">
        <v>275.12819999999994</v>
      </c>
      <c r="AB250" s="12">
        <v>284.8372</v>
      </c>
      <c r="AC250" s="12">
        <v>291.65820000000008</v>
      </c>
      <c r="AD250" s="12" t="s">
        <v>73</v>
      </c>
    </row>
    <row r="251" spans="1:30" x14ac:dyDescent="0.3">
      <c r="A251" s="13" t="s">
        <v>569</v>
      </c>
      <c r="B251" s="14" t="s">
        <v>819</v>
      </c>
      <c r="C251" t="s">
        <v>523</v>
      </c>
      <c r="D251" s="5" t="s">
        <v>524</v>
      </c>
      <c r="E251" s="12">
        <v>176.10389999999998</v>
      </c>
      <c r="F251" s="12">
        <v>174.62700000000001</v>
      </c>
      <c r="G251" s="12">
        <v>180.76599999999999</v>
      </c>
      <c r="H251" s="12">
        <v>185.99519999999998</v>
      </c>
      <c r="I251" s="12">
        <v>190.48259999999999</v>
      </c>
      <c r="J251" s="12">
        <v>195.18830000000003</v>
      </c>
      <c r="K251" s="12">
        <v>206.76850000000002</v>
      </c>
      <c r="L251" s="12">
        <v>212.63390000000004</v>
      </c>
      <c r="M251" s="12">
        <v>217.33920000000001</v>
      </c>
      <c r="N251" s="12">
        <v>220.16389999999998</v>
      </c>
      <c r="O251" s="12">
        <v>220.02369999999999</v>
      </c>
      <c r="P251" s="12">
        <v>230.7996</v>
      </c>
      <c r="Q251" s="12">
        <v>234.79380000000003</v>
      </c>
      <c r="R251" s="12">
        <v>240.70950000000002</v>
      </c>
      <c r="S251" s="12">
        <v>239.441</v>
      </c>
      <c r="T251" s="12">
        <v>241.7251</v>
      </c>
      <c r="U251" s="12">
        <v>247.22660000000002</v>
      </c>
      <c r="V251" s="12">
        <v>249.26290000000003</v>
      </c>
      <c r="W251" s="12">
        <v>252.1362</v>
      </c>
      <c r="X251" s="12">
        <v>256.4649</v>
      </c>
      <c r="Y251" s="12">
        <v>264.44749999999999</v>
      </c>
      <c r="Z251" s="12">
        <v>272.1146</v>
      </c>
      <c r="AA251" s="12">
        <v>275.12819999999994</v>
      </c>
      <c r="AB251" s="12">
        <v>284.8372</v>
      </c>
      <c r="AC251" s="12">
        <v>291.65820000000008</v>
      </c>
      <c r="AD251" s="12" t="s">
        <v>73</v>
      </c>
    </row>
    <row r="252" spans="1:30" x14ac:dyDescent="0.3">
      <c r="A252" s="13" t="s">
        <v>569</v>
      </c>
      <c r="B252" s="14" t="s">
        <v>820</v>
      </c>
      <c r="C252" t="s">
        <v>525</v>
      </c>
      <c r="D252" s="5" t="s">
        <v>526</v>
      </c>
      <c r="E252" s="12">
        <v>2433.1419999999998</v>
      </c>
      <c r="F252" s="12">
        <v>2433.9643000000001</v>
      </c>
      <c r="G252" s="12">
        <v>2447.6952000000001</v>
      </c>
      <c r="H252" s="12">
        <v>2483.9139999999989</v>
      </c>
      <c r="I252" s="12">
        <v>2543.3322999999996</v>
      </c>
      <c r="J252" s="12">
        <v>2586.8720000000012</v>
      </c>
      <c r="K252" s="12">
        <v>2623.3274000000001</v>
      </c>
      <c r="L252" s="12">
        <v>2654.4144999999994</v>
      </c>
      <c r="M252" s="12">
        <v>2700.169800000001</v>
      </c>
      <c r="N252" s="12">
        <v>2709.4844999999996</v>
      </c>
      <c r="O252" s="12">
        <v>2731.8426999999992</v>
      </c>
      <c r="P252" s="12">
        <v>2762.129699999999</v>
      </c>
      <c r="Q252" s="12">
        <v>2776.6502</v>
      </c>
      <c r="R252" s="12">
        <v>2799.1651000000006</v>
      </c>
      <c r="S252" s="12">
        <v>2811.1054000000004</v>
      </c>
      <c r="T252" s="12">
        <v>2834.4833999999996</v>
      </c>
      <c r="U252" s="12">
        <v>2865.8409999999999</v>
      </c>
      <c r="V252" s="12">
        <v>2876.4974000000011</v>
      </c>
      <c r="W252" s="12">
        <v>2879.6290999999992</v>
      </c>
      <c r="X252" s="12">
        <v>2883.1256999999991</v>
      </c>
      <c r="Y252" s="12">
        <v>2937.4380000000019</v>
      </c>
      <c r="Z252" s="12">
        <v>2969.4907000000007</v>
      </c>
      <c r="AA252" s="12">
        <v>3001.8104999999996</v>
      </c>
      <c r="AB252" s="12">
        <v>3038.2966999999999</v>
      </c>
      <c r="AC252" s="12">
        <v>3041.7101000000002</v>
      </c>
      <c r="AD252" s="12" t="s">
        <v>73</v>
      </c>
    </row>
    <row r="253" spans="1:30" x14ac:dyDescent="0.3">
      <c r="A253" s="13" t="s">
        <v>569</v>
      </c>
      <c r="B253" s="14" t="s">
        <v>821</v>
      </c>
      <c r="C253" t="s">
        <v>527</v>
      </c>
      <c r="D253" s="5" t="s">
        <v>528</v>
      </c>
      <c r="E253" s="12">
        <v>280.8879</v>
      </c>
      <c r="F253" s="12">
        <v>282.61470000000003</v>
      </c>
      <c r="G253" s="12">
        <v>282.9092</v>
      </c>
      <c r="H253" s="12">
        <v>281.39490000000001</v>
      </c>
      <c r="I253" s="12">
        <v>284.44349999999997</v>
      </c>
      <c r="J253" s="12">
        <v>285.9615</v>
      </c>
      <c r="K253" s="12">
        <v>286.24610000000001</v>
      </c>
      <c r="L253" s="12">
        <v>286.1037</v>
      </c>
      <c r="M253" s="12">
        <v>288.63149999999996</v>
      </c>
      <c r="N253" s="12">
        <v>284.35629999999998</v>
      </c>
      <c r="O253" s="12">
        <v>286.44179999999994</v>
      </c>
      <c r="P253" s="12">
        <v>281.7638</v>
      </c>
      <c r="Q253" s="12">
        <v>282.3476</v>
      </c>
      <c r="R253" s="12">
        <v>281.64319999999998</v>
      </c>
      <c r="S253" s="12">
        <v>285.07259999999997</v>
      </c>
      <c r="T253" s="12">
        <v>287.19739999999996</v>
      </c>
      <c r="U253" s="12">
        <v>296.39549999999997</v>
      </c>
      <c r="V253" s="12">
        <v>296.27250000000004</v>
      </c>
      <c r="W253" s="12">
        <v>302.48699999999997</v>
      </c>
      <c r="X253" s="12">
        <v>301.87909999999999</v>
      </c>
      <c r="Y253" s="12">
        <v>302.63919999999996</v>
      </c>
      <c r="Z253" s="12">
        <v>298.58640000000003</v>
      </c>
      <c r="AA253" s="12">
        <v>293.30200000000002</v>
      </c>
      <c r="AB253" s="12">
        <v>289.59770000000003</v>
      </c>
      <c r="AC253" s="12">
        <v>287.87739999999997</v>
      </c>
      <c r="AD253" s="12" t="s">
        <v>73</v>
      </c>
    </row>
    <row r="254" spans="1:30" x14ac:dyDescent="0.3">
      <c r="A254" s="13" t="s">
        <v>569</v>
      </c>
      <c r="B254" s="14" t="s">
        <v>822</v>
      </c>
      <c r="C254" t="s">
        <v>529</v>
      </c>
      <c r="D254" s="5" t="s">
        <v>530</v>
      </c>
      <c r="E254" s="12" t="s">
        <v>73</v>
      </c>
      <c r="F254" s="12" t="s">
        <v>73</v>
      </c>
      <c r="G254" s="12" t="s">
        <v>73</v>
      </c>
      <c r="H254" s="12" t="s">
        <v>73</v>
      </c>
      <c r="I254" s="12" t="s">
        <v>73</v>
      </c>
      <c r="J254" s="12" t="s">
        <v>73</v>
      </c>
      <c r="K254" s="12" t="s">
        <v>73</v>
      </c>
      <c r="L254" s="12" t="s">
        <v>73</v>
      </c>
      <c r="M254" s="12" t="s">
        <v>73</v>
      </c>
      <c r="N254" s="12" t="s">
        <v>73</v>
      </c>
      <c r="O254" s="12" t="s">
        <v>73</v>
      </c>
      <c r="P254" s="12" t="s">
        <v>73</v>
      </c>
      <c r="Q254" s="12" t="s">
        <v>73</v>
      </c>
      <c r="R254" s="12" t="s">
        <v>73</v>
      </c>
      <c r="S254" s="12" t="s">
        <v>73</v>
      </c>
      <c r="T254" s="12" t="s">
        <v>73</v>
      </c>
      <c r="U254" s="12" t="s">
        <v>73</v>
      </c>
      <c r="V254" s="12" t="s">
        <v>73</v>
      </c>
      <c r="W254" s="12" t="s">
        <v>73</v>
      </c>
      <c r="X254" s="12" t="s">
        <v>73</v>
      </c>
      <c r="Y254" s="12" t="s">
        <v>73</v>
      </c>
      <c r="Z254" s="12" t="s">
        <v>73</v>
      </c>
      <c r="AA254" s="12" t="s">
        <v>73</v>
      </c>
      <c r="AB254" s="12" t="s">
        <v>73</v>
      </c>
      <c r="AC254" s="12" t="s">
        <v>73</v>
      </c>
      <c r="AD254" s="12" t="s">
        <v>73</v>
      </c>
    </row>
    <row r="255" spans="1:30" x14ac:dyDescent="0.3">
      <c r="A255" s="13" t="s">
        <v>569</v>
      </c>
      <c r="B255" s="14" t="s">
        <v>823</v>
      </c>
      <c r="C255" t="s">
        <v>531</v>
      </c>
      <c r="D255" s="5" t="s">
        <v>532</v>
      </c>
      <c r="E255" s="12">
        <v>910.60710000000029</v>
      </c>
      <c r="F255" s="12">
        <v>903.67960000000016</v>
      </c>
      <c r="G255" s="12">
        <v>903.64409999999998</v>
      </c>
      <c r="H255" s="12">
        <v>893.8302000000001</v>
      </c>
      <c r="I255" s="12">
        <v>898.55849999999987</v>
      </c>
      <c r="J255" s="12">
        <v>899.08499999999981</v>
      </c>
      <c r="K255" s="12">
        <v>901.32279999999992</v>
      </c>
      <c r="L255" s="12">
        <v>903.63760000000025</v>
      </c>
      <c r="M255" s="12">
        <v>905.97259999999983</v>
      </c>
      <c r="N255" s="12">
        <v>904.38840000000016</v>
      </c>
      <c r="O255" s="12">
        <v>906.79490000000021</v>
      </c>
      <c r="P255" s="12">
        <v>901.22279999999989</v>
      </c>
      <c r="Q255" s="12">
        <v>902.0003999999999</v>
      </c>
      <c r="R255" s="12">
        <v>907.1409000000001</v>
      </c>
      <c r="S255" s="12">
        <v>911.52250000000004</v>
      </c>
      <c r="T255" s="12">
        <v>913.29209999999989</v>
      </c>
      <c r="U255" s="12">
        <v>919.16009999999994</v>
      </c>
      <c r="V255" s="12">
        <v>926.68489999999997</v>
      </c>
      <c r="W255" s="12">
        <v>939.35159999999985</v>
      </c>
      <c r="X255" s="12">
        <v>936.53859999999997</v>
      </c>
      <c r="Y255" s="12">
        <v>937.25720000000013</v>
      </c>
      <c r="Z255" s="12">
        <v>939.01350000000002</v>
      </c>
      <c r="AA255" s="12">
        <v>929.29569999999967</v>
      </c>
      <c r="AB255" s="12">
        <v>932.06169999999986</v>
      </c>
      <c r="AC255" s="12">
        <v>928.7851999999998</v>
      </c>
      <c r="AD255" s="12" t="s">
        <v>73</v>
      </c>
    </row>
    <row r="256" spans="1:30" x14ac:dyDescent="0.3">
      <c r="A256" s="13" t="s">
        <v>569</v>
      </c>
      <c r="B256" s="14" t="s">
        <v>824</v>
      </c>
      <c r="C256" t="s">
        <v>533</v>
      </c>
      <c r="D256" s="5" t="s">
        <v>534</v>
      </c>
      <c r="E256" s="12">
        <v>4.0679999999999996</v>
      </c>
      <c r="F256" s="12">
        <v>4.0263000000000009</v>
      </c>
      <c r="G256" s="12">
        <v>4.0209000000000001</v>
      </c>
      <c r="H256" s="12">
        <v>4.1025000000000009</v>
      </c>
      <c r="I256" s="12">
        <v>4.0363999999999995</v>
      </c>
      <c r="J256" s="12">
        <v>4.0966999999999993</v>
      </c>
      <c r="K256" s="12">
        <v>4.1191999999999993</v>
      </c>
      <c r="L256" s="12">
        <v>4.1128999999999998</v>
      </c>
      <c r="M256" s="12">
        <v>4.2050999999999998</v>
      </c>
      <c r="N256" s="12">
        <v>4.1822999999999997</v>
      </c>
      <c r="O256" s="12">
        <v>4.2334999999999994</v>
      </c>
      <c r="P256" s="12">
        <v>4.2689999999999992</v>
      </c>
      <c r="Q256" s="12">
        <v>4.3291000000000004</v>
      </c>
      <c r="R256" s="12">
        <v>4.2989000000000006</v>
      </c>
      <c r="S256" s="12">
        <v>4.3841999999999999</v>
      </c>
      <c r="T256" s="12">
        <v>4.4550999999999998</v>
      </c>
      <c r="U256" s="12">
        <v>4.3842999999999996</v>
      </c>
      <c r="V256" s="12">
        <v>4.4074000000000009</v>
      </c>
      <c r="W256" s="12">
        <v>4.3886000000000003</v>
      </c>
      <c r="X256" s="12">
        <v>4.4674000000000005</v>
      </c>
      <c r="Y256" s="12">
        <v>4.4160000000000004</v>
      </c>
      <c r="Z256" s="12">
        <v>4.3743999999999996</v>
      </c>
      <c r="AA256" s="12">
        <v>4.42</v>
      </c>
      <c r="AB256" s="12">
        <v>4.3230000000000004</v>
      </c>
      <c r="AC256" s="12">
        <v>4.3162000000000003</v>
      </c>
      <c r="AD256" s="12" t="s">
        <v>73</v>
      </c>
    </row>
    <row r="257" spans="1:30" x14ac:dyDescent="0.3">
      <c r="A257" s="13" t="s">
        <v>569</v>
      </c>
      <c r="B257" s="14" t="s">
        <v>825</v>
      </c>
      <c r="C257" t="s">
        <v>535</v>
      </c>
      <c r="D257" s="5" t="s">
        <v>536</v>
      </c>
      <c r="E257" s="12">
        <v>1.2914999999999999</v>
      </c>
      <c r="F257" s="12">
        <v>1.2934000000000001</v>
      </c>
      <c r="G257" s="12">
        <v>1.2590000000000001</v>
      </c>
      <c r="H257" s="12">
        <v>1.2653999999999999</v>
      </c>
      <c r="I257" s="12">
        <v>1.2743</v>
      </c>
      <c r="J257" s="12">
        <v>1.2843</v>
      </c>
      <c r="K257" s="12">
        <v>1.2889999999999999</v>
      </c>
      <c r="L257" s="12">
        <v>1.3428999999999998</v>
      </c>
      <c r="M257" s="12">
        <v>1.3453999999999999</v>
      </c>
      <c r="N257" s="12">
        <v>1.3166</v>
      </c>
      <c r="O257" s="12">
        <v>1.3297999999999999</v>
      </c>
      <c r="P257" s="12">
        <v>1.3348</v>
      </c>
      <c r="Q257" s="12">
        <v>1.3380999999999998</v>
      </c>
      <c r="R257" s="12">
        <v>1.3458999999999997</v>
      </c>
      <c r="S257" s="12">
        <v>0.95610000000000006</v>
      </c>
      <c r="T257" s="12">
        <v>0.91110000000000002</v>
      </c>
      <c r="U257" s="12">
        <v>0.83920000000000006</v>
      </c>
      <c r="V257" s="12">
        <v>0.82819999999999983</v>
      </c>
      <c r="W257" s="12">
        <v>0.81740000000000002</v>
      </c>
      <c r="X257" s="12">
        <v>0.87719999999999998</v>
      </c>
      <c r="Y257" s="12">
        <v>0.80200000000000005</v>
      </c>
      <c r="Z257" s="12">
        <v>0.77450000000000008</v>
      </c>
      <c r="AA257" s="12">
        <v>0.79309999999999992</v>
      </c>
      <c r="AB257" s="12">
        <v>0.83690000000000009</v>
      </c>
      <c r="AC257" s="12">
        <v>0.84050000000000002</v>
      </c>
      <c r="AD257" s="12" t="s">
        <v>73</v>
      </c>
    </row>
    <row r="258" spans="1:30" x14ac:dyDescent="0.3">
      <c r="A258" s="13" t="s">
        <v>569</v>
      </c>
      <c r="B258" s="14" t="s">
        <v>826</v>
      </c>
      <c r="C258" t="s">
        <v>537</v>
      </c>
      <c r="D258" s="5" t="s">
        <v>538</v>
      </c>
      <c r="E258" s="12">
        <v>765.02410000000009</v>
      </c>
      <c r="F258" s="12">
        <v>756.79270000000008</v>
      </c>
      <c r="G258" s="12">
        <v>755.13880000000006</v>
      </c>
      <c r="H258" s="12">
        <v>744.95350000000008</v>
      </c>
      <c r="I258" s="12">
        <v>747.18769999999984</v>
      </c>
      <c r="J258" s="12">
        <v>740.70510000000002</v>
      </c>
      <c r="K258" s="12">
        <v>740.19939999999997</v>
      </c>
      <c r="L258" s="12">
        <v>740.35550000000023</v>
      </c>
      <c r="M258" s="12">
        <v>739.40239999999994</v>
      </c>
      <c r="N258" s="12">
        <v>737.25650000000007</v>
      </c>
      <c r="O258" s="12">
        <v>737.94579999999996</v>
      </c>
      <c r="P258" s="12">
        <v>733.25389999999993</v>
      </c>
      <c r="Q258" s="12">
        <v>734.93329999999992</v>
      </c>
      <c r="R258" s="12">
        <v>737.47969999999987</v>
      </c>
      <c r="S258" s="12">
        <v>740.7056</v>
      </c>
      <c r="T258" s="12">
        <v>739.08559999999977</v>
      </c>
      <c r="U258" s="12">
        <v>741.94460000000004</v>
      </c>
      <c r="V258" s="12">
        <v>743.30070000000001</v>
      </c>
      <c r="W258" s="12">
        <v>746.14789999999994</v>
      </c>
      <c r="X258" s="12">
        <v>737.1620999999999</v>
      </c>
      <c r="Y258" s="12">
        <v>732.29930000000024</v>
      </c>
      <c r="Z258" s="12">
        <v>728.65390000000014</v>
      </c>
      <c r="AA258" s="12">
        <v>718.34339999999986</v>
      </c>
      <c r="AB258" s="12">
        <v>720.00670000000025</v>
      </c>
      <c r="AC258" s="12">
        <v>716.02010000000007</v>
      </c>
      <c r="AD258" s="12" t="s">
        <v>73</v>
      </c>
    </row>
    <row r="259" spans="1:30" x14ac:dyDescent="0.3">
      <c r="A259" s="13" t="s">
        <v>569</v>
      </c>
      <c r="B259" s="14" t="s">
        <v>827</v>
      </c>
      <c r="C259" t="s">
        <v>539</v>
      </c>
      <c r="D259" s="5" t="s">
        <v>540</v>
      </c>
      <c r="E259" s="12">
        <v>267.95799999999997</v>
      </c>
      <c r="F259" s="12">
        <v>272.49029999999999</v>
      </c>
      <c r="G259" s="12">
        <v>281.46129999999999</v>
      </c>
      <c r="H259" s="12">
        <v>292.47190000000001</v>
      </c>
      <c r="I259" s="12">
        <v>300.91500000000002</v>
      </c>
      <c r="J259" s="12">
        <v>312.22439999999995</v>
      </c>
      <c r="K259" s="12">
        <v>315.48049999999995</v>
      </c>
      <c r="L259" s="12">
        <v>334.40769999999998</v>
      </c>
      <c r="M259" s="12">
        <v>350.48009999999994</v>
      </c>
      <c r="N259" s="12">
        <v>354.66430000000008</v>
      </c>
      <c r="O259" s="12">
        <v>367.72160000000008</v>
      </c>
      <c r="P259" s="12">
        <v>375.70500000000004</v>
      </c>
      <c r="Q259" s="12">
        <v>389.20400000000001</v>
      </c>
      <c r="R259" s="12">
        <v>395.5181</v>
      </c>
      <c r="S259" s="12">
        <v>406.1323000000001</v>
      </c>
      <c r="T259" s="12">
        <v>414.2666000000001</v>
      </c>
      <c r="U259" s="12">
        <v>427.05799999999994</v>
      </c>
      <c r="V259" s="12">
        <v>430.3159</v>
      </c>
      <c r="W259" s="12">
        <v>444.29930000000013</v>
      </c>
      <c r="X259" s="12">
        <v>461.55959999999988</v>
      </c>
      <c r="Y259" s="12">
        <v>477.33029999999985</v>
      </c>
      <c r="Z259" s="12">
        <v>482.9778</v>
      </c>
      <c r="AA259" s="12">
        <v>494.28250000000003</v>
      </c>
      <c r="AB259" s="12">
        <v>505.12240000000003</v>
      </c>
      <c r="AC259" s="12">
        <v>515.63079999999991</v>
      </c>
      <c r="AD259" s="12" t="s">
        <v>73</v>
      </c>
    </row>
    <row r="260" spans="1:30" x14ac:dyDescent="0.3">
      <c r="A260" s="13" t="s">
        <v>569</v>
      </c>
      <c r="B260" s="14" t="s">
        <v>828</v>
      </c>
      <c r="C260" t="s">
        <v>541</v>
      </c>
      <c r="D260" s="5" t="s">
        <v>542</v>
      </c>
      <c r="E260" s="12">
        <v>7.2518999999999982</v>
      </c>
      <c r="F260" s="12">
        <v>7.3274999999999997</v>
      </c>
      <c r="G260" s="12">
        <v>7.0299000000000005</v>
      </c>
      <c r="H260" s="12">
        <v>7.3595000000000006</v>
      </c>
      <c r="I260" s="12">
        <v>7.1925999999999997</v>
      </c>
      <c r="J260" s="12">
        <v>7.142500000000001</v>
      </c>
      <c r="K260" s="12">
        <v>7.200400000000001</v>
      </c>
      <c r="L260" s="12">
        <v>7.2609000000000004</v>
      </c>
      <c r="M260" s="12">
        <v>7.4668000000000001</v>
      </c>
      <c r="N260" s="12">
        <v>7.5959000000000012</v>
      </c>
      <c r="O260" s="12">
        <v>7.681</v>
      </c>
      <c r="P260" s="12">
        <v>7.835</v>
      </c>
      <c r="Q260" s="12">
        <v>7.8889999999999993</v>
      </c>
      <c r="R260" s="12">
        <v>8.1189</v>
      </c>
      <c r="S260" s="12">
        <v>7.9680999999999997</v>
      </c>
      <c r="T260" s="12">
        <v>8.0338999999999992</v>
      </c>
      <c r="U260" s="12">
        <v>7.6143999999999981</v>
      </c>
      <c r="V260" s="12">
        <v>7.7812000000000001</v>
      </c>
      <c r="W260" s="12">
        <v>7.6725000000000012</v>
      </c>
      <c r="X260" s="12">
        <v>7.9212999999999996</v>
      </c>
      <c r="Y260" s="12">
        <v>7.8076999999999979</v>
      </c>
      <c r="Z260" s="12">
        <v>7.5275999999999996</v>
      </c>
      <c r="AA260" s="12">
        <v>7.5050999999999997</v>
      </c>
      <c r="AB260" s="12">
        <v>7.5163999999999982</v>
      </c>
      <c r="AC260" s="12">
        <v>7.6970000000000001</v>
      </c>
      <c r="AD260" s="12" t="s">
        <v>73</v>
      </c>
    </row>
    <row r="261" spans="1:30" x14ac:dyDescent="0.3">
      <c r="A261" s="13" t="s">
        <v>569</v>
      </c>
      <c r="B261" s="14" t="s">
        <v>829</v>
      </c>
      <c r="C261" t="s">
        <v>543</v>
      </c>
      <c r="D261" s="5" t="s">
        <v>544</v>
      </c>
      <c r="E261" s="12">
        <v>551.73519999999996</v>
      </c>
      <c r="F261" s="12">
        <v>554.06190000000004</v>
      </c>
      <c r="G261" s="12">
        <v>546.71600000000001</v>
      </c>
      <c r="H261" s="12">
        <v>552.79510000000005</v>
      </c>
      <c r="I261" s="12">
        <v>557.64909999999998</v>
      </c>
      <c r="J261" s="12">
        <v>571.50669999999991</v>
      </c>
      <c r="K261" s="12">
        <v>579.74739999999997</v>
      </c>
      <c r="L261" s="12">
        <v>590.96209999999996</v>
      </c>
      <c r="M261" s="12">
        <v>597.11970000000008</v>
      </c>
      <c r="N261" s="12">
        <v>589.95299999999997</v>
      </c>
      <c r="O261" s="12">
        <v>595.57400000000007</v>
      </c>
      <c r="P261" s="12">
        <v>600.94089999999994</v>
      </c>
      <c r="Q261" s="12">
        <v>598.72340000000008</v>
      </c>
      <c r="R261" s="12">
        <v>603.13100000000009</v>
      </c>
      <c r="S261" s="12">
        <v>602.42629999999986</v>
      </c>
      <c r="T261" s="12">
        <v>605.96469999999999</v>
      </c>
      <c r="U261" s="12">
        <v>610.8069999999999</v>
      </c>
      <c r="V261" s="12">
        <v>613.37520000000006</v>
      </c>
      <c r="W261" s="12">
        <v>619.08569999999997</v>
      </c>
      <c r="X261" s="12">
        <v>620.96999999999991</v>
      </c>
      <c r="Y261" s="12">
        <v>630.95360000000005</v>
      </c>
      <c r="Z261" s="12">
        <v>632.06200000000001</v>
      </c>
      <c r="AA261" s="12">
        <v>637.49259999999992</v>
      </c>
      <c r="AB261" s="12">
        <v>636.61080000000004</v>
      </c>
      <c r="AC261" s="12">
        <v>640.78139999999996</v>
      </c>
      <c r="AD261" s="12" t="s">
        <v>73</v>
      </c>
    </row>
    <row r="262" spans="1:30" x14ac:dyDescent="0.3">
      <c r="A262" s="13" t="s">
        <v>569</v>
      </c>
      <c r="B262" s="14" t="s">
        <v>830</v>
      </c>
      <c r="C262" t="s">
        <v>545</v>
      </c>
      <c r="D262" s="5" t="s">
        <v>546</v>
      </c>
      <c r="E262" s="12">
        <v>551.73519999999996</v>
      </c>
      <c r="F262" s="12">
        <v>554.06190000000004</v>
      </c>
      <c r="G262" s="12">
        <v>546.71600000000001</v>
      </c>
      <c r="H262" s="12">
        <v>552.79509999999993</v>
      </c>
      <c r="I262" s="12">
        <v>557.64909999999998</v>
      </c>
      <c r="J262" s="12">
        <v>571.50669999999991</v>
      </c>
      <c r="K262" s="12">
        <v>579.74739999999997</v>
      </c>
      <c r="L262" s="12">
        <v>590.96209999999996</v>
      </c>
      <c r="M262" s="12">
        <v>597.11970000000008</v>
      </c>
      <c r="N262" s="12">
        <v>589.95300000000009</v>
      </c>
      <c r="O262" s="12">
        <v>595.57400000000007</v>
      </c>
      <c r="P262" s="12">
        <v>600.94089999999994</v>
      </c>
      <c r="Q262" s="12">
        <v>598.72340000000008</v>
      </c>
      <c r="R262" s="12">
        <v>603.13100000000009</v>
      </c>
      <c r="S262" s="12">
        <v>602.42629999999986</v>
      </c>
      <c r="T262" s="12">
        <v>605.96469999999999</v>
      </c>
      <c r="U262" s="12">
        <v>610.8069999999999</v>
      </c>
      <c r="V262" s="12">
        <v>613.37520000000006</v>
      </c>
      <c r="W262" s="12">
        <v>619.08569999999997</v>
      </c>
      <c r="X262" s="12">
        <v>620.97</v>
      </c>
      <c r="Y262" s="12">
        <v>630.95360000000005</v>
      </c>
      <c r="Z262" s="12">
        <v>632.06200000000001</v>
      </c>
      <c r="AA262" s="12">
        <v>637.49259999999992</v>
      </c>
      <c r="AB262" s="12">
        <v>636.61080000000004</v>
      </c>
      <c r="AC262" s="12">
        <v>640.78139999999996</v>
      </c>
      <c r="AD262" s="12" t="s">
        <v>73</v>
      </c>
    </row>
    <row r="263" spans="1:30" x14ac:dyDescent="0.3">
      <c r="A263" s="13" t="s">
        <v>569</v>
      </c>
      <c r="B263" s="14" t="s">
        <v>831</v>
      </c>
      <c r="C263" t="s">
        <v>547</v>
      </c>
      <c r="D263" s="5" t="s">
        <v>548</v>
      </c>
      <c r="E263" s="12">
        <v>337.4799000000001</v>
      </c>
      <c r="F263" s="12">
        <v>345.88990000000013</v>
      </c>
      <c r="G263" s="12">
        <v>356.24749999999995</v>
      </c>
      <c r="H263" s="12">
        <v>366.26480000000009</v>
      </c>
      <c r="I263" s="12">
        <v>375.14230000000015</v>
      </c>
      <c r="J263" s="12">
        <v>390.5302999999999</v>
      </c>
      <c r="K263" s="12">
        <v>395.8345999999998</v>
      </c>
      <c r="L263" s="12">
        <v>421.34089999999986</v>
      </c>
      <c r="M263" s="12">
        <v>440.28649999999999</v>
      </c>
      <c r="N263" s="12">
        <v>446.9203</v>
      </c>
      <c r="O263" s="12">
        <v>463.24629999999996</v>
      </c>
      <c r="P263" s="12">
        <v>469.33520000000021</v>
      </c>
      <c r="Q263" s="12">
        <v>486.16689999999994</v>
      </c>
      <c r="R263" s="12">
        <v>494.3364000000002</v>
      </c>
      <c r="S263" s="12">
        <v>504.47530000000006</v>
      </c>
      <c r="T263" s="12">
        <v>516.86940000000016</v>
      </c>
      <c r="U263" s="12">
        <v>531.80799999999999</v>
      </c>
      <c r="V263" s="12">
        <v>535.78660000000013</v>
      </c>
      <c r="W263" s="12">
        <v>550.89640000000009</v>
      </c>
      <c r="X263" s="12">
        <v>572.8098</v>
      </c>
      <c r="Y263" s="12">
        <v>592.63110000000006</v>
      </c>
      <c r="Z263" s="12">
        <v>594.32179999999983</v>
      </c>
      <c r="AA263" s="12">
        <v>607.38559999999995</v>
      </c>
      <c r="AB263" s="12">
        <v>624.74160000000029</v>
      </c>
      <c r="AC263" s="12">
        <v>637.72200000000009</v>
      </c>
      <c r="AD263" s="12" t="s">
        <v>73</v>
      </c>
    </row>
    <row r="264" spans="1:30" x14ac:dyDescent="0.3">
      <c r="A264" s="13" t="s">
        <v>569</v>
      </c>
      <c r="B264" s="14" t="s">
        <v>832</v>
      </c>
      <c r="C264" t="s">
        <v>549</v>
      </c>
      <c r="D264" s="5" t="s">
        <v>550</v>
      </c>
      <c r="E264" s="12">
        <v>302.92880000000008</v>
      </c>
      <c r="F264" s="12">
        <v>308.80650000000003</v>
      </c>
      <c r="G264" s="12">
        <v>313.88</v>
      </c>
      <c r="H264" s="12">
        <v>324.94780000000009</v>
      </c>
      <c r="I264" s="12">
        <v>333.25860000000017</v>
      </c>
      <c r="J264" s="12">
        <v>346.61549999999994</v>
      </c>
      <c r="K264" s="12">
        <v>348.45609999999988</v>
      </c>
      <c r="L264" s="12">
        <v>367.99930000000001</v>
      </c>
      <c r="M264" s="12">
        <v>384.09840000000003</v>
      </c>
      <c r="N264" s="12">
        <v>388.30130000000003</v>
      </c>
      <c r="O264" s="12">
        <v>401.22889999999995</v>
      </c>
      <c r="P264" s="12">
        <v>409.35749999999985</v>
      </c>
      <c r="Q264" s="12">
        <v>424.20199999999994</v>
      </c>
      <c r="R264" s="12">
        <v>430.51519999999988</v>
      </c>
      <c r="S264" s="12">
        <v>438.82960000000008</v>
      </c>
      <c r="T264" s="12">
        <v>449.7161000000001</v>
      </c>
      <c r="U264" s="12">
        <v>462.55329999999987</v>
      </c>
      <c r="V264" s="12">
        <v>464.90420000000006</v>
      </c>
      <c r="W264" s="12">
        <v>478.18990000000008</v>
      </c>
      <c r="X264" s="12">
        <v>493.6893</v>
      </c>
      <c r="Y264" s="12">
        <v>508.81449999999995</v>
      </c>
      <c r="Z264" s="12">
        <v>515.44380000000001</v>
      </c>
      <c r="AA264" s="12">
        <v>527.2201</v>
      </c>
      <c r="AB264" s="12">
        <v>540.02930000000015</v>
      </c>
      <c r="AC264" s="12">
        <v>550.60959999999989</v>
      </c>
      <c r="AD264" s="12" t="s">
        <v>73</v>
      </c>
    </row>
    <row r="265" spans="1:30" x14ac:dyDescent="0.3">
      <c r="A265" s="13" t="s">
        <v>569</v>
      </c>
      <c r="B265" s="14" t="s">
        <v>833</v>
      </c>
      <c r="C265" t="s">
        <v>551</v>
      </c>
      <c r="D265" s="5" t="s">
        <v>552</v>
      </c>
      <c r="E265" s="12">
        <v>337.47989999999999</v>
      </c>
      <c r="F265" s="12">
        <v>345.88990000000001</v>
      </c>
      <c r="G265" s="12">
        <v>356.24749999999995</v>
      </c>
      <c r="H265" s="12">
        <v>366.26480000000004</v>
      </c>
      <c r="I265" s="12">
        <v>375.14230000000015</v>
      </c>
      <c r="J265" s="12">
        <v>390.53029999999984</v>
      </c>
      <c r="K265" s="12">
        <v>395.83459999999991</v>
      </c>
      <c r="L265" s="12">
        <v>421.34089999999986</v>
      </c>
      <c r="M265" s="12">
        <v>440.28649999999988</v>
      </c>
      <c r="N265" s="12">
        <v>446.92030000000005</v>
      </c>
      <c r="O265" s="12">
        <v>463.24630000000002</v>
      </c>
      <c r="P265" s="12">
        <v>469.33519999999993</v>
      </c>
      <c r="Q265" s="12">
        <v>486.16690000000006</v>
      </c>
      <c r="R265" s="12">
        <v>494.33640000000003</v>
      </c>
      <c r="S265" s="12">
        <v>504.47529999999995</v>
      </c>
      <c r="T265" s="12">
        <v>516.86940000000004</v>
      </c>
      <c r="U265" s="12">
        <v>531.80799999999988</v>
      </c>
      <c r="V265" s="12">
        <v>535.78659999999991</v>
      </c>
      <c r="W265" s="12">
        <v>550.89639999999997</v>
      </c>
      <c r="X265" s="12">
        <v>572.8098</v>
      </c>
      <c r="Y265" s="12">
        <v>592.63109999999983</v>
      </c>
      <c r="Z265" s="12">
        <v>594.32179999999994</v>
      </c>
      <c r="AA265" s="12">
        <v>607.38560000000007</v>
      </c>
      <c r="AB265" s="12">
        <v>624.74160000000018</v>
      </c>
      <c r="AC265" s="12">
        <v>637.72199999999998</v>
      </c>
      <c r="AD265" s="12" t="s">
        <v>73</v>
      </c>
    </row>
    <row r="266" spans="1:30" x14ac:dyDescent="0.3">
      <c r="A266" s="13" t="s">
        <v>569</v>
      </c>
      <c r="B266" s="14" t="s">
        <v>834</v>
      </c>
      <c r="C266" t="s">
        <v>553</v>
      </c>
      <c r="D266" s="5" t="s">
        <v>554</v>
      </c>
      <c r="E266" s="12">
        <v>1410.8299</v>
      </c>
      <c r="F266" s="12">
        <v>1405.0831999999998</v>
      </c>
      <c r="G266" s="12">
        <v>1414.4956</v>
      </c>
      <c r="H266" s="12">
        <v>1430.4625999999996</v>
      </c>
      <c r="I266" s="12">
        <v>1470.7824000000003</v>
      </c>
      <c r="J266" s="12">
        <v>1481.9053000000001</v>
      </c>
      <c r="K266" s="12">
        <v>1490.4607000000003</v>
      </c>
      <c r="L266" s="12">
        <v>1486.1345000000001</v>
      </c>
      <c r="M266" s="12">
        <v>1506.0446000000009</v>
      </c>
      <c r="N266" s="12">
        <v>1518.1964</v>
      </c>
      <c r="O266" s="12">
        <v>1526.4069000000002</v>
      </c>
      <c r="P266" s="12">
        <v>1532.7387000000001</v>
      </c>
      <c r="Q266" s="12">
        <v>1536.8135999999997</v>
      </c>
      <c r="R266" s="12">
        <v>1541.4683</v>
      </c>
      <c r="S266" s="12">
        <v>1542.9756</v>
      </c>
      <c r="T266" s="12">
        <v>1550.2799000000005</v>
      </c>
      <c r="U266" s="12">
        <v>1561.7997999999998</v>
      </c>
      <c r="V266" s="12">
        <v>1560.9798999999998</v>
      </c>
      <c r="W266" s="12">
        <v>1566.0726</v>
      </c>
      <c r="X266" s="12">
        <v>1559.5940000000003</v>
      </c>
      <c r="Y266" s="12">
        <v>1583.9846999999995</v>
      </c>
      <c r="Z266" s="12">
        <v>1604.1492999999998</v>
      </c>
      <c r="AA266" s="12">
        <v>1622.578999999999</v>
      </c>
      <c r="AB266" s="12">
        <v>1642.6623000000002</v>
      </c>
      <c r="AC266" s="12">
        <v>1631.1717999999996</v>
      </c>
      <c r="AD266" s="12" t="s">
        <v>73</v>
      </c>
    </row>
    <row r="267" spans="1:30" x14ac:dyDescent="0.3">
      <c r="A267" s="13" t="s">
        <v>569</v>
      </c>
      <c r="B267" s="14" t="s">
        <v>835</v>
      </c>
      <c r="C267" t="s">
        <v>555</v>
      </c>
      <c r="D267" s="5" t="s">
        <v>556</v>
      </c>
      <c r="E267" s="12">
        <v>3572.7539910174</v>
      </c>
      <c r="F267" s="12">
        <v>3571.3666646339002</v>
      </c>
      <c r="G267" s="12">
        <v>3596.5138012298999</v>
      </c>
      <c r="H267" s="12">
        <v>3631.8092043624001</v>
      </c>
      <c r="I267" s="12">
        <v>3700.1624827811002</v>
      </c>
      <c r="J267" s="12">
        <v>3744.446037403</v>
      </c>
      <c r="K267" s="12">
        <v>3786.3886829622002</v>
      </c>
      <c r="L267" s="12">
        <v>3829.6676024388998</v>
      </c>
      <c r="M267" s="12">
        <v>3890.8598588086002</v>
      </c>
      <c r="N267" s="12">
        <v>3903.9176140578002</v>
      </c>
      <c r="O267" s="12">
        <v>3928.4764559678001</v>
      </c>
      <c r="P267" s="12">
        <v>3952.2104261957002</v>
      </c>
      <c r="Q267" s="12">
        <v>3982.8130026653998</v>
      </c>
      <c r="R267" s="12">
        <v>4012.3311065498001</v>
      </c>
      <c r="S267" s="12">
        <v>4035.6604184743001</v>
      </c>
      <c r="T267" s="12">
        <v>4063.5967463677998</v>
      </c>
      <c r="U267" s="12">
        <v>4105.8002159579</v>
      </c>
      <c r="V267" s="12">
        <v>4123.9977843509996</v>
      </c>
      <c r="W267" s="12">
        <v>4137.6258257173004</v>
      </c>
      <c r="X267" s="12">
        <v>4146.5691485178004</v>
      </c>
      <c r="Y267" s="12">
        <v>4208.8166609937998</v>
      </c>
      <c r="Z267" s="12">
        <v>4242.1140480225004</v>
      </c>
      <c r="AA267" s="12">
        <v>4273.8092283620999</v>
      </c>
      <c r="AB267" s="12">
        <v>4324.4325047005004</v>
      </c>
      <c r="AC267" s="12">
        <v>4333.6089575133001</v>
      </c>
      <c r="AD267" s="12" t="s">
        <v>73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016A-2A54-4F94-AEAC-645AA2D390D9}">
  <dimension ref="A1:AD267"/>
  <sheetViews>
    <sheetView workbookViewId="0">
      <selection activeCell="E12" sqref="E12"/>
    </sheetView>
  </sheetViews>
  <sheetFormatPr defaultRowHeight="14.4" x14ac:dyDescent="0.3"/>
  <cols>
    <col min="1" max="1" width="47.5546875" bestFit="1" customWidth="1"/>
    <col min="3" max="3" width="60.109375" bestFit="1" customWidth="1"/>
  </cols>
  <sheetData>
    <row r="1" spans="1:30" x14ac:dyDescent="0.3">
      <c r="A1" t="s">
        <v>59</v>
      </c>
      <c r="B1" s="5" t="s">
        <v>60</v>
      </c>
      <c r="C1" t="s">
        <v>61</v>
      </c>
      <c r="D1" s="5" t="s">
        <v>62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</row>
    <row r="2" spans="1:30" x14ac:dyDescent="0.3">
      <c r="A2" t="s">
        <v>564</v>
      </c>
      <c r="B2" s="5" t="s">
        <v>565</v>
      </c>
      <c r="C2" t="s">
        <v>65</v>
      </c>
      <c r="D2" s="5" t="s">
        <v>66</v>
      </c>
      <c r="E2">
        <v>2.2309000000000001</v>
      </c>
      <c r="F2">
        <v>1.9857</v>
      </c>
      <c r="G2">
        <v>2.3361999999999998</v>
      </c>
      <c r="H2">
        <v>2.4232999999999998</v>
      </c>
      <c r="I2">
        <v>2.4066999999999998</v>
      </c>
      <c r="J2">
        <v>2.5108999999999999</v>
      </c>
      <c r="K2">
        <v>2.4664999999999999</v>
      </c>
      <c r="L2">
        <v>2.472</v>
      </c>
      <c r="M2">
        <v>2.7046000000000001</v>
      </c>
      <c r="N2">
        <v>2.8576000000000001</v>
      </c>
      <c r="O2">
        <v>3.1896</v>
      </c>
      <c r="P2">
        <v>3.2347000000000001</v>
      </c>
      <c r="Q2">
        <v>3.2505000000000002</v>
      </c>
      <c r="R2">
        <v>3.1859000000000002</v>
      </c>
      <c r="S2">
        <v>3.3361999999999998</v>
      </c>
      <c r="T2">
        <v>3.3586999999999998</v>
      </c>
      <c r="U2">
        <v>3.4895999999999998</v>
      </c>
      <c r="V2">
        <v>3.9811999999999999</v>
      </c>
      <c r="W2">
        <v>3.4317000000000002</v>
      </c>
      <c r="X2">
        <v>3.4544999999999999</v>
      </c>
      <c r="Y2">
        <v>3.1831</v>
      </c>
      <c r="Z2">
        <v>3.0402</v>
      </c>
      <c r="AA2">
        <v>3.1185</v>
      </c>
      <c r="AB2">
        <v>3.1227999999999998</v>
      </c>
      <c r="AC2">
        <v>3.137</v>
      </c>
      <c r="AD2" t="s">
        <v>73</v>
      </c>
    </row>
    <row r="3" spans="1:30" x14ac:dyDescent="0.3">
      <c r="A3" t="s">
        <v>564</v>
      </c>
      <c r="B3" s="5" t="s">
        <v>565</v>
      </c>
      <c r="C3" t="s">
        <v>67</v>
      </c>
      <c r="D3" s="5" t="s">
        <v>68</v>
      </c>
      <c r="E3">
        <v>0.76380000000000003</v>
      </c>
      <c r="F3">
        <v>0.76149999999999995</v>
      </c>
      <c r="G3">
        <v>0.81489999999999996</v>
      </c>
      <c r="H3">
        <v>0.77259999999999995</v>
      </c>
      <c r="I3">
        <v>0.84119999999999995</v>
      </c>
      <c r="J3">
        <v>0.71589999999999998</v>
      </c>
      <c r="K3">
        <v>0.76739999999999997</v>
      </c>
      <c r="L3">
        <v>0.73609999999999998</v>
      </c>
      <c r="M3">
        <v>0.68210000000000004</v>
      </c>
      <c r="N3">
        <v>0.67679999999999996</v>
      </c>
      <c r="O3">
        <v>0.66879999999999995</v>
      </c>
      <c r="P3">
        <v>0.68520000000000003</v>
      </c>
      <c r="Q3">
        <v>0.754</v>
      </c>
      <c r="R3">
        <v>0.70340000000000003</v>
      </c>
      <c r="S3">
        <v>0.77010000000000001</v>
      </c>
      <c r="T3">
        <v>0.78959999999999997</v>
      </c>
      <c r="U3">
        <v>0.77680000000000005</v>
      </c>
      <c r="V3">
        <v>0.75860000000000005</v>
      </c>
      <c r="W3">
        <v>0.73709999999999998</v>
      </c>
      <c r="X3">
        <v>0.76060000000000005</v>
      </c>
      <c r="Y3">
        <v>0.6855</v>
      </c>
      <c r="Z3">
        <v>0.65749999999999997</v>
      </c>
      <c r="AA3">
        <v>0.61780000000000002</v>
      </c>
      <c r="AB3">
        <v>0.58409999999999995</v>
      </c>
      <c r="AC3">
        <v>0.55449999999999999</v>
      </c>
      <c r="AD3" t="s">
        <v>73</v>
      </c>
    </row>
    <row r="4" spans="1:30" x14ac:dyDescent="0.3">
      <c r="A4" t="s">
        <v>564</v>
      </c>
      <c r="B4" s="5" t="s">
        <v>565</v>
      </c>
      <c r="C4" t="s">
        <v>69</v>
      </c>
      <c r="D4" s="5" t="s">
        <v>70</v>
      </c>
      <c r="E4">
        <v>2.2688000000000001</v>
      </c>
      <c r="F4">
        <v>2.3033000000000001</v>
      </c>
      <c r="G4">
        <v>2.2599999999999998</v>
      </c>
      <c r="H4">
        <v>2.3376000000000001</v>
      </c>
      <c r="I4">
        <v>2.3803000000000001</v>
      </c>
      <c r="J4">
        <v>2.3881000000000001</v>
      </c>
      <c r="K4">
        <v>2.4712999999999998</v>
      </c>
      <c r="L4">
        <v>2.4569999999999999</v>
      </c>
      <c r="M4">
        <v>2.3355000000000001</v>
      </c>
      <c r="N4">
        <v>2.5977999999999999</v>
      </c>
      <c r="O4">
        <v>2.8304999999999998</v>
      </c>
      <c r="P4">
        <v>2.9005000000000001</v>
      </c>
      <c r="Q4">
        <v>3.0933999999999999</v>
      </c>
      <c r="R4">
        <v>3.2038000000000002</v>
      </c>
      <c r="S4">
        <v>3.5552000000000001</v>
      </c>
      <c r="T4">
        <v>3.6579999999999999</v>
      </c>
      <c r="U4">
        <v>3.5539000000000001</v>
      </c>
      <c r="V4">
        <v>3.4443000000000001</v>
      </c>
      <c r="W4">
        <v>3.6594000000000002</v>
      </c>
      <c r="X4">
        <v>3.6644000000000001</v>
      </c>
      <c r="Y4">
        <v>3.5198999999999998</v>
      </c>
      <c r="Z4">
        <v>3.3378999999999999</v>
      </c>
      <c r="AA4">
        <v>3.5083000000000002</v>
      </c>
      <c r="AB4">
        <v>3.5922999999999998</v>
      </c>
      <c r="AC4">
        <v>3.6560000000000001</v>
      </c>
      <c r="AD4" t="s">
        <v>73</v>
      </c>
    </row>
    <row r="5" spans="1:30" x14ac:dyDescent="0.3">
      <c r="A5" t="s">
        <v>564</v>
      </c>
      <c r="B5" s="5" t="s">
        <v>565</v>
      </c>
      <c r="C5" t="s">
        <v>71</v>
      </c>
      <c r="D5" s="5" t="s">
        <v>72</v>
      </c>
      <c r="E5">
        <v>8.9999999999999998E-4</v>
      </c>
      <c r="F5">
        <v>1E-3</v>
      </c>
      <c r="G5">
        <v>1E-3</v>
      </c>
      <c r="H5">
        <v>1E-3</v>
      </c>
      <c r="I5">
        <v>1E-3</v>
      </c>
      <c r="J5">
        <v>8.9999999999999998E-4</v>
      </c>
      <c r="K5">
        <v>1E-3</v>
      </c>
      <c r="L5">
        <v>1E-3</v>
      </c>
      <c r="M5">
        <v>1E-3</v>
      </c>
      <c r="N5">
        <v>1E-3</v>
      </c>
      <c r="O5">
        <v>1E-3</v>
      </c>
      <c r="P5">
        <v>1E-3</v>
      </c>
      <c r="Q5">
        <v>1E-3</v>
      </c>
      <c r="R5">
        <v>1E-3</v>
      </c>
      <c r="S5">
        <v>1E-3</v>
      </c>
      <c r="T5">
        <v>1E-3</v>
      </c>
      <c r="U5">
        <v>1E-3</v>
      </c>
      <c r="V5">
        <v>1E-3</v>
      </c>
      <c r="W5">
        <v>1E-3</v>
      </c>
      <c r="X5">
        <v>1E-3</v>
      </c>
      <c r="Y5">
        <v>1E-3</v>
      </c>
      <c r="Z5">
        <v>1E-3</v>
      </c>
      <c r="AA5">
        <v>1E-3</v>
      </c>
      <c r="AB5">
        <v>1E-3</v>
      </c>
      <c r="AC5">
        <v>1E-3</v>
      </c>
      <c r="AD5" t="s">
        <v>73</v>
      </c>
    </row>
    <row r="6" spans="1:30" x14ac:dyDescent="0.3">
      <c r="A6" t="s">
        <v>564</v>
      </c>
      <c r="B6" s="5" t="s">
        <v>565</v>
      </c>
      <c r="C6" t="s">
        <v>74</v>
      </c>
      <c r="D6" s="5" t="s">
        <v>75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</row>
    <row r="7" spans="1:30" x14ac:dyDescent="0.3">
      <c r="A7" t="s">
        <v>564</v>
      </c>
      <c r="B7" s="5" t="s">
        <v>565</v>
      </c>
      <c r="C7" t="s">
        <v>76</v>
      </c>
      <c r="D7" s="5" t="s">
        <v>77</v>
      </c>
      <c r="E7">
        <v>2.0920000000000001</v>
      </c>
      <c r="F7">
        <v>2.1067</v>
      </c>
      <c r="G7">
        <v>2.1052</v>
      </c>
      <c r="H7">
        <v>2.0962000000000001</v>
      </c>
      <c r="I7">
        <v>2.0785</v>
      </c>
      <c r="J7">
        <v>2.2467999999999999</v>
      </c>
      <c r="K7">
        <v>2.3094000000000001</v>
      </c>
      <c r="L7">
        <v>2.3913000000000002</v>
      </c>
      <c r="M7">
        <v>2.4510999999999998</v>
      </c>
      <c r="N7">
        <v>2.5558000000000001</v>
      </c>
      <c r="O7">
        <v>2.6524999999999999</v>
      </c>
      <c r="P7">
        <v>2.7498999999999998</v>
      </c>
      <c r="Q7">
        <v>2.7953999999999999</v>
      </c>
      <c r="R7">
        <v>2.9462000000000002</v>
      </c>
      <c r="S7">
        <v>3.0297999999999998</v>
      </c>
      <c r="T7">
        <v>3.1374</v>
      </c>
      <c r="U7">
        <v>3.1587999999999998</v>
      </c>
      <c r="V7">
        <v>3.1153</v>
      </c>
      <c r="W7">
        <v>3.0985</v>
      </c>
      <c r="X7">
        <v>3.2263000000000002</v>
      </c>
      <c r="Y7">
        <v>3.26</v>
      </c>
      <c r="Z7">
        <v>3.3220000000000001</v>
      </c>
      <c r="AA7">
        <v>3.3944000000000001</v>
      </c>
      <c r="AB7">
        <v>3.3788999999999998</v>
      </c>
      <c r="AC7">
        <v>3.4218999999999999</v>
      </c>
      <c r="AD7" t="s">
        <v>73</v>
      </c>
    </row>
    <row r="8" spans="1:30" x14ac:dyDescent="0.3">
      <c r="A8" t="s">
        <v>564</v>
      </c>
      <c r="B8" s="5" t="s">
        <v>565</v>
      </c>
      <c r="C8" t="s">
        <v>78</v>
      </c>
      <c r="D8" s="5" t="s">
        <v>79</v>
      </c>
      <c r="E8">
        <v>9.2999999999999992E-3</v>
      </c>
      <c r="F8">
        <v>9.5999999999999992E-3</v>
      </c>
      <c r="G8">
        <v>9.7999999999999997E-3</v>
      </c>
      <c r="H8">
        <v>0.01</v>
      </c>
      <c r="I8">
        <v>1.0200000000000001E-2</v>
      </c>
      <c r="J8">
        <v>1.0200000000000001E-2</v>
      </c>
      <c r="K8">
        <v>1.0200000000000001E-2</v>
      </c>
      <c r="L8">
        <v>1.0200000000000001E-2</v>
      </c>
      <c r="M8">
        <v>0.01</v>
      </c>
      <c r="N8">
        <v>9.9000000000000008E-3</v>
      </c>
      <c r="O8">
        <v>6.1999999999999998E-3</v>
      </c>
      <c r="P8">
        <v>6.3E-3</v>
      </c>
      <c r="Q8">
        <v>6.3E-3</v>
      </c>
      <c r="R8">
        <v>6.1999999999999998E-3</v>
      </c>
      <c r="S8">
        <v>6.3E-3</v>
      </c>
      <c r="T8">
        <v>6.3E-3</v>
      </c>
      <c r="U8">
        <v>6.1999999999999998E-3</v>
      </c>
      <c r="V8">
        <v>6.3E-3</v>
      </c>
      <c r="W8">
        <v>6.0000000000000001E-3</v>
      </c>
      <c r="X8">
        <v>5.4000000000000003E-3</v>
      </c>
      <c r="Y8">
        <v>5.1999999999999998E-3</v>
      </c>
      <c r="Z8">
        <v>5.1000000000000004E-3</v>
      </c>
      <c r="AA8">
        <v>5.0000000000000001E-3</v>
      </c>
      <c r="AB8">
        <v>5.4999999999999997E-3</v>
      </c>
      <c r="AC8">
        <v>5.4000000000000003E-3</v>
      </c>
      <c r="AD8" t="s">
        <v>73</v>
      </c>
    </row>
    <row r="9" spans="1:30" x14ac:dyDescent="0.3">
      <c r="A9" t="s">
        <v>564</v>
      </c>
      <c r="B9" s="5" t="s">
        <v>565</v>
      </c>
      <c r="C9" t="s">
        <v>80</v>
      </c>
      <c r="D9" s="5" t="s">
        <v>81</v>
      </c>
      <c r="E9">
        <v>25.2087</v>
      </c>
      <c r="F9">
        <v>25.8506</v>
      </c>
      <c r="G9">
        <v>26.731200000000001</v>
      </c>
      <c r="H9">
        <v>28.607600000000001</v>
      </c>
      <c r="I9">
        <v>29.653099999999998</v>
      </c>
      <c r="J9">
        <v>29.337499999999999</v>
      </c>
      <c r="K9">
        <v>30.507999999999999</v>
      </c>
      <c r="L9">
        <v>31.879000000000001</v>
      </c>
      <c r="M9">
        <v>30.0032</v>
      </c>
      <c r="N9">
        <v>27.647500000000001</v>
      </c>
      <c r="O9">
        <v>27.869499999999999</v>
      </c>
      <c r="P9">
        <v>28.3535</v>
      </c>
      <c r="Q9">
        <v>28.029900000000001</v>
      </c>
      <c r="R9">
        <v>29.103300000000001</v>
      </c>
      <c r="S9">
        <v>29.681000000000001</v>
      </c>
      <c r="T9">
        <v>28.841899999999999</v>
      </c>
      <c r="U9">
        <v>31.296399999999998</v>
      </c>
      <c r="V9">
        <v>32.308900000000001</v>
      </c>
      <c r="W9">
        <v>32.557699999999997</v>
      </c>
      <c r="X9">
        <v>34.097200000000001</v>
      </c>
      <c r="Y9">
        <v>34.681699999999999</v>
      </c>
      <c r="Z9">
        <v>34.744599999999998</v>
      </c>
      <c r="AA9">
        <v>33.931699999999999</v>
      </c>
      <c r="AB9">
        <v>32.734699999999997</v>
      </c>
      <c r="AC9">
        <v>33.3887</v>
      </c>
      <c r="AD9" t="s">
        <v>73</v>
      </c>
    </row>
    <row r="10" spans="1:30" x14ac:dyDescent="0.3">
      <c r="A10" t="s">
        <v>564</v>
      </c>
      <c r="B10" s="5" t="s">
        <v>565</v>
      </c>
      <c r="C10" t="s">
        <v>82</v>
      </c>
      <c r="D10" s="5" t="s">
        <v>83</v>
      </c>
      <c r="E10">
        <v>0.22040000000000001</v>
      </c>
      <c r="F10">
        <v>0.22239999999999999</v>
      </c>
      <c r="G10">
        <v>0.2329</v>
      </c>
      <c r="H10">
        <v>0.22040000000000001</v>
      </c>
      <c r="I10">
        <v>0.30780000000000002</v>
      </c>
      <c r="J10">
        <v>0.29680000000000001</v>
      </c>
      <c r="K10">
        <v>0.2263</v>
      </c>
      <c r="L10">
        <v>0.32529999999999998</v>
      </c>
      <c r="M10">
        <v>0.27929999999999999</v>
      </c>
      <c r="N10">
        <v>0.27060000000000001</v>
      </c>
      <c r="O10">
        <v>0.2535</v>
      </c>
      <c r="P10">
        <v>0.25829999999999997</v>
      </c>
      <c r="Q10">
        <v>0.26600000000000001</v>
      </c>
      <c r="R10">
        <v>0.31159999999999999</v>
      </c>
      <c r="S10">
        <v>0.32490000000000002</v>
      </c>
      <c r="T10">
        <v>0.3276</v>
      </c>
      <c r="U10">
        <v>0.34429999999999999</v>
      </c>
      <c r="V10">
        <v>0.34039999999999998</v>
      </c>
      <c r="W10">
        <v>0.32440000000000002</v>
      </c>
      <c r="X10">
        <v>0.34389999999999998</v>
      </c>
      <c r="Y10">
        <v>0.3291</v>
      </c>
      <c r="Z10">
        <v>0.3125</v>
      </c>
      <c r="AA10">
        <v>0.29930000000000001</v>
      </c>
      <c r="AB10">
        <v>0.28460000000000002</v>
      </c>
      <c r="AC10">
        <v>0.2828</v>
      </c>
      <c r="AD10" t="s">
        <v>73</v>
      </c>
    </row>
    <row r="11" spans="1:30" x14ac:dyDescent="0.3">
      <c r="A11" t="s">
        <v>564</v>
      </c>
      <c r="B11" s="5" t="s">
        <v>565</v>
      </c>
      <c r="C11" t="s">
        <v>84</v>
      </c>
      <c r="D11" s="5" t="s">
        <v>85</v>
      </c>
      <c r="E11">
        <v>1E-3</v>
      </c>
      <c r="F11">
        <v>1E-3</v>
      </c>
      <c r="G11">
        <v>1E-3</v>
      </c>
      <c r="H11">
        <v>1E-3</v>
      </c>
      <c r="I11">
        <v>1E-3</v>
      </c>
      <c r="J11">
        <v>1E-3</v>
      </c>
      <c r="K11">
        <v>1E-3</v>
      </c>
      <c r="L11">
        <v>1E-3</v>
      </c>
      <c r="M11">
        <v>1E-3</v>
      </c>
      <c r="N11">
        <v>1E-3</v>
      </c>
      <c r="O11">
        <v>1E-3</v>
      </c>
      <c r="P11">
        <v>1E-3</v>
      </c>
      <c r="Q11">
        <v>1E-3</v>
      </c>
      <c r="R11">
        <v>1E-3</v>
      </c>
      <c r="S11">
        <v>1E-3</v>
      </c>
      <c r="T11">
        <v>1E-3</v>
      </c>
      <c r="U11">
        <v>1E-3</v>
      </c>
      <c r="V11">
        <v>1E-3</v>
      </c>
      <c r="W11">
        <v>1E-3</v>
      </c>
      <c r="X11">
        <v>1E-3</v>
      </c>
      <c r="Y11">
        <v>1E-3</v>
      </c>
      <c r="Z11">
        <v>1E-3</v>
      </c>
      <c r="AA11">
        <v>1E-3</v>
      </c>
      <c r="AB11">
        <v>1E-3</v>
      </c>
      <c r="AC11">
        <v>1E-3</v>
      </c>
      <c r="AD11" t="s">
        <v>73</v>
      </c>
    </row>
    <row r="12" spans="1:30" x14ac:dyDescent="0.3">
      <c r="A12" t="s">
        <v>564</v>
      </c>
      <c r="B12" s="5" t="s">
        <v>565</v>
      </c>
      <c r="C12" t="s">
        <v>5</v>
      </c>
      <c r="D12" s="5" t="s">
        <v>86</v>
      </c>
      <c r="E12">
        <v>34.880699999999997</v>
      </c>
      <c r="F12">
        <v>34.762</v>
      </c>
      <c r="G12">
        <v>34.458500000000001</v>
      </c>
      <c r="H12">
        <v>31.846</v>
      </c>
      <c r="I12">
        <v>34.771500000000003</v>
      </c>
      <c r="J12">
        <v>34.221899999999998</v>
      </c>
      <c r="K12">
        <v>33.267800000000001</v>
      </c>
      <c r="L12">
        <v>31.372599999999998</v>
      </c>
      <c r="M12">
        <v>30.361499999999999</v>
      </c>
      <c r="N12">
        <v>30.814599999999999</v>
      </c>
      <c r="O12">
        <v>30.588699999999999</v>
      </c>
      <c r="P12">
        <v>32.961599999999997</v>
      </c>
      <c r="Q12">
        <v>33.367600000000003</v>
      </c>
      <c r="R12">
        <v>34.679499999999997</v>
      </c>
      <c r="S12">
        <v>34.932200000000002</v>
      </c>
      <c r="T12">
        <v>33.418900000000001</v>
      </c>
      <c r="U12">
        <v>32.610599999999998</v>
      </c>
      <c r="V12">
        <v>35.837699999999998</v>
      </c>
      <c r="W12">
        <v>32.2639</v>
      </c>
      <c r="X12">
        <v>30.947299999999998</v>
      </c>
      <c r="Y12">
        <v>31.194800000000001</v>
      </c>
      <c r="Z12">
        <v>35.424999999999997</v>
      </c>
      <c r="AA12">
        <v>34.652000000000001</v>
      </c>
      <c r="AB12">
        <v>37.945</v>
      </c>
      <c r="AC12">
        <v>38.618099999999998</v>
      </c>
      <c r="AD12" t="s">
        <v>73</v>
      </c>
    </row>
    <row r="13" spans="1:30" x14ac:dyDescent="0.3">
      <c r="A13" t="s">
        <v>564</v>
      </c>
      <c r="B13" s="5" t="s">
        <v>565</v>
      </c>
      <c r="C13" t="s">
        <v>6</v>
      </c>
      <c r="D13" s="5" t="s">
        <v>87</v>
      </c>
      <c r="E13">
        <v>2.1861999999999999</v>
      </c>
      <c r="F13">
        <v>2.1918000000000002</v>
      </c>
      <c r="G13">
        <v>2.101</v>
      </c>
      <c r="H13">
        <v>2.0253999999999999</v>
      </c>
      <c r="I13">
        <v>2.0508000000000002</v>
      </c>
      <c r="J13">
        <v>2.0501999999999998</v>
      </c>
      <c r="K13">
        <v>2.0363000000000002</v>
      </c>
      <c r="L13">
        <v>2.0354000000000001</v>
      </c>
      <c r="M13">
        <v>1.9961</v>
      </c>
      <c r="N13">
        <v>1.9773000000000001</v>
      </c>
      <c r="O13">
        <v>2.0720000000000001</v>
      </c>
      <c r="P13">
        <v>2.0905999999999998</v>
      </c>
      <c r="Q13">
        <v>2.0291000000000001</v>
      </c>
      <c r="R13">
        <v>2.0629</v>
      </c>
      <c r="S13">
        <v>2.1524000000000001</v>
      </c>
      <c r="T13">
        <v>2.1152000000000002</v>
      </c>
      <c r="U13">
        <v>2.137</v>
      </c>
      <c r="V13">
        <v>2.0402</v>
      </c>
      <c r="W13">
        <v>2.0011999999999999</v>
      </c>
      <c r="X13">
        <v>2.0447000000000002</v>
      </c>
      <c r="Y13">
        <v>2.0369000000000002</v>
      </c>
      <c r="Z13">
        <v>1.9643999999999999</v>
      </c>
      <c r="AA13">
        <v>1.9716</v>
      </c>
      <c r="AB13">
        <v>1.9625999999999999</v>
      </c>
      <c r="AC13">
        <v>1.9603999999999999</v>
      </c>
      <c r="AD13" t="s">
        <v>73</v>
      </c>
    </row>
    <row r="14" spans="1:30" x14ac:dyDescent="0.3">
      <c r="A14" t="s">
        <v>564</v>
      </c>
      <c r="B14" s="5" t="s">
        <v>565</v>
      </c>
      <c r="C14" t="s">
        <v>88</v>
      </c>
      <c r="D14" s="5" t="s">
        <v>89</v>
      </c>
      <c r="E14">
        <v>0.98409999999999997</v>
      </c>
      <c r="F14">
        <v>1.1032999999999999</v>
      </c>
      <c r="G14">
        <v>1.1939</v>
      </c>
      <c r="H14">
        <v>1.286</v>
      </c>
      <c r="I14">
        <v>1.2748999999999999</v>
      </c>
      <c r="J14">
        <v>1.2912999999999999</v>
      </c>
      <c r="K14">
        <v>1.3557999999999999</v>
      </c>
      <c r="L14">
        <v>1.3581000000000001</v>
      </c>
      <c r="M14">
        <v>1.4832000000000001</v>
      </c>
      <c r="N14">
        <v>1.4818</v>
      </c>
      <c r="O14">
        <v>1.4312</v>
      </c>
      <c r="P14">
        <v>1.4876</v>
      </c>
      <c r="Q14">
        <v>1.5044</v>
      </c>
      <c r="R14">
        <v>1.5287999999999999</v>
      </c>
      <c r="S14">
        <v>1.5985</v>
      </c>
      <c r="T14">
        <v>1.6129</v>
      </c>
      <c r="U14">
        <v>1.5968</v>
      </c>
      <c r="V14">
        <v>1.6468</v>
      </c>
      <c r="W14">
        <v>1.6868000000000001</v>
      </c>
      <c r="X14">
        <v>1.91</v>
      </c>
      <c r="Y14">
        <v>1.9106000000000001</v>
      </c>
      <c r="Z14">
        <v>1.6485000000000001</v>
      </c>
      <c r="AA14">
        <v>1.9021999999999999</v>
      </c>
      <c r="AB14">
        <v>1.9023000000000001</v>
      </c>
      <c r="AC14">
        <v>1.9775</v>
      </c>
      <c r="AD14" t="s">
        <v>73</v>
      </c>
    </row>
    <row r="15" spans="1:30" x14ac:dyDescent="0.3">
      <c r="A15" t="s">
        <v>564</v>
      </c>
      <c r="B15" s="5" t="s">
        <v>565</v>
      </c>
      <c r="C15" t="s">
        <v>90</v>
      </c>
      <c r="D15" s="5" t="s">
        <v>91</v>
      </c>
      <c r="E15">
        <v>7.4000000000000003E-3</v>
      </c>
      <c r="F15">
        <v>7.7000000000000002E-3</v>
      </c>
      <c r="G15">
        <v>7.7999999999999996E-3</v>
      </c>
      <c r="H15">
        <v>8.8999999999999999E-3</v>
      </c>
      <c r="I15">
        <v>9.1999999999999998E-3</v>
      </c>
      <c r="J15">
        <v>9.1999999999999998E-3</v>
      </c>
      <c r="K15">
        <v>9.1999999999999998E-3</v>
      </c>
      <c r="L15">
        <v>9.1999999999999998E-3</v>
      </c>
      <c r="M15">
        <v>9.1999999999999998E-3</v>
      </c>
      <c r="N15">
        <v>9.1999999999999998E-3</v>
      </c>
      <c r="O15">
        <v>9.1999999999999998E-3</v>
      </c>
      <c r="P15">
        <v>9.1999999999999998E-3</v>
      </c>
      <c r="Q15">
        <v>9.1999999999999998E-3</v>
      </c>
      <c r="R15">
        <v>9.1999999999999998E-3</v>
      </c>
      <c r="S15">
        <v>9.2999999999999992E-3</v>
      </c>
      <c r="T15">
        <v>9.4999999999999998E-3</v>
      </c>
      <c r="U15">
        <v>9.4000000000000004E-3</v>
      </c>
      <c r="V15">
        <v>9.5999999999999992E-3</v>
      </c>
      <c r="W15">
        <v>9.7000000000000003E-3</v>
      </c>
      <c r="X15">
        <v>9.7999999999999997E-3</v>
      </c>
      <c r="Y15">
        <v>9.7000000000000003E-3</v>
      </c>
      <c r="Z15">
        <v>9.7000000000000003E-3</v>
      </c>
      <c r="AA15">
        <v>9.7000000000000003E-3</v>
      </c>
      <c r="AB15">
        <v>9.7999999999999997E-3</v>
      </c>
      <c r="AC15">
        <v>9.7999999999999997E-3</v>
      </c>
      <c r="AD15" t="s">
        <v>73</v>
      </c>
    </row>
    <row r="16" spans="1:30" x14ac:dyDescent="0.3">
      <c r="A16" t="s">
        <v>564</v>
      </c>
      <c r="B16" s="5" t="s">
        <v>565</v>
      </c>
      <c r="C16" t="s">
        <v>92</v>
      </c>
      <c r="D16" s="5" t="s">
        <v>93</v>
      </c>
      <c r="E16">
        <v>9.5999999999999992E-3</v>
      </c>
      <c r="F16">
        <v>9.1999999999999998E-3</v>
      </c>
      <c r="G16">
        <v>1.21E-2</v>
      </c>
      <c r="H16">
        <v>1.0699999999999999E-2</v>
      </c>
      <c r="I16">
        <v>1.01E-2</v>
      </c>
      <c r="J16">
        <v>0.01</v>
      </c>
      <c r="K16">
        <v>0.01</v>
      </c>
      <c r="L16">
        <v>9.9000000000000008E-3</v>
      </c>
      <c r="M16">
        <v>8.6E-3</v>
      </c>
      <c r="N16">
        <v>8.8000000000000005E-3</v>
      </c>
      <c r="O16">
        <v>1.01E-2</v>
      </c>
      <c r="P16">
        <v>1.0200000000000001E-2</v>
      </c>
      <c r="Q16">
        <v>1.03E-2</v>
      </c>
      <c r="R16">
        <v>1.06E-2</v>
      </c>
      <c r="S16">
        <v>1.0699999999999999E-2</v>
      </c>
      <c r="T16">
        <v>1.06E-2</v>
      </c>
      <c r="U16">
        <v>1.0800000000000001E-2</v>
      </c>
      <c r="V16">
        <v>1.09E-2</v>
      </c>
      <c r="W16">
        <v>1.17E-2</v>
      </c>
      <c r="X16">
        <v>1.2200000000000001E-2</v>
      </c>
      <c r="Y16">
        <v>1.11E-2</v>
      </c>
      <c r="Z16">
        <v>1.1599999999999999E-2</v>
      </c>
      <c r="AA16">
        <v>1.2E-2</v>
      </c>
      <c r="AB16">
        <v>1.1900000000000001E-2</v>
      </c>
      <c r="AC16">
        <v>1.1900000000000001E-2</v>
      </c>
      <c r="AD16" t="s">
        <v>73</v>
      </c>
    </row>
    <row r="17" spans="1:30" x14ac:dyDescent="0.3">
      <c r="A17" t="s">
        <v>564</v>
      </c>
      <c r="B17" s="5" t="s">
        <v>565</v>
      </c>
      <c r="C17" t="s">
        <v>94</v>
      </c>
      <c r="D17" s="5" t="s">
        <v>95</v>
      </c>
      <c r="E17">
        <v>13.918900000000001</v>
      </c>
      <c r="F17">
        <v>14.295999999999999</v>
      </c>
      <c r="G17">
        <v>14.454599999999999</v>
      </c>
      <c r="H17">
        <v>14.8284</v>
      </c>
      <c r="I17">
        <v>15.341200000000001</v>
      </c>
      <c r="J17">
        <v>15.5009</v>
      </c>
      <c r="K17">
        <v>15.7599</v>
      </c>
      <c r="L17">
        <v>16.611799999999999</v>
      </c>
      <c r="M17">
        <v>16.262799999999999</v>
      </c>
      <c r="N17">
        <v>16.281099999999999</v>
      </c>
      <c r="O17">
        <v>17.005299999999998</v>
      </c>
      <c r="P17">
        <v>16.533799999999999</v>
      </c>
      <c r="Q17">
        <v>16.626899999999999</v>
      </c>
      <c r="R17">
        <v>16.864999999999998</v>
      </c>
      <c r="S17">
        <v>17.997800000000002</v>
      </c>
      <c r="T17">
        <v>17.691600000000001</v>
      </c>
      <c r="U17">
        <v>17.433800000000002</v>
      </c>
      <c r="V17">
        <v>17.8401</v>
      </c>
      <c r="W17">
        <v>18.285599999999999</v>
      </c>
      <c r="X17">
        <v>18.417999999999999</v>
      </c>
      <c r="Y17">
        <v>18.871300000000002</v>
      </c>
      <c r="Z17">
        <v>19.776</v>
      </c>
      <c r="AA17">
        <v>19.3142</v>
      </c>
      <c r="AB17">
        <v>17.861899999999999</v>
      </c>
      <c r="AC17">
        <v>17.851099999999999</v>
      </c>
      <c r="AD17" t="s">
        <v>73</v>
      </c>
    </row>
    <row r="18" spans="1:30" x14ac:dyDescent="0.3">
      <c r="A18" t="s">
        <v>564</v>
      </c>
      <c r="B18" s="5" t="s">
        <v>565</v>
      </c>
      <c r="C18" t="s">
        <v>96</v>
      </c>
      <c r="D18" s="5" t="s">
        <v>97</v>
      </c>
      <c r="E18">
        <v>2.18E-2</v>
      </c>
      <c r="F18">
        <v>1.9400000000000001E-2</v>
      </c>
      <c r="G18">
        <v>1.84E-2</v>
      </c>
      <c r="H18">
        <v>1.8200000000000001E-2</v>
      </c>
      <c r="I18">
        <v>1.9300000000000001E-2</v>
      </c>
      <c r="J18">
        <v>1.9099999999999999E-2</v>
      </c>
      <c r="K18">
        <v>1.8200000000000001E-2</v>
      </c>
      <c r="L18">
        <v>1.8100000000000002E-2</v>
      </c>
      <c r="M18">
        <v>1.8200000000000001E-2</v>
      </c>
      <c r="N18">
        <v>1.89E-2</v>
      </c>
      <c r="O18">
        <v>1.8800000000000001E-2</v>
      </c>
      <c r="P18">
        <v>1.89E-2</v>
      </c>
      <c r="Q18">
        <v>1.9099999999999999E-2</v>
      </c>
      <c r="R18">
        <v>1.9E-2</v>
      </c>
      <c r="S18">
        <v>1.89E-2</v>
      </c>
      <c r="T18">
        <v>1.9300000000000001E-2</v>
      </c>
      <c r="U18">
        <v>2.06E-2</v>
      </c>
      <c r="V18">
        <v>2.1100000000000001E-2</v>
      </c>
      <c r="W18">
        <v>2.1700000000000001E-2</v>
      </c>
      <c r="X18">
        <v>2.1000000000000001E-2</v>
      </c>
      <c r="Y18">
        <v>2.1299999999999999E-2</v>
      </c>
      <c r="Z18">
        <v>2.1399999999999999E-2</v>
      </c>
      <c r="AA18">
        <v>2.1700000000000001E-2</v>
      </c>
      <c r="AB18">
        <v>2.1399999999999999E-2</v>
      </c>
      <c r="AC18">
        <v>2.1499999999999998E-2</v>
      </c>
      <c r="AD18" t="s">
        <v>73</v>
      </c>
    </row>
    <row r="19" spans="1:30" x14ac:dyDescent="0.3">
      <c r="A19" t="s">
        <v>564</v>
      </c>
      <c r="B19" s="5" t="s">
        <v>565</v>
      </c>
      <c r="C19" t="s">
        <v>98</v>
      </c>
      <c r="D19" s="5" t="s">
        <v>99</v>
      </c>
      <c r="E19">
        <v>10.810600000000001</v>
      </c>
      <c r="F19">
        <v>10.7567</v>
      </c>
      <c r="G19">
        <v>10.6678</v>
      </c>
      <c r="H19">
        <v>10.5852</v>
      </c>
      <c r="I19">
        <v>10.565099999999999</v>
      </c>
      <c r="J19">
        <v>10.5526</v>
      </c>
      <c r="K19">
        <v>10.5672</v>
      </c>
      <c r="L19">
        <v>10.6058</v>
      </c>
      <c r="M19">
        <v>13.522</v>
      </c>
      <c r="N19">
        <v>13.4321</v>
      </c>
      <c r="O19">
        <v>13.486499999999999</v>
      </c>
      <c r="P19">
        <v>13.884600000000001</v>
      </c>
      <c r="Q19">
        <v>13.797800000000001</v>
      </c>
      <c r="R19">
        <v>13.653499999999999</v>
      </c>
      <c r="S19">
        <v>13.2761</v>
      </c>
      <c r="T19">
        <v>13.2486</v>
      </c>
      <c r="U19">
        <v>12.573399999999999</v>
      </c>
      <c r="V19">
        <v>12.9175</v>
      </c>
      <c r="W19">
        <v>12.801600000000001</v>
      </c>
      <c r="X19">
        <v>12.7498</v>
      </c>
      <c r="Y19">
        <v>13.107900000000001</v>
      </c>
      <c r="Z19">
        <v>12.818300000000001</v>
      </c>
      <c r="AA19">
        <v>13.116300000000001</v>
      </c>
      <c r="AB19">
        <v>13.189299999999999</v>
      </c>
      <c r="AC19">
        <v>13.317299999999999</v>
      </c>
      <c r="AD19" t="s">
        <v>73</v>
      </c>
    </row>
    <row r="20" spans="1:30" x14ac:dyDescent="0.3">
      <c r="A20" t="s">
        <v>564</v>
      </c>
      <c r="B20" s="5" t="s">
        <v>565</v>
      </c>
      <c r="C20" t="s">
        <v>7</v>
      </c>
      <c r="D20" s="5" t="s">
        <v>100</v>
      </c>
      <c r="E20">
        <v>2.7869000000000002</v>
      </c>
      <c r="F20">
        <v>2.7464</v>
      </c>
      <c r="G20">
        <v>2.7050000000000001</v>
      </c>
      <c r="H20">
        <v>2.6211000000000002</v>
      </c>
      <c r="I20">
        <v>2.6126</v>
      </c>
      <c r="J20">
        <v>2.5640999999999998</v>
      </c>
      <c r="K20">
        <v>2.516</v>
      </c>
      <c r="L20">
        <v>2.5552999999999999</v>
      </c>
      <c r="M20">
        <v>2.4781</v>
      </c>
      <c r="N20">
        <v>2.5958999999999999</v>
      </c>
      <c r="O20">
        <v>2.7006000000000001</v>
      </c>
      <c r="P20">
        <v>2.6979000000000002</v>
      </c>
      <c r="Q20">
        <v>2.6861000000000002</v>
      </c>
      <c r="R20">
        <v>2.6671</v>
      </c>
      <c r="S20">
        <v>2.6728000000000001</v>
      </c>
      <c r="T20">
        <v>2.6802999999999999</v>
      </c>
      <c r="U20">
        <v>2.6229</v>
      </c>
      <c r="V20">
        <v>2.6021000000000001</v>
      </c>
      <c r="W20">
        <v>2.6377999999999999</v>
      </c>
      <c r="X20">
        <v>2.6448</v>
      </c>
      <c r="Y20">
        <v>2.6236999999999999</v>
      </c>
      <c r="Z20">
        <v>2.5124</v>
      </c>
      <c r="AA20">
        <v>2.3384</v>
      </c>
      <c r="AB20">
        <v>2.2671000000000001</v>
      </c>
      <c r="AC20">
        <v>2.2113999999999998</v>
      </c>
      <c r="AD20" t="s">
        <v>73</v>
      </c>
    </row>
    <row r="21" spans="1:30" x14ac:dyDescent="0.3">
      <c r="A21" t="s">
        <v>564</v>
      </c>
      <c r="B21" s="5" t="s">
        <v>565</v>
      </c>
      <c r="C21" t="s">
        <v>101</v>
      </c>
      <c r="D21" s="5" t="s">
        <v>102</v>
      </c>
      <c r="E21">
        <v>3.6499999999999998E-2</v>
      </c>
      <c r="F21">
        <v>4.0599999999999997E-2</v>
      </c>
      <c r="G21">
        <v>4.1799999999999997E-2</v>
      </c>
      <c r="H21">
        <v>4.1799999999999997E-2</v>
      </c>
      <c r="I21">
        <v>4.2799999999999998E-2</v>
      </c>
      <c r="J21">
        <v>4.24E-2</v>
      </c>
      <c r="K21">
        <v>4.6199999999999998E-2</v>
      </c>
      <c r="L21">
        <v>4.8800000000000003E-2</v>
      </c>
      <c r="M21">
        <v>5.1499999999999997E-2</v>
      </c>
      <c r="N21">
        <v>5.7000000000000002E-2</v>
      </c>
      <c r="O21">
        <v>5.8799999999999998E-2</v>
      </c>
      <c r="P21">
        <v>0.06</v>
      </c>
      <c r="Q21">
        <v>6.3E-2</v>
      </c>
      <c r="R21">
        <v>6.7699999999999996E-2</v>
      </c>
      <c r="S21">
        <v>6.0999999999999999E-2</v>
      </c>
      <c r="T21">
        <v>6.1600000000000002E-2</v>
      </c>
      <c r="U21">
        <v>6.3600000000000004E-2</v>
      </c>
      <c r="V21">
        <v>6.6199999999999995E-2</v>
      </c>
      <c r="W21">
        <v>6.6500000000000004E-2</v>
      </c>
      <c r="X21">
        <v>6.7000000000000004E-2</v>
      </c>
      <c r="Y21">
        <v>6.7699999999999996E-2</v>
      </c>
      <c r="Z21">
        <v>7.0400000000000004E-2</v>
      </c>
      <c r="AA21">
        <v>7.1199999999999999E-2</v>
      </c>
      <c r="AB21">
        <v>6.9800000000000001E-2</v>
      </c>
      <c r="AC21">
        <v>7.0400000000000004E-2</v>
      </c>
      <c r="AD21" t="s">
        <v>73</v>
      </c>
    </row>
    <row r="22" spans="1:30" x14ac:dyDescent="0.3">
      <c r="A22" t="s">
        <v>564</v>
      </c>
      <c r="B22" s="5" t="s">
        <v>565</v>
      </c>
      <c r="C22" t="s">
        <v>103</v>
      </c>
      <c r="D22" s="5" t="s">
        <v>104</v>
      </c>
      <c r="E22">
        <v>0.76639999999999997</v>
      </c>
      <c r="F22">
        <v>0.80349999999999999</v>
      </c>
      <c r="G22">
        <v>0.83160000000000001</v>
      </c>
      <c r="H22">
        <v>0.84370000000000001</v>
      </c>
      <c r="I22">
        <v>0.86609999999999998</v>
      </c>
      <c r="J22">
        <v>0.87580000000000002</v>
      </c>
      <c r="K22">
        <v>0.90580000000000005</v>
      </c>
      <c r="L22">
        <v>0.93059999999999998</v>
      </c>
      <c r="M22">
        <v>0.94840000000000002</v>
      </c>
      <c r="N22">
        <v>0.97919999999999996</v>
      </c>
      <c r="O22">
        <v>1.0041</v>
      </c>
      <c r="P22">
        <v>1.0278</v>
      </c>
      <c r="Q22">
        <v>1.0579000000000001</v>
      </c>
      <c r="R22">
        <v>1.0912999999999999</v>
      </c>
      <c r="S22">
        <v>1.1184000000000001</v>
      </c>
      <c r="T22">
        <v>1.1458999999999999</v>
      </c>
      <c r="U22">
        <v>1.1786000000000001</v>
      </c>
      <c r="V22">
        <v>1.2118</v>
      </c>
      <c r="W22">
        <v>1.2515000000000001</v>
      </c>
      <c r="X22">
        <v>1.2856000000000001</v>
      </c>
      <c r="Y22">
        <v>1.2354000000000001</v>
      </c>
      <c r="Z22">
        <v>1.3664000000000001</v>
      </c>
      <c r="AA22">
        <v>1.4643999999999999</v>
      </c>
      <c r="AB22">
        <v>1.5847</v>
      </c>
      <c r="AC22">
        <v>1.6343000000000001</v>
      </c>
      <c r="AD22" t="s">
        <v>73</v>
      </c>
    </row>
    <row r="23" spans="1:30" x14ac:dyDescent="0.3">
      <c r="A23" t="s">
        <v>564</v>
      </c>
      <c r="B23" s="5" t="s">
        <v>565</v>
      </c>
      <c r="C23" t="s">
        <v>105</v>
      </c>
      <c r="D23" s="5" t="s">
        <v>106</v>
      </c>
      <c r="E23">
        <v>6.9999999999999999E-4</v>
      </c>
      <c r="F23">
        <v>6.9999999999999999E-4</v>
      </c>
      <c r="G23">
        <v>6.9999999999999999E-4</v>
      </c>
      <c r="H23">
        <v>6.9999999999999999E-4</v>
      </c>
      <c r="I23">
        <v>6.9999999999999999E-4</v>
      </c>
      <c r="J23">
        <v>8.0000000000000004E-4</v>
      </c>
      <c r="K23">
        <v>8.0000000000000004E-4</v>
      </c>
      <c r="L23">
        <v>8.0000000000000004E-4</v>
      </c>
      <c r="M23">
        <v>8.0000000000000004E-4</v>
      </c>
      <c r="N23">
        <v>8.0000000000000004E-4</v>
      </c>
      <c r="O23">
        <v>8.0000000000000004E-4</v>
      </c>
      <c r="P23">
        <v>8.0000000000000004E-4</v>
      </c>
      <c r="Q23">
        <v>8.0000000000000004E-4</v>
      </c>
      <c r="R23">
        <v>8.0000000000000004E-4</v>
      </c>
      <c r="S23">
        <v>8.0000000000000004E-4</v>
      </c>
      <c r="T23">
        <v>8.0000000000000004E-4</v>
      </c>
      <c r="U23">
        <v>8.0000000000000004E-4</v>
      </c>
      <c r="V23">
        <v>8.0000000000000004E-4</v>
      </c>
      <c r="W23">
        <v>8.0000000000000004E-4</v>
      </c>
      <c r="X23">
        <v>8.0000000000000004E-4</v>
      </c>
      <c r="Y23">
        <v>8.0000000000000004E-4</v>
      </c>
      <c r="Z23">
        <v>8.0000000000000004E-4</v>
      </c>
      <c r="AA23">
        <v>8.0000000000000004E-4</v>
      </c>
      <c r="AB23">
        <v>8.0000000000000004E-4</v>
      </c>
      <c r="AC23">
        <v>8.0000000000000004E-4</v>
      </c>
      <c r="AD23" t="s">
        <v>73</v>
      </c>
    </row>
    <row r="24" spans="1:30" x14ac:dyDescent="0.3">
      <c r="A24" t="s">
        <v>564</v>
      </c>
      <c r="B24" s="5" t="s">
        <v>565</v>
      </c>
      <c r="C24" t="s">
        <v>107</v>
      </c>
      <c r="D24" s="5" t="s">
        <v>108</v>
      </c>
      <c r="E24">
        <v>5.0799999999999998E-2</v>
      </c>
      <c r="F24">
        <v>4.6699999999999998E-2</v>
      </c>
      <c r="G24">
        <v>4.5400000000000003E-2</v>
      </c>
      <c r="H24">
        <v>4.6899999999999997E-2</v>
      </c>
      <c r="I24">
        <v>4.8500000000000001E-2</v>
      </c>
      <c r="J24">
        <v>5.3400000000000003E-2</v>
      </c>
      <c r="K24">
        <v>6.6600000000000006E-2</v>
      </c>
      <c r="L24">
        <v>6.7299999999999999E-2</v>
      </c>
      <c r="M24">
        <v>7.4399999999999994E-2</v>
      </c>
      <c r="N24">
        <v>6.4199999999999993E-2</v>
      </c>
      <c r="O24">
        <v>6.4000000000000001E-2</v>
      </c>
      <c r="P24">
        <v>6.7299999999999999E-2</v>
      </c>
      <c r="Q24">
        <v>6.6199999999999995E-2</v>
      </c>
      <c r="R24">
        <v>6.8400000000000002E-2</v>
      </c>
      <c r="S24">
        <v>6.9699999999999998E-2</v>
      </c>
      <c r="T24">
        <v>7.0499999999999993E-2</v>
      </c>
      <c r="U24">
        <v>7.4399999999999994E-2</v>
      </c>
      <c r="V24">
        <v>7.6399999999999996E-2</v>
      </c>
      <c r="W24">
        <v>7.7299999999999994E-2</v>
      </c>
      <c r="X24">
        <v>7.7600000000000002E-2</v>
      </c>
      <c r="Y24">
        <v>7.1499999999999994E-2</v>
      </c>
      <c r="Z24">
        <v>6.9199999999999998E-2</v>
      </c>
      <c r="AA24">
        <v>6.5100000000000005E-2</v>
      </c>
      <c r="AB24">
        <v>6.2E-2</v>
      </c>
      <c r="AC24">
        <v>5.9299999999999999E-2</v>
      </c>
      <c r="AD24" t="s">
        <v>73</v>
      </c>
    </row>
    <row r="25" spans="1:30" x14ac:dyDescent="0.3">
      <c r="A25" t="s">
        <v>564</v>
      </c>
      <c r="B25" s="5" t="s">
        <v>565</v>
      </c>
      <c r="C25" t="s">
        <v>109</v>
      </c>
      <c r="D25" s="5" t="s">
        <v>110</v>
      </c>
      <c r="E25">
        <v>3.3671000000000002</v>
      </c>
      <c r="F25">
        <v>3.2621000000000002</v>
      </c>
      <c r="G25">
        <v>3.3485999999999998</v>
      </c>
      <c r="H25">
        <v>3.4693000000000001</v>
      </c>
      <c r="I25">
        <v>3.5634999999999999</v>
      </c>
      <c r="J25">
        <v>3.7058</v>
      </c>
      <c r="K25">
        <v>3.8363</v>
      </c>
      <c r="L25">
        <v>3.9544999999999999</v>
      </c>
      <c r="M25">
        <v>4.0617999999999999</v>
      </c>
      <c r="N25">
        <v>4.1920999999999999</v>
      </c>
      <c r="O25">
        <v>4.3428000000000004</v>
      </c>
      <c r="P25">
        <v>4.4385000000000003</v>
      </c>
      <c r="Q25">
        <v>4.5526999999999997</v>
      </c>
      <c r="R25">
        <v>4.6821000000000002</v>
      </c>
      <c r="S25">
        <v>4.5468000000000002</v>
      </c>
      <c r="T25">
        <v>4.6402999999999999</v>
      </c>
      <c r="U25">
        <v>4.7076000000000002</v>
      </c>
      <c r="V25">
        <v>4.7591999999999999</v>
      </c>
      <c r="W25">
        <v>4.915</v>
      </c>
      <c r="X25">
        <v>4.9827000000000004</v>
      </c>
      <c r="Y25">
        <v>5.1155999999999997</v>
      </c>
      <c r="Z25">
        <v>5.2458999999999998</v>
      </c>
      <c r="AA25">
        <v>5.3409000000000004</v>
      </c>
      <c r="AB25">
        <v>5.4881000000000002</v>
      </c>
      <c r="AC25">
        <v>5.6044</v>
      </c>
      <c r="AD25" t="s">
        <v>73</v>
      </c>
    </row>
    <row r="26" spans="1:30" x14ac:dyDescent="0.3">
      <c r="A26" t="s">
        <v>564</v>
      </c>
      <c r="B26" s="5" t="s">
        <v>565</v>
      </c>
      <c r="C26" t="s">
        <v>111</v>
      </c>
      <c r="D26" s="5" t="s">
        <v>112</v>
      </c>
      <c r="E26">
        <v>0.58799999999999997</v>
      </c>
      <c r="F26">
        <v>0.53710000000000002</v>
      </c>
      <c r="G26">
        <v>0.53769999999999996</v>
      </c>
      <c r="H26">
        <v>0.53510000000000002</v>
      </c>
      <c r="I26">
        <v>0.58240000000000003</v>
      </c>
      <c r="J26">
        <v>0.63280000000000003</v>
      </c>
      <c r="K26">
        <v>0.6351</v>
      </c>
      <c r="L26">
        <v>0.61719999999999997</v>
      </c>
      <c r="M26">
        <v>0.57079999999999997</v>
      </c>
      <c r="N26">
        <v>0.59060000000000001</v>
      </c>
      <c r="O26">
        <v>0.58979999999999999</v>
      </c>
      <c r="P26">
        <v>0.59599999999999997</v>
      </c>
      <c r="Q26">
        <v>0.59730000000000005</v>
      </c>
      <c r="R26">
        <v>0.65049999999999997</v>
      </c>
      <c r="S26">
        <v>0.65290000000000004</v>
      </c>
      <c r="T26">
        <v>0.64380000000000004</v>
      </c>
      <c r="U26">
        <v>0.67849999999999999</v>
      </c>
      <c r="V26">
        <v>0.67779999999999996</v>
      </c>
      <c r="W26">
        <v>0.67490000000000006</v>
      </c>
      <c r="X26">
        <v>0.65310000000000001</v>
      </c>
      <c r="Y26">
        <v>0.68059999999999998</v>
      </c>
      <c r="Z26">
        <v>0.50949999999999995</v>
      </c>
      <c r="AA26">
        <v>0.50419999999999998</v>
      </c>
      <c r="AB26">
        <v>0.47299999999999998</v>
      </c>
      <c r="AC26">
        <v>0.442</v>
      </c>
      <c r="AD26" t="s">
        <v>73</v>
      </c>
    </row>
    <row r="27" spans="1:30" x14ac:dyDescent="0.3">
      <c r="A27" t="s">
        <v>564</v>
      </c>
      <c r="B27" s="5" t="s">
        <v>565</v>
      </c>
      <c r="C27" t="s">
        <v>113</v>
      </c>
      <c r="D27" s="5" t="s">
        <v>114</v>
      </c>
      <c r="E27">
        <v>1.3931</v>
      </c>
      <c r="F27">
        <v>1.319</v>
      </c>
      <c r="G27">
        <v>1.0848</v>
      </c>
      <c r="H27">
        <v>1.0637000000000001</v>
      </c>
      <c r="I27">
        <v>1.0779000000000001</v>
      </c>
      <c r="J27">
        <v>1.1263000000000001</v>
      </c>
      <c r="K27">
        <v>1.1364000000000001</v>
      </c>
      <c r="L27">
        <v>1.1262000000000001</v>
      </c>
      <c r="M27">
        <v>1.1698999999999999</v>
      </c>
      <c r="N27">
        <v>1.2555000000000001</v>
      </c>
      <c r="O27">
        <v>1.3572</v>
      </c>
      <c r="P27">
        <v>1.3075000000000001</v>
      </c>
      <c r="Q27">
        <v>1.1618999999999999</v>
      </c>
      <c r="R27">
        <v>1.0851</v>
      </c>
      <c r="S27">
        <v>0.86860000000000004</v>
      </c>
      <c r="T27">
        <v>0.90100000000000002</v>
      </c>
      <c r="U27">
        <v>0.80740000000000001</v>
      </c>
      <c r="V27">
        <v>0.6149</v>
      </c>
      <c r="W27">
        <v>0.62370000000000003</v>
      </c>
      <c r="X27">
        <v>0.55020000000000002</v>
      </c>
      <c r="Y27">
        <v>0.56110000000000004</v>
      </c>
      <c r="Z27">
        <v>0.58620000000000005</v>
      </c>
      <c r="AA27">
        <v>0.57140000000000002</v>
      </c>
      <c r="AB27">
        <v>0.56040000000000001</v>
      </c>
      <c r="AC27">
        <v>0.56100000000000005</v>
      </c>
      <c r="AD27" t="s">
        <v>73</v>
      </c>
    </row>
    <row r="28" spans="1:30" x14ac:dyDescent="0.3">
      <c r="A28" t="s">
        <v>564</v>
      </c>
      <c r="B28" s="5" t="s">
        <v>565</v>
      </c>
      <c r="C28" t="s">
        <v>8</v>
      </c>
      <c r="D28" s="5" t="s">
        <v>115</v>
      </c>
      <c r="E28">
        <v>86.736599999999996</v>
      </c>
      <c r="F28">
        <v>88.382800000000003</v>
      </c>
      <c r="G28">
        <v>92.381600000000006</v>
      </c>
      <c r="H28">
        <v>100.5894</v>
      </c>
      <c r="I28">
        <v>104.3325</v>
      </c>
      <c r="J28">
        <v>104.7508</v>
      </c>
      <c r="K28">
        <v>104.7655</v>
      </c>
      <c r="L28">
        <v>107.419</v>
      </c>
      <c r="M28">
        <v>108.00920000000001</v>
      </c>
      <c r="N28">
        <v>107.6802</v>
      </c>
      <c r="O28">
        <v>111.4864</v>
      </c>
      <c r="P28">
        <v>117.6168</v>
      </c>
      <c r="Q28">
        <v>116.25230000000001</v>
      </c>
      <c r="R28">
        <v>118.3313</v>
      </c>
      <c r="S28">
        <v>120.1113</v>
      </c>
      <c r="T28">
        <v>120.0672</v>
      </c>
      <c r="U28">
        <v>125.0617</v>
      </c>
      <c r="V28">
        <v>125.5125</v>
      </c>
      <c r="W28">
        <v>124.4207</v>
      </c>
      <c r="X28">
        <v>125.6401</v>
      </c>
      <c r="Y28">
        <v>132.92500000000001</v>
      </c>
      <c r="Z28">
        <v>139.4922</v>
      </c>
      <c r="AA28">
        <v>141.92179999999999</v>
      </c>
      <c r="AB28">
        <v>146.4691</v>
      </c>
      <c r="AC28">
        <v>146.3134</v>
      </c>
      <c r="AD28" t="s">
        <v>73</v>
      </c>
    </row>
    <row r="29" spans="1:30" x14ac:dyDescent="0.3">
      <c r="A29" t="s">
        <v>564</v>
      </c>
      <c r="B29" s="5" t="s">
        <v>565</v>
      </c>
      <c r="C29" t="s">
        <v>116</v>
      </c>
      <c r="D29" s="5" t="s">
        <v>117</v>
      </c>
      <c r="E29">
        <v>2.2000000000000001E-3</v>
      </c>
      <c r="F29">
        <v>2.2000000000000001E-3</v>
      </c>
      <c r="G29">
        <v>2.2000000000000001E-3</v>
      </c>
      <c r="H29">
        <v>2.3E-3</v>
      </c>
      <c r="I29">
        <v>2.3E-3</v>
      </c>
      <c r="J29">
        <v>2.3E-3</v>
      </c>
      <c r="K29">
        <v>2.3E-3</v>
      </c>
      <c r="L29">
        <v>2.3E-3</v>
      </c>
      <c r="M29">
        <v>2.3E-3</v>
      </c>
      <c r="N29">
        <v>2.3E-3</v>
      </c>
      <c r="O29">
        <v>2.3E-3</v>
      </c>
      <c r="P29">
        <v>2.3E-3</v>
      </c>
      <c r="Q29">
        <v>2.3E-3</v>
      </c>
      <c r="R29">
        <v>2.3E-3</v>
      </c>
      <c r="S29">
        <v>2.3E-3</v>
      </c>
      <c r="T29">
        <v>2.3E-3</v>
      </c>
      <c r="U29">
        <v>2.3E-3</v>
      </c>
      <c r="V29">
        <v>2.3E-3</v>
      </c>
      <c r="W29">
        <v>2.3E-3</v>
      </c>
      <c r="X29">
        <v>2.3E-3</v>
      </c>
      <c r="Y29">
        <v>2.3E-3</v>
      </c>
      <c r="Z29">
        <v>2.3999999999999998E-3</v>
      </c>
      <c r="AA29">
        <v>2.3999999999999998E-3</v>
      </c>
      <c r="AB29">
        <v>2.3999999999999998E-3</v>
      </c>
      <c r="AC29">
        <v>2.3999999999999998E-3</v>
      </c>
      <c r="AD29" t="s">
        <v>73</v>
      </c>
    </row>
    <row r="30" spans="1:30" x14ac:dyDescent="0.3">
      <c r="A30" t="s">
        <v>564</v>
      </c>
      <c r="B30" s="5" t="s">
        <v>565</v>
      </c>
      <c r="C30" t="s">
        <v>118</v>
      </c>
      <c r="D30" s="5" t="s">
        <v>119</v>
      </c>
      <c r="E30">
        <v>3.5400000000000001E-2</v>
      </c>
      <c r="F30">
        <v>3.7199999999999997E-2</v>
      </c>
      <c r="G30">
        <v>3.5200000000000002E-2</v>
      </c>
      <c r="H30">
        <v>3.7499999999999999E-2</v>
      </c>
      <c r="I30">
        <v>3.9600000000000003E-2</v>
      </c>
      <c r="J30">
        <v>3.6700000000000003E-2</v>
      </c>
      <c r="K30">
        <v>3.9800000000000002E-2</v>
      </c>
      <c r="L30">
        <v>4.1300000000000003E-2</v>
      </c>
      <c r="M30">
        <v>4.1500000000000002E-2</v>
      </c>
      <c r="N30">
        <v>4.1000000000000002E-2</v>
      </c>
      <c r="O30">
        <v>4.2599999999999999E-2</v>
      </c>
      <c r="P30">
        <v>4.0899999999999999E-2</v>
      </c>
      <c r="Q30">
        <v>4.5600000000000002E-2</v>
      </c>
      <c r="R30">
        <v>4.87E-2</v>
      </c>
      <c r="S30">
        <v>4.5100000000000001E-2</v>
      </c>
      <c r="T30">
        <v>4.5499999999999999E-2</v>
      </c>
      <c r="U30">
        <v>4.65E-2</v>
      </c>
      <c r="V30">
        <v>4.4900000000000002E-2</v>
      </c>
      <c r="W30">
        <v>4.7199999999999999E-2</v>
      </c>
      <c r="X30">
        <v>4.4400000000000002E-2</v>
      </c>
      <c r="Y30">
        <v>4.9099999999999998E-2</v>
      </c>
      <c r="Z30">
        <v>5.2600000000000001E-2</v>
      </c>
      <c r="AA30">
        <v>5.2200000000000003E-2</v>
      </c>
      <c r="AB30">
        <v>5.28E-2</v>
      </c>
      <c r="AC30">
        <v>5.4100000000000002E-2</v>
      </c>
      <c r="AD30" t="s">
        <v>73</v>
      </c>
    </row>
    <row r="31" spans="1:30" x14ac:dyDescent="0.3">
      <c r="A31" t="s">
        <v>564</v>
      </c>
      <c r="B31" s="5" t="s">
        <v>565</v>
      </c>
      <c r="C31" t="s">
        <v>120</v>
      </c>
      <c r="D31" s="5" t="s">
        <v>121</v>
      </c>
      <c r="E31">
        <v>2.1131000000000002</v>
      </c>
      <c r="F31">
        <v>2.141</v>
      </c>
      <c r="G31">
        <v>1.9511000000000001</v>
      </c>
      <c r="H31">
        <v>1.879</v>
      </c>
      <c r="I31">
        <v>2.0546000000000002</v>
      </c>
      <c r="J31">
        <v>1.9581999999999999</v>
      </c>
      <c r="K31">
        <v>2.0047000000000001</v>
      </c>
      <c r="L31">
        <v>1.9552</v>
      </c>
      <c r="M31">
        <v>1.9136</v>
      </c>
      <c r="N31">
        <v>2.1265999999999998</v>
      </c>
      <c r="O31">
        <v>2.085</v>
      </c>
      <c r="P31">
        <v>2.1204999999999998</v>
      </c>
      <c r="Q31">
        <v>2.4228000000000001</v>
      </c>
      <c r="R31">
        <v>2.6745000000000001</v>
      </c>
      <c r="S31">
        <v>3.1682000000000001</v>
      </c>
      <c r="T31">
        <v>2.8515999999999999</v>
      </c>
      <c r="U31">
        <v>3.2896999999999998</v>
      </c>
      <c r="V31">
        <v>3.2362000000000002</v>
      </c>
      <c r="W31">
        <v>3.2164000000000001</v>
      </c>
      <c r="X31">
        <v>3.2938999999999998</v>
      </c>
      <c r="Y31">
        <v>3.3769999999999998</v>
      </c>
      <c r="Z31">
        <v>3.3443000000000001</v>
      </c>
      <c r="AA31">
        <v>3.2370999999999999</v>
      </c>
      <c r="AB31">
        <v>3.2664</v>
      </c>
      <c r="AC31">
        <v>3.2610000000000001</v>
      </c>
      <c r="AD31" t="s">
        <v>73</v>
      </c>
    </row>
    <row r="32" spans="1:30" x14ac:dyDescent="0.3">
      <c r="A32" t="s">
        <v>564</v>
      </c>
      <c r="B32" s="5" t="s">
        <v>565</v>
      </c>
      <c r="C32" t="s">
        <v>122</v>
      </c>
      <c r="D32" s="5" t="s">
        <v>123</v>
      </c>
      <c r="E32">
        <v>2.9125999999999999</v>
      </c>
      <c r="F32">
        <v>3.0162</v>
      </c>
      <c r="G32">
        <v>3.1057000000000001</v>
      </c>
      <c r="H32">
        <v>3.9575</v>
      </c>
      <c r="I32">
        <v>4.0269000000000004</v>
      </c>
      <c r="J32">
        <v>4.1326000000000001</v>
      </c>
      <c r="K32">
        <v>4.2259000000000002</v>
      </c>
      <c r="L32">
        <v>4.3117000000000001</v>
      </c>
      <c r="M32">
        <v>4.4401999999999999</v>
      </c>
      <c r="N32">
        <v>4.5273000000000003</v>
      </c>
      <c r="O32">
        <v>4.6520000000000001</v>
      </c>
      <c r="P32">
        <v>4.7380000000000004</v>
      </c>
      <c r="Q32">
        <v>4.8562000000000003</v>
      </c>
      <c r="R32">
        <v>4.9722999999999997</v>
      </c>
      <c r="S32">
        <v>5.0763999999999996</v>
      </c>
      <c r="T32">
        <v>5.2111000000000001</v>
      </c>
      <c r="U32">
        <v>5.3601000000000001</v>
      </c>
      <c r="V32">
        <v>5.4745999999999997</v>
      </c>
      <c r="W32">
        <v>5.6132</v>
      </c>
      <c r="X32">
        <v>5.7417999999999996</v>
      </c>
      <c r="Y32">
        <v>4.5799000000000003</v>
      </c>
      <c r="Z32">
        <v>5.7404000000000002</v>
      </c>
      <c r="AA32">
        <v>5.7515999999999998</v>
      </c>
      <c r="AB32">
        <v>5.3315999999999999</v>
      </c>
      <c r="AC32">
        <v>5.2748999999999997</v>
      </c>
      <c r="AD32" t="s">
        <v>73</v>
      </c>
    </row>
    <row r="33" spans="1:30" x14ac:dyDescent="0.3">
      <c r="A33" t="s">
        <v>564</v>
      </c>
      <c r="B33" s="5" t="s">
        <v>565</v>
      </c>
      <c r="C33" t="s">
        <v>124</v>
      </c>
      <c r="D33" s="5" t="s">
        <v>125</v>
      </c>
      <c r="E33">
        <v>0.40679999999999999</v>
      </c>
      <c r="F33">
        <v>0.41399999999999998</v>
      </c>
      <c r="G33">
        <v>0.3931</v>
      </c>
      <c r="H33">
        <v>0.39879999999999999</v>
      </c>
      <c r="I33">
        <v>0.41980000000000001</v>
      </c>
      <c r="J33">
        <v>0.44369999999999998</v>
      </c>
      <c r="K33">
        <v>0.46920000000000001</v>
      </c>
      <c r="L33">
        <v>0.48209999999999997</v>
      </c>
      <c r="M33">
        <v>0.50960000000000005</v>
      </c>
      <c r="N33">
        <v>0.55030000000000001</v>
      </c>
      <c r="O33">
        <v>0.5968</v>
      </c>
      <c r="P33">
        <v>0.63919999999999999</v>
      </c>
      <c r="Q33">
        <v>0.66549999999999998</v>
      </c>
      <c r="R33">
        <v>0.76429999999999998</v>
      </c>
      <c r="S33">
        <v>0.76139999999999997</v>
      </c>
      <c r="T33">
        <v>0.74409999999999998</v>
      </c>
      <c r="U33">
        <v>0.8024</v>
      </c>
      <c r="V33">
        <v>0.95230000000000004</v>
      </c>
      <c r="W33">
        <v>0.96989999999999998</v>
      </c>
      <c r="X33">
        <v>0.87150000000000005</v>
      </c>
      <c r="Y33">
        <v>0.84899999999999998</v>
      </c>
      <c r="Z33">
        <v>0.98070000000000002</v>
      </c>
      <c r="AA33">
        <v>1.0246999999999999</v>
      </c>
      <c r="AB33">
        <v>1.1491</v>
      </c>
      <c r="AC33">
        <v>1.1852</v>
      </c>
      <c r="AD33" t="s">
        <v>73</v>
      </c>
    </row>
    <row r="34" spans="1:30" x14ac:dyDescent="0.3">
      <c r="A34" t="s">
        <v>564</v>
      </c>
      <c r="B34" s="5" t="s">
        <v>565</v>
      </c>
      <c r="C34" t="s">
        <v>126</v>
      </c>
      <c r="D34" s="5" t="s">
        <v>127</v>
      </c>
      <c r="E34">
        <v>4.9700000000000001E-2</v>
      </c>
      <c r="F34">
        <v>4.3900000000000002E-2</v>
      </c>
      <c r="G34">
        <v>4.3299999999999998E-2</v>
      </c>
      <c r="H34">
        <v>4.24E-2</v>
      </c>
      <c r="I34">
        <v>4.4400000000000002E-2</v>
      </c>
      <c r="J34">
        <v>4.2900000000000001E-2</v>
      </c>
      <c r="K34">
        <v>4.0800000000000003E-2</v>
      </c>
      <c r="L34">
        <v>3.8300000000000001E-2</v>
      </c>
      <c r="M34">
        <v>3.7199999999999997E-2</v>
      </c>
      <c r="N34">
        <v>3.9199999999999999E-2</v>
      </c>
      <c r="O34">
        <v>4.0099999999999997E-2</v>
      </c>
      <c r="P34">
        <v>3.85E-2</v>
      </c>
      <c r="Q34">
        <v>3.9199999999999999E-2</v>
      </c>
      <c r="R34">
        <v>3.9800000000000002E-2</v>
      </c>
      <c r="S34">
        <v>4.02E-2</v>
      </c>
      <c r="T34">
        <v>4.0899999999999999E-2</v>
      </c>
      <c r="U34">
        <v>4.1500000000000002E-2</v>
      </c>
      <c r="V34">
        <v>3.3799999999999997E-2</v>
      </c>
      <c r="W34">
        <v>3.3099999999999997E-2</v>
      </c>
      <c r="X34">
        <v>3.39E-2</v>
      </c>
      <c r="Y34">
        <v>3.5799999999999998E-2</v>
      </c>
      <c r="Z34">
        <v>3.6299999999999999E-2</v>
      </c>
      <c r="AA34">
        <v>3.6600000000000001E-2</v>
      </c>
      <c r="AB34">
        <v>3.7199999999999997E-2</v>
      </c>
      <c r="AC34">
        <v>3.78E-2</v>
      </c>
      <c r="AD34" t="s">
        <v>73</v>
      </c>
    </row>
    <row r="35" spans="1:30" x14ac:dyDescent="0.3">
      <c r="A35" t="s">
        <v>564</v>
      </c>
      <c r="B35" s="5" t="s">
        <v>565</v>
      </c>
      <c r="C35" t="s">
        <v>128</v>
      </c>
      <c r="D35" s="5" t="s">
        <v>129</v>
      </c>
      <c r="E35">
        <v>1.8431999999999999</v>
      </c>
      <c r="F35">
        <v>1.7827999999999999</v>
      </c>
      <c r="G35">
        <v>1.8027</v>
      </c>
      <c r="H35">
        <v>1.901</v>
      </c>
      <c r="I35">
        <v>1.9001999999999999</v>
      </c>
      <c r="J35">
        <v>2.0493000000000001</v>
      </c>
      <c r="K35">
        <v>2.1528</v>
      </c>
      <c r="L35">
        <v>2.1905000000000001</v>
      </c>
      <c r="M35">
        <v>2.2307999999999999</v>
      </c>
      <c r="N35">
        <v>2.3014000000000001</v>
      </c>
      <c r="O35">
        <v>2.2665999999999999</v>
      </c>
      <c r="P35">
        <v>2.2707999999999999</v>
      </c>
      <c r="Q35">
        <v>2.0958999999999999</v>
      </c>
      <c r="R35">
        <v>2.0891000000000002</v>
      </c>
      <c r="S35">
        <v>2.0884</v>
      </c>
      <c r="T35">
        <v>2.0859000000000001</v>
      </c>
      <c r="U35">
        <v>2.1187999999999998</v>
      </c>
      <c r="V35">
        <v>2.1539999999999999</v>
      </c>
      <c r="W35">
        <v>2.1659000000000002</v>
      </c>
      <c r="X35">
        <v>2.1265999999999998</v>
      </c>
      <c r="Y35">
        <v>2.11</v>
      </c>
      <c r="Z35">
        <v>2.1637</v>
      </c>
      <c r="AA35">
        <v>2.1345999999999998</v>
      </c>
      <c r="AB35">
        <v>2.1434000000000002</v>
      </c>
      <c r="AC35">
        <v>2.1107</v>
      </c>
      <c r="AD35" t="s">
        <v>73</v>
      </c>
    </row>
    <row r="36" spans="1:30" x14ac:dyDescent="0.3">
      <c r="A36" t="s">
        <v>564</v>
      </c>
      <c r="B36" s="5" t="s">
        <v>565</v>
      </c>
      <c r="C36" t="s">
        <v>130</v>
      </c>
      <c r="D36" s="5" t="s">
        <v>131</v>
      </c>
      <c r="E36">
        <v>3.1408</v>
      </c>
      <c r="F36">
        <v>3.161</v>
      </c>
      <c r="G36">
        <v>3.0333999999999999</v>
      </c>
      <c r="H36">
        <v>3.1583000000000001</v>
      </c>
      <c r="I36">
        <v>3.2347000000000001</v>
      </c>
      <c r="J36">
        <v>3.2351999999999999</v>
      </c>
      <c r="K36">
        <v>3.2376999999999998</v>
      </c>
      <c r="L36">
        <v>3.2603</v>
      </c>
      <c r="M36">
        <v>2.9138000000000002</v>
      </c>
      <c r="N36">
        <v>2.9281999999999999</v>
      </c>
      <c r="O36">
        <v>3.0343</v>
      </c>
      <c r="P36">
        <v>3.1642000000000001</v>
      </c>
      <c r="Q36">
        <v>3.2378999999999998</v>
      </c>
      <c r="R36">
        <v>3.3549000000000002</v>
      </c>
      <c r="S36">
        <v>3.5312999999999999</v>
      </c>
      <c r="T36">
        <v>3.6408999999999998</v>
      </c>
      <c r="U36">
        <v>3.5625</v>
      </c>
      <c r="V36">
        <v>3.5710999999999999</v>
      </c>
      <c r="W36">
        <v>3.5564</v>
      </c>
      <c r="X36">
        <v>3.6621000000000001</v>
      </c>
      <c r="Y36">
        <v>3.6107</v>
      </c>
      <c r="Z36">
        <v>3.641</v>
      </c>
      <c r="AA36">
        <v>3.7627999999999999</v>
      </c>
      <c r="AB36">
        <v>3.7480000000000002</v>
      </c>
      <c r="AC36">
        <v>3.7808999999999999</v>
      </c>
      <c r="AD36" t="s">
        <v>73</v>
      </c>
    </row>
    <row r="37" spans="1:30" x14ac:dyDescent="0.3">
      <c r="A37" t="s">
        <v>564</v>
      </c>
      <c r="B37" s="5" t="s">
        <v>565</v>
      </c>
      <c r="C37" t="s">
        <v>9</v>
      </c>
      <c r="D37" s="5" t="s">
        <v>132</v>
      </c>
      <c r="E37">
        <v>24.057600000000001</v>
      </c>
      <c r="F37">
        <v>23.753499999999999</v>
      </c>
      <c r="G37">
        <v>23.680199999999999</v>
      </c>
      <c r="H37">
        <v>24.3428</v>
      </c>
      <c r="I37">
        <v>24.276199999999999</v>
      </c>
      <c r="J37">
        <v>24.404900000000001</v>
      </c>
      <c r="K37">
        <v>25.366499999999998</v>
      </c>
      <c r="L37">
        <v>25.660499999999999</v>
      </c>
      <c r="M37">
        <v>25.5853</v>
      </c>
      <c r="N37">
        <v>25.555099999999999</v>
      </c>
      <c r="O37">
        <v>25.761199999999999</v>
      </c>
      <c r="P37">
        <v>27.300899999999999</v>
      </c>
      <c r="Q37">
        <v>28.5946</v>
      </c>
      <c r="R37">
        <v>29.142600000000002</v>
      </c>
      <c r="S37">
        <v>29.2</v>
      </c>
      <c r="T37">
        <v>28.978100000000001</v>
      </c>
      <c r="U37">
        <v>28.670400000000001</v>
      </c>
      <c r="V37">
        <v>29.723400000000002</v>
      </c>
      <c r="W37">
        <v>30.169499999999999</v>
      </c>
      <c r="X37">
        <v>31.555199999999999</v>
      </c>
      <c r="Y37">
        <v>32.134799999999998</v>
      </c>
      <c r="Z37">
        <v>29.806799999999999</v>
      </c>
      <c r="AA37">
        <v>31.518999999999998</v>
      </c>
      <c r="AB37">
        <v>31.414000000000001</v>
      </c>
      <c r="AC37">
        <v>31.849299999999999</v>
      </c>
      <c r="AD37" t="s">
        <v>73</v>
      </c>
    </row>
    <row r="38" spans="1:30" x14ac:dyDescent="0.3">
      <c r="A38" t="s">
        <v>564</v>
      </c>
      <c r="B38" s="5" t="s">
        <v>565</v>
      </c>
      <c r="C38" t="s">
        <v>133</v>
      </c>
      <c r="D38" s="5" t="s">
        <v>134</v>
      </c>
      <c r="E38">
        <v>8.9999999999999998E-4</v>
      </c>
      <c r="F38">
        <v>8.9999999999999998E-4</v>
      </c>
      <c r="G38">
        <v>1E-3</v>
      </c>
      <c r="H38">
        <v>1E-3</v>
      </c>
      <c r="I38">
        <v>1E-3</v>
      </c>
      <c r="J38">
        <v>1E-3</v>
      </c>
      <c r="K38">
        <v>1E-3</v>
      </c>
      <c r="L38">
        <v>1.1999999999999999E-3</v>
      </c>
      <c r="M38">
        <v>1.2999999999999999E-3</v>
      </c>
      <c r="N38">
        <v>1.1999999999999999E-3</v>
      </c>
      <c r="O38">
        <v>1.1000000000000001E-3</v>
      </c>
      <c r="P38">
        <v>1.1000000000000001E-3</v>
      </c>
      <c r="Q38">
        <v>1.1000000000000001E-3</v>
      </c>
      <c r="R38">
        <v>1.1000000000000001E-3</v>
      </c>
      <c r="S38">
        <v>1.1000000000000001E-3</v>
      </c>
      <c r="T38">
        <v>1.1999999999999999E-3</v>
      </c>
      <c r="U38">
        <v>1.1999999999999999E-3</v>
      </c>
      <c r="V38">
        <v>1.1999999999999999E-3</v>
      </c>
      <c r="W38">
        <v>1.1999999999999999E-3</v>
      </c>
      <c r="X38">
        <v>1.1999999999999999E-3</v>
      </c>
      <c r="Y38">
        <v>1.2999999999999999E-3</v>
      </c>
      <c r="Z38">
        <v>1.2999999999999999E-3</v>
      </c>
      <c r="AA38">
        <v>1.2999999999999999E-3</v>
      </c>
      <c r="AB38">
        <v>1.2999999999999999E-3</v>
      </c>
      <c r="AC38">
        <v>1.2999999999999999E-3</v>
      </c>
      <c r="AD38" t="s">
        <v>73</v>
      </c>
    </row>
    <row r="39" spans="1:30" x14ac:dyDescent="0.3">
      <c r="A39" t="s">
        <v>564</v>
      </c>
      <c r="B39" s="5" t="s">
        <v>565</v>
      </c>
      <c r="C39" t="s">
        <v>135</v>
      </c>
      <c r="D39" s="5" t="s">
        <v>136</v>
      </c>
      <c r="E39">
        <v>1.6083000000000001</v>
      </c>
      <c r="F39">
        <v>1.6561999999999999</v>
      </c>
      <c r="G39">
        <v>1.7073</v>
      </c>
      <c r="H39">
        <v>1.7603</v>
      </c>
      <c r="I39">
        <v>1.8104</v>
      </c>
      <c r="J39">
        <v>1.8604000000000001</v>
      </c>
      <c r="K39">
        <v>1.9153</v>
      </c>
      <c r="L39">
        <v>2.0407000000000002</v>
      </c>
      <c r="M39">
        <v>2.0560999999999998</v>
      </c>
      <c r="N39">
        <v>2.1173000000000002</v>
      </c>
      <c r="O39">
        <v>2.1779000000000002</v>
      </c>
      <c r="P39">
        <v>2.3485</v>
      </c>
      <c r="Q39">
        <v>2.3752</v>
      </c>
      <c r="R39">
        <v>2.3919999999999999</v>
      </c>
      <c r="S39">
        <v>2.4152</v>
      </c>
      <c r="T39">
        <v>2.4615999999999998</v>
      </c>
      <c r="U39">
        <v>2.5186000000000002</v>
      </c>
      <c r="V39">
        <v>2.4809000000000001</v>
      </c>
      <c r="W39">
        <v>2.5371999999999999</v>
      </c>
      <c r="X39">
        <v>2.5343</v>
      </c>
      <c r="Y39">
        <v>2.5811999999999999</v>
      </c>
      <c r="Z39">
        <v>2.5958999999999999</v>
      </c>
      <c r="AA39">
        <v>2.6421000000000001</v>
      </c>
      <c r="AB39">
        <v>2.6720999999999999</v>
      </c>
      <c r="AC39">
        <v>2.6983999999999999</v>
      </c>
      <c r="AD39" t="s">
        <v>73</v>
      </c>
    </row>
    <row r="40" spans="1:30" x14ac:dyDescent="0.3">
      <c r="A40" t="s">
        <v>564</v>
      </c>
      <c r="B40" s="5" t="s">
        <v>565</v>
      </c>
      <c r="C40" t="s">
        <v>137</v>
      </c>
      <c r="D40" s="5" t="s">
        <v>138</v>
      </c>
      <c r="E40">
        <v>5.6275000000000004</v>
      </c>
      <c r="F40">
        <v>5.9638999999999998</v>
      </c>
      <c r="G40">
        <v>6.2895000000000003</v>
      </c>
      <c r="H40">
        <v>6.6365999999999996</v>
      </c>
      <c r="I40">
        <v>6.9950999999999999</v>
      </c>
      <c r="J40">
        <v>7.4013</v>
      </c>
      <c r="K40">
        <v>7.8202999999999996</v>
      </c>
      <c r="L40">
        <v>8.2891999999999992</v>
      </c>
      <c r="M40">
        <v>8.7615999999999996</v>
      </c>
      <c r="N40">
        <v>9.2528000000000006</v>
      </c>
      <c r="O40">
        <v>9.8317999999999994</v>
      </c>
      <c r="P40">
        <v>10.3301</v>
      </c>
      <c r="Q40">
        <v>10.938000000000001</v>
      </c>
      <c r="R40">
        <v>11.5532</v>
      </c>
      <c r="S40">
        <v>12.211399999999999</v>
      </c>
      <c r="T40">
        <v>13.2399</v>
      </c>
      <c r="U40">
        <v>13.9793</v>
      </c>
      <c r="V40">
        <v>14.815099999999999</v>
      </c>
      <c r="W40">
        <v>15.6769</v>
      </c>
      <c r="X40">
        <v>16.5825</v>
      </c>
      <c r="Y40">
        <v>17.5426</v>
      </c>
      <c r="Z40">
        <v>18.338200000000001</v>
      </c>
      <c r="AA40">
        <v>19.5853</v>
      </c>
      <c r="AB40">
        <v>20.773900000000001</v>
      </c>
      <c r="AC40">
        <v>21.797499999999999</v>
      </c>
      <c r="AD40" t="s">
        <v>73</v>
      </c>
    </row>
    <row r="41" spans="1:30" x14ac:dyDescent="0.3">
      <c r="A41" t="s">
        <v>564</v>
      </c>
      <c r="B41" s="5" t="s">
        <v>565</v>
      </c>
      <c r="C41" t="s">
        <v>139</v>
      </c>
      <c r="D41" s="5" t="s">
        <v>140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</row>
    <row r="42" spans="1:30" x14ac:dyDescent="0.3">
      <c r="A42" t="s">
        <v>564</v>
      </c>
      <c r="B42" s="5" t="s">
        <v>565</v>
      </c>
      <c r="C42" t="s">
        <v>10</v>
      </c>
      <c r="D42" s="5" t="s">
        <v>141</v>
      </c>
      <c r="E42">
        <v>4.0228000000000002</v>
      </c>
      <c r="F42">
        <v>4.1303999999999998</v>
      </c>
      <c r="G42">
        <v>4.1590999999999996</v>
      </c>
      <c r="H42">
        <v>4.3006000000000002</v>
      </c>
      <c r="I42">
        <v>4.4432999999999998</v>
      </c>
      <c r="J42">
        <v>4.3741000000000003</v>
      </c>
      <c r="K42">
        <v>4.3437000000000001</v>
      </c>
      <c r="L42">
        <v>4.3587999999999996</v>
      </c>
      <c r="M42">
        <v>4.3228999999999997</v>
      </c>
      <c r="N42">
        <v>4.3269000000000002</v>
      </c>
      <c r="O42">
        <v>4.0038999999999998</v>
      </c>
      <c r="P42">
        <v>4.0412999999999997</v>
      </c>
      <c r="Q42">
        <v>4.1127000000000002</v>
      </c>
      <c r="R42">
        <v>3.6869999999999998</v>
      </c>
      <c r="S42">
        <v>3.5528</v>
      </c>
      <c r="T42">
        <v>3.5013999999999998</v>
      </c>
      <c r="U42">
        <v>3.5234000000000001</v>
      </c>
      <c r="V42">
        <v>3.4738000000000002</v>
      </c>
      <c r="W42">
        <v>3.6318000000000001</v>
      </c>
      <c r="X42">
        <v>3.7195</v>
      </c>
      <c r="Y42">
        <v>3.8283</v>
      </c>
      <c r="Z42">
        <v>3.8540999999999999</v>
      </c>
      <c r="AA42">
        <v>3.4801000000000002</v>
      </c>
      <c r="AB42">
        <v>3.4487999999999999</v>
      </c>
      <c r="AC42">
        <v>3.4580000000000002</v>
      </c>
      <c r="AD42" t="s">
        <v>73</v>
      </c>
    </row>
    <row r="43" spans="1:30" x14ac:dyDescent="0.3">
      <c r="A43" t="s">
        <v>564</v>
      </c>
      <c r="B43" s="5" t="s">
        <v>565</v>
      </c>
      <c r="C43" t="s">
        <v>11</v>
      </c>
      <c r="D43" s="5" t="s">
        <v>142</v>
      </c>
      <c r="E43">
        <v>239.38640000000001</v>
      </c>
      <c r="F43">
        <v>237.43610000000001</v>
      </c>
      <c r="G43">
        <v>253.6302</v>
      </c>
      <c r="H43">
        <v>247.09479999999999</v>
      </c>
      <c r="I43">
        <v>258.82900000000001</v>
      </c>
      <c r="J43">
        <v>259.89920000000001</v>
      </c>
      <c r="K43">
        <v>274.08929999999998</v>
      </c>
      <c r="L43">
        <v>264.01130000000001</v>
      </c>
      <c r="M43">
        <v>258.1474</v>
      </c>
      <c r="N43">
        <v>274.92939999999999</v>
      </c>
      <c r="O43">
        <v>258.23419999999999</v>
      </c>
      <c r="P43">
        <v>270.23250000000002</v>
      </c>
      <c r="Q43">
        <v>273.5378</v>
      </c>
      <c r="R43">
        <v>276.5942</v>
      </c>
      <c r="S43">
        <v>254.98060000000001</v>
      </c>
      <c r="T43">
        <v>263.4067</v>
      </c>
      <c r="U43">
        <v>248.06729999999999</v>
      </c>
      <c r="V43">
        <v>228.2732</v>
      </c>
      <c r="W43">
        <v>230.01589999999999</v>
      </c>
      <c r="X43">
        <v>234.10730000000001</v>
      </c>
      <c r="Y43">
        <v>232.12260000000001</v>
      </c>
      <c r="Z43">
        <v>229.79060000000001</v>
      </c>
      <c r="AA43">
        <v>241.10599999999999</v>
      </c>
      <c r="AB43">
        <v>247.9983</v>
      </c>
      <c r="AC43">
        <v>249.4922</v>
      </c>
      <c r="AD43" t="s">
        <v>73</v>
      </c>
    </row>
    <row r="44" spans="1:30" x14ac:dyDescent="0.3">
      <c r="A44" t="s">
        <v>564</v>
      </c>
      <c r="B44" s="5" t="s">
        <v>565</v>
      </c>
      <c r="C44" t="s">
        <v>12</v>
      </c>
      <c r="D44" s="5" t="s">
        <v>143</v>
      </c>
      <c r="E44">
        <v>12.3514</v>
      </c>
      <c r="F44">
        <v>12.491199999999999</v>
      </c>
      <c r="G44">
        <v>12.7075</v>
      </c>
      <c r="H44">
        <v>12.891400000000001</v>
      </c>
      <c r="I44">
        <v>13.0138</v>
      </c>
      <c r="J44">
        <v>13.326000000000001</v>
      </c>
      <c r="K44">
        <v>13.483700000000001</v>
      </c>
      <c r="L44">
        <v>13.8706</v>
      </c>
      <c r="M44">
        <v>13.6167</v>
      </c>
      <c r="N44">
        <v>13.8596</v>
      </c>
      <c r="O44">
        <v>14.286099999999999</v>
      </c>
      <c r="P44">
        <v>13.612299999999999</v>
      </c>
      <c r="Q44">
        <v>12.7844</v>
      </c>
      <c r="R44">
        <v>12.5297</v>
      </c>
      <c r="S44">
        <v>12.5747</v>
      </c>
      <c r="T44">
        <v>12.951599999999999</v>
      </c>
      <c r="U44">
        <v>12.780799999999999</v>
      </c>
      <c r="V44">
        <v>13.3536</v>
      </c>
      <c r="W44">
        <v>13.9076</v>
      </c>
      <c r="X44">
        <v>14.4513</v>
      </c>
      <c r="Y44">
        <v>14.907999999999999</v>
      </c>
      <c r="Z44">
        <v>16.2577</v>
      </c>
      <c r="AA44">
        <v>15.549799999999999</v>
      </c>
      <c r="AB44">
        <v>15.3575</v>
      </c>
      <c r="AC44">
        <v>15.283200000000001</v>
      </c>
      <c r="AD44" t="s">
        <v>73</v>
      </c>
    </row>
    <row r="45" spans="1:30" x14ac:dyDescent="0.3">
      <c r="A45" t="s">
        <v>564</v>
      </c>
      <c r="B45" s="5" t="s">
        <v>565</v>
      </c>
      <c r="C45" t="s">
        <v>144</v>
      </c>
      <c r="D45" s="5" t="s">
        <v>145</v>
      </c>
      <c r="E45">
        <v>2.8299999999999999E-2</v>
      </c>
      <c r="F45">
        <v>2.9100000000000001E-2</v>
      </c>
      <c r="G45">
        <v>0.03</v>
      </c>
      <c r="H45">
        <v>2.6599999999999999E-2</v>
      </c>
      <c r="I45">
        <v>2.7E-2</v>
      </c>
      <c r="J45">
        <v>2.7400000000000001E-2</v>
      </c>
      <c r="K45">
        <v>2.8899999999999999E-2</v>
      </c>
      <c r="L45">
        <v>2.93E-2</v>
      </c>
      <c r="M45">
        <v>2.93E-2</v>
      </c>
      <c r="N45">
        <v>2.93E-2</v>
      </c>
      <c r="O45">
        <v>2.9499999999999998E-2</v>
      </c>
      <c r="P45">
        <v>2.98E-2</v>
      </c>
      <c r="Q45">
        <v>2.9700000000000001E-2</v>
      </c>
      <c r="R45">
        <v>2.9700000000000001E-2</v>
      </c>
      <c r="S45">
        <v>2.9499999999999998E-2</v>
      </c>
      <c r="T45">
        <v>2.9600000000000001E-2</v>
      </c>
      <c r="U45">
        <v>2.9700000000000001E-2</v>
      </c>
      <c r="V45">
        <v>2.9700000000000001E-2</v>
      </c>
      <c r="W45">
        <v>2.98E-2</v>
      </c>
      <c r="X45">
        <v>2.98E-2</v>
      </c>
      <c r="Y45">
        <v>2.9700000000000001E-2</v>
      </c>
      <c r="Z45">
        <v>2.9700000000000001E-2</v>
      </c>
      <c r="AA45">
        <v>2.98E-2</v>
      </c>
      <c r="AB45">
        <v>2.98E-2</v>
      </c>
      <c r="AC45">
        <v>2.98E-2</v>
      </c>
      <c r="AD45" t="s">
        <v>73</v>
      </c>
    </row>
    <row r="46" spans="1:30" x14ac:dyDescent="0.3">
      <c r="A46" t="s">
        <v>564</v>
      </c>
      <c r="B46" s="5" t="s">
        <v>565</v>
      </c>
      <c r="C46" t="s">
        <v>146</v>
      </c>
      <c r="D46" s="5" t="s">
        <v>147</v>
      </c>
      <c r="E46">
        <v>1.1960999999999999</v>
      </c>
      <c r="F46">
        <v>1.1634</v>
      </c>
      <c r="G46">
        <v>1.1331</v>
      </c>
      <c r="H46">
        <v>1.1375</v>
      </c>
      <c r="I46">
        <v>1.1415999999999999</v>
      </c>
      <c r="J46">
        <v>1.1448</v>
      </c>
      <c r="K46">
        <v>1.1506000000000001</v>
      </c>
      <c r="L46">
        <v>1.1521999999999999</v>
      </c>
      <c r="M46">
        <v>1.1564000000000001</v>
      </c>
      <c r="N46">
        <v>1.1597</v>
      </c>
      <c r="O46">
        <v>1.4300999999999999</v>
      </c>
      <c r="P46">
        <v>1.4575</v>
      </c>
      <c r="Q46">
        <v>1.5163</v>
      </c>
      <c r="R46">
        <v>1.5687</v>
      </c>
      <c r="S46">
        <v>1.6072</v>
      </c>
      <c r="T46">
        <v>1.6404000000000001</v>
      </c>
      <c r="U46">
        <v>1.6660999999999999</v>
      </c>
      <c r="V46">
        <v>1.7125999999999999</v>
      </c>
      <c r="W46">
        <v>1.7549999999999999</v>
      </c>
      <c r="X46">
        <v>1.7932999999999999</v>
      </c>
      <c r="Y46">
        <v>1.8752</v>
      </c>
      <c r="Z46">
        <v>1.9406000000000001</v>
      </c>
      <c r="AA46">
        <v>2.0249999999999999</v>
      </c>
      <c r="AB46">
        <v>2.1497999999999999</v>
      </c>
      <c r="AC46">
        <v>2.2501000000000002</v>
      </c>
      <c r="AD46" t="s">
        <v>73</v>
      </c>
    </row>
    <row r="47" spans="1:30" x14ac:dyDescent="0.3">
      <c r="A47" t="s">
        <v>564</v>
      </c>
      <c r="B47" s="5" t="s">
        <v>565</v>
      </c>
      <c r="C47" t="s">
        <v>148</v>
      </c>
      <c r="D47" s="5" t="s">
        <v>149</v>
      </c>
      <c r="E47">
        <v>0.1908</v>
      </c>
      <c r="F47">
        <v>0.18729999999999999</v>
      </c>
      <c r="G47">
        <v>0.19059999999999999</v>
      </c>
      <c r="H47">
        <v>0.1933</v>
      </c>
      <c r="I47">
        <v>0.214</v>
      </c>
      <c r="J47">
        <v>0.23619999999999999</v>
      </c>
      <c r="K47">
        <v>0.25690000000000002</v>
      </c>
      <c r="L47">
        <v>0.27650000000000002</v>
      </c>
      <c r="M47">
        <v>0.2898</v>
      </c>
      <c r="N47">
        <v>0.28749999999999998</v>
      </c>
      <c r="O47">
        <v>0.29680000000000001</v>
      </c>
      <c r="P47">
        <v>0.30359999999999998</v>
      </c>
      <c r="Q47">
        <v>0.31359999999999999</v>
      </c>
      <c r="R47">
        <v>0.31669999999999998</v>
      </c>
      <c r="S47">
        <v>0.3226</v>
      </c>
      <c r="T47">
        <v>0.32300000000000001</v>
      </c>
      <c r="U47">
        <v>0.3241</v>
      </c>
      <c r="V47">
        <v>0.32490000000000002</v>
      </c>
      <c r="W47">
        <v>0.32629999999999998</v>
      </c>
      <c r="X47">
        <v>0.32750000000000001</v>
      </c>
      <c r="Y47">
        <v>0.32590000000000002</v>
      </c>
      <c r="Z47">
        <v>0.32900000000000001</v>
      </c>
      <c r="AA47">
        <v>0.3306</v>
      </c>
      <c r="AB47">
        <v>0.32779999999999998</v>
      </c>
      <c r="AC47">
        <v>0.3281</v>
      </c>
      <c r="AD47" t="s">
        <v>73</v>
      </c>
    </row>
    <row r="48" spans="1:30" x14ac:dyDescent="0.3">
      <c r="A48" t="s">
        <v>564</v>
      </c>
      <c r="B48" s="5" t="s">
        <v>565</v>
      </c>
      <c r="C48" t="s">
        <v>13</v>
      </c>
      <c r="D48" s="5" t="s">
        <v>150</v>
      </c>
      <c r="E48">
        <v>1.0568</v>
      </c>
      <c r="F48">
        <v>0.91739999999999999</v>
      </c>
      <c r="G48">
        <v>0.87760000000000005</v>
      </c>
      <c r="H48">
        <v>0.85799999999999998</v>
      </c>
      <c r="I48">
        <v>0.97070000000000001</v>
      </c>
      <c r="J48">
        <v>0.96809999999999996</v>
      </c>
      <c r="K48">
        <v>0.98099999999999998</v>
      </c>
      <c r="L48">
        <v>1.0242</v>
      </c>
      <c r="M48">
        <v>1.0405</v>
      </c>
      <c r="N48">
        <v>1.0762</v>
      </c>
      <c r="O48">
        <v>1.0958000000000001</v>
      </c>
      <c r="P48">
        <v>1.2528999999999999</v>
      </c>
      <c r="Q48">
        <v>1.095</v>
      </c>
      <c r="R48">
        <v>1.0226</v>
      </c>
      <c r="S48">
        <v>1.2109000000000001</v>
      </c>
      <c r="T48">
        <v>1.2108000000000001</v>
      </c>
      <c r="U48">
        <v>1.2128000000000001</v>
      </c>
      <c r="V48">
        <v>1.2596000000000001</v>
      </c>
      <c r="W48">
        <v>1.4534</v>
      </c>
      <c r="X48">
        <v>1.4178999999999999</v>
      </c>
      <c r="Y48">
        <v>1.2736000000000001</v>
      </c>
      <c r="Z48">
        <v>1.2905</v>
      </c>
      <c r="AA48">
        <v>1.268</v>
      </c>
      <c r="AB48">
        <v>1.4710000000000001</v>
      </c>
      <c r="AC48">
        <v>1.4713000000000001</v>
      </c>
      <c r="AD48" t="s">
        <v>73</v>
      </c>
    </row>
    <row r="49" spans="1:30" x14ac:dyDescent="0.3">
      <c r="A49" t="s">
        <v>564</v>
      </c>
      <c r="B49" s="5" t="s">
        <v>565</v>
      </c>
      <c r="C49" t="s">
        <v>151</v>
      </c>
      <c r="D49" s="5" t="s">
        <v>152</v>
      </c>
      <c r="E49">
        <v>1.1480999999999999</v>
      </c>
      <c r="F49">
        <v>1.1042000000000001</v>
      </c>
      <c r="G49">
        <v>1.2494000000000001</v>
      </c>
      <c r="H49">
        <v>1.1649</v>
      </c>
      <c r="I49">
        <v>1.1689000000000001</v>
      </c>
      <c r="J49">
        <v>1.1839999999999999</v>
      </c>
      <c r="K49">
        <v>1.2008000000000001</v>
      </c>
      <c r="L49">
        <v>1.2148000000000001</v>
      </c>
      <c r="M49">
        <v>1.2379</v>
      </c>
      <c r="N49">
        <v>1.2687999999999999</v>
      </c>
      <c r="O49">
        <v>1.2303999999999999</v>
      </c>
      <c r="P49">
        <v>1.2189000000000001</v>
      </c>
      <c r="Q49">
        <v>1.2961</v>
      </c>
      <c r="R49">
        <v>1.343</v>
      </c>
      <c r="S49">
        <v>1.4265000000000001</v>
      </c>
      <c r="T49">
        <v>1.4101999999999999</v>
      </c>
      <c r="U49">
        <v>1.4902</v>
      </c>
      <c r="V49">
        <v>1.4874000000000001</v>
      </c>
      <c r="W49">
        <v>1.5505</v>
      </c>
      <c r="X49">
        <v>1.7702</v>
      </c>
      <c r="Y49">
        <v>1.7040999999999999</v>
      </c>
      <c r="Z49">
        <v>1.869</v>
      </c>
      <c r="AA49">
        <v>1.7549999999999999</v>
      </c>
      <c r="AB49">
        <v>1.8819999999999999</v>
      </c>
      <c r="AC49">
        <v>1.9436</v>
      </c>
      <c r="AD49" t="s">
        <v>73</v>
      </c>
    </row>
    <row r="50" spans="1:30" x14ac:dyDescent="0.3">
      <c r="A50" t="s">
        <v>564</v>
      </c>
      <c r="B50" s="5" t="s">
        <v>565</v>
      </c>
      <c r="C50" t="s">
        <v>153</v>
      </c>
      <c r="D50" s="5" t="s">
        <v>154</v>
      </c>
      <c r="E50">
        <v>1.2028000000000001</v>
      </c>
      <c r="F50">
        <v>1.1426000000000001</v>
      </c>
      <c r="G50">
        <v>1.2075</v>
      </c>
      <c r="H50">
        <v>1.1726000000000001</v>
      </c>
      <c r="I50">
        <v>1.2690999999999999</v>
      </c>
      <c r="J50">
        <v>1.2945</v>
      </c>
      <c r="K50">
        <v>1.3652</v>
      </c>
      <c r="L50">
        <v>1.3413999999999999</v>
      </c>
      <c r="M50">
        <v>1.3525</v>
      </c>
      <c r="N50">
        <v>1.1356999999999999</v>
      </c>
      <c r="O50">
        <v>1.1164000000000001</v>
      </c>
      <c r="P50">
        <v>1.1819</v>
      </c>
      <c r="Q50">
        <v>1.2947</v>
      </c>
      <c r="R50">
        <v>1.2773000000000001</v>
      </c>
      <c r="S50">
        <v>1.157</v>
      </c>
      <c r="T50">
        <v>1.1568000000000001</v>
      </c>
      <c r="U50">
        <v>1.3171999999999999</v>
      </c>
      <c r="V50">
        <v>1.2592000000000001</v>
      </c>
      <c r="W50">
        <v>1.2688999999999999</v>
      </c>
      <c r="X50">
        <v>1.2768999999999999</v>
      </c>
      <c r="Y50">
        <v>1.3561000000000001</v>
      </c>
      <c r="Z50">
        <v>1.2049000000000001</v>
      </c>
      <c r="AA50">
        <v>0.95669999999999999</v>
      </c>
      <c r="AB50">
        <v>0.88590000000000002</v>
      </c>
      <c r="AC50">
        <v>0.84140000000000004</v>
      </c>
      <c r="AD50" t="s">
        <v>73</v>
      </c>
    </row>
    <row r="51" spans="1:30" x14ac:dyDescent="0.3">
      <c r="A51" t="s">
        <v>564</v>
      </c>
      <c r="B51" s="5" t="s">
        <v>565</v>
      </c>
      <c r="C51" t="s">
        <v>155</v>
      </c>
      <c r="D51" s="5" t="s">
        <v>156</v>
      </c>
      <c r="E51">
        <v>2.4218000000000002</v>
      </c>
      <c r="F51">
        <v>2.2338</v>
      </c>
      <c r="G51">
        <v>2.1688999999999998</v>
      </c>
      <c r="H51">
        <v>2.0554000000000001</v>
      </c>
      <c r="I51">
        <v>2.0268999999999999</v>
      </c>
      <c r="J51">
        <v>2.0428999999999999</v>
      </c>
      <c r="K51">
        <v>2.2037</v>
      </c>
      <c r="L51">
        <v>2.1676000000000002</v>
      </c>
      <c r="M51">
        <v>2.2031000000000001</v>
      </c>
      <c r="N51">
        <v>2.2288999999999999</v>
      </c>
      <c r="O51">
        <v>2.2134999999999998</v>
      </c>
      <c r="P51">
        <v>2.2635999999999998</v>
      </c>
      <c r="Q51">
        <v>2.2347000000000001</v>
      </c>
      <c r="R51">
        <v>2.3344</v>
      </c>
      <c r="S51">
        <v>2.4441999999999999</v>
      </c>
      <c r="T51">
        <v>2.3515000000000001</v>
      </c>
      <c r="U51">
        <v>2.3307000000000002</v>
      </c>
      <c r="V51">
        <v>2.3565</v>
      </c>
      <c r="W51">
        <v>2.2097000000000002</v>
      </c>
      <c r="X51">
        <v>2.1907999999999999</v>
      </c>
      <c r="Y51">
        <v>1.8571</v>
      </c>
      <c r="Z51">
        <v>1.8321000000000001</v>
      </c>
      <c r="AA51">
        <v>1.7875000000000001</v>
      </c>
      <c r="AB51">
        <v>1.7601</v>
      </c>
      <c r="AC51">
        <v>1.7122999999999999</v>
      </c>
      <c r="AD51" t="s">
        <v>73</v>
      </c>
    </row>
    <row r="52" spans="1:30" x14ac:dyDescent="0.3">
      <c r="A52" t="s">
        <v>564</v>
      </c>
      <c r="B52" s="5" t="s">
        <v>565</v>
      </c>
      <c r="C52" t="s">
        <v>157</v>
      </c>
      <c r="D52" s="5" t="s">
        <v>158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  <c r="J52" t="s">
        <v>73</v>
      </c>
      <c r="K52" t="s">
        <v>73</v>
      </c>
      <c r="L52" t="s">
        <v>73</v>
      </c>
      <c r="M52" t="s">
        <v>73</v>
      </c>
      <c r="N52" t="s">
        <v>73</v>
      </c>
      <c r="O52" t="s">
        <v>73</v>
      </c>
      <c r="P52" t="s">
        <v>73</v>
      </c>
      <c r="Q52" t="s">
        <v>73</v>
      </c>
      <c r="R52" t="s">
        <v>73</v>
      </c>
      <c r="S52" t="s">
        <v>73</v>
      </c>
      <c r="T52" t="s">
        <v>73</v>
      </c>
      <c r="U52" t="s">
        <v>73</v>
      </c>
      <c r="V52" t="s">
        <v>73</v>
      </c>
      <c r="W52" t="s">
        <v>73</v>
      </c>
      <c r="X52" t="s">
        <v>73</v>
      </c>
      <c r="Y52" t="s">
        <v>73</v>
      </c>
      <c r="Z52" t="s">
        <v>73</v>
      </c>
      <c r="AA52" t="s">
        <v>73</v>
      </c>
      <c r="AB52" t="s">
        <v>73</v>
      </c>
      <c r="AC52" t="s">
        <v>73</v>
      </c>
      <c r="AD52" t="s">
        <v>73</v>
      </c>
    </row>
    <row r="53" spans="1:30" x14ac:dyDescent="0.3">
      <c r="A53" t="s">
        <v>564</v>
      </c>
      <c r="B53" s="5" t="s">
        <v>565</v>
      </c>
      <c r="C53" t="s">
        <v>159</v>
      </c>
      <c r="D53" s="5" t="s">
        <v>160</v>
      </c>
      <c r="E53">
        <v>0.14599999999999999</v>
      </c>
      <c r="F53">
        <v>0.15970000000000001</v>
      </c>
      <c r="G53">
        <v>0.16769999999999999</v>
      </c>
      <c r="H53">
        <v>0.1696</v>
      </c>
      <c r="I53">
        <v>0.16650000000000001</v>
      </c>
      <c r="J53">
        <v>0.15110000000000001</v>
      </c>
      <c r="K53">
        <v>0.16170000000000001</v>
      </c>
      <c r="L53">
        <v>0.15279999999999999</v>
      </c>
      <c r="M53">
        <v>0.1472</v>
      </c>
      <c r="N53">
        <v>0.1396</v>
      </c>
      <c r="O53">
        <v>0.1338</v>
      </c>
      <c r="P53">
        <v>0.13189999999999999</v>
      </c>
      <c r="Q53">
        <v>0.12740000000000001</v>
      </c>
      <c r="R53">
        <v>0.1236</v>
      </c>
      <c r="S53">
        <v>0.12709999999999999</v>
      </c>
      <c r="T53">
        <v>0.13320000000000001</v>
      </c>
      <c r="U53">
        <v>0.13750000000000001</v>
      </c>
      <c r="V53">
        <v>0.13969999999999999</v>
      </c>
      <c r="W53">
        <v>0.1457</v>
      </c>
      <c r="X53">
        <v>0.14560000000000001</v>
      </c>
      <c r="Y53">
        <v>0.15620000000000001</v>
      </c>
      <c r="Z53">
        <v>0.15049999999999999</v>
      </c>
      <c r="AA53">
        <v>0.13650000000000001</v>
      </c>
      <c r="AB53">
        <v>0.1341</v>
      </c>
      <c r="AC53">
        <v>0.13320000000000001</v>
      </c>
      <c r="AD53" t="s">
        <v>73</v>
      </c>
    </row>
    <row r="54" spans="1:30" x14ac:dyDescent="0.3">
      <c r="A54" t="s">
        <v>564</v>
      </c>
      <c r="B54" s="5" t="s">
        <v>565</v>
      </c>
      <c r="C54" t="s">
        <v>161</v>
      </c>
      <c r="D54" s="5" t="s">
        <v>162</v>
      </c>
      <c r="E54">
        <v>2.8464999999999998</v>
      </c>
      <c r="F54">
        <v>3.1252</v>
      </c>
      <c r="G54">
        <v>2.9335</v>
      </c>
      <c r="H54">
        <v>2.9112</v>
      </c>
      <c r="I54">
        <v>2.9481999999999999</v>
      </c>
      <c r="J54">
        <v>2.8429000000000002</v>
      </c>
      <c r="K54">
        <v>2.7976000000000001</v>
      </c>
      <c r="L54">
        <v>2.9127000000000001</v>
      </c>
      <c r="M54">
        <v>2.8300999999999998</v>
      </c>
      <c r="N54">
        <v>2.5329999999999999</v>
      </c>
      <c r="O54">
        <v>2.7376</v>
      </c>
      <c r="P54">
        <v>2.9634</v>
      </c>
      <c r="Q54">
        <v>2.7069000000000001</v>
      </c>
      <c r="R54">
        <v>3.0689000000000002</v>
      </c>
      <c r="S54">
        <v>3.3220999999999998</v>
      </c>
      <c r="T54">
        <v>3.5598000000000001</v>
      </c>
      <c r="U54">
        <v>3.1257000000000001</v>
      </c>
      <c r="V54">
        <v>3.2040000000000002</v>
      </c>
      <c r="W54">
        <v>2.9392</v>
      </c>
      <c r="X54">
        <v>2.9392</v>
      </c>
      <c r="Y54">
        <v>2.7639999999999998</v>
      </c>
      <c r="Z54">
        <v>2.8418000000000001</v>
      </c>
      <c r="AA54">
        <v>2.9236</v>
      </c>
      <c r="AB54">
        <v>2.8997000000000002</v>
      </c>
      <c r="AC54">
        <v>2.8660999999999999</v>
      </c>
      <c r="AD54" t="s">
        <v>73</v>
      </c>
    </row>
    <row r="55" spans="1:30" x14ac:dyDescent="0.3">
      <c r="A55" t="s">
        <v>564</v>
      </c>
      <c r="B55" s="5" t="s">
        <v>565</v>
      </c>
      <c r="C55" t="s">
        <v>14</v>
      </c>
      <c r="D55" s="5" t="s">
        <v>163</v>
      </c>
      <c r="E55">
        <v>4.2013999999999996</v>
      </c>
      <c r="F55">
        <v>4.1540999999999997</v>
      </c>
      <c r="G55">
        <v>4.0444000000000004</v>
      </c>
      <c r="H55">
        <v>4.0430000000000001</v>
      </c>
      <c r="I55">
        <v>4.0056000000000003</v>
      </c>
      <c r="J55">
        <v>3.9647999999999999</v>
      </c>
      <c r="K55">
        <v>3.8858000000000001</v>
      </c>
      <c r="L55">
        <v>4.0199999999999996</v>
      </c>
      <c r="M55">
        <v>3.8313000000000001</v>
      </c>
      <c r="N55">
        <v>3.8746</v>
      </c>
      <c r="O55">
        <v>3.9125000000000001</v>
      </c>
      <c r="P55">
        <v>3.8389000000000002</v>
      </c>
      <c r="Q55">
        <v>3.8866000000000001</v>
      </c>
      <c r="R55">
        <v>3.8136999999999999</v>
      </c>
      <c r="S55">
        <v>3.919</v>
      </c>
      <c r="T55">
        <v>3.9811000000000001</v>
      </c>
      <c r="U55">
        <v>4.0010000000000003</v>
      </c>
      <c r="V55">
        <v>3.9963000000000002</v>
      </c>
      <c r="W55">
        <v>3.9114</v>
      </c>
      <c r="X55">
        <v>4.0229999999999997</v>
      </c>
      <c r="Y55">
        <v>4.1597999999999997</v>
      </c>
      <c r="Z55">
        <v>3.8679000000000001</v>
      </c>
      <c r="AA55">
        <v>3.7709999999999999</v>
      </c>
      <c r="AB55">
        <v>3.6219000000000001</v>
      </c>
      <c r="AC55">
        <v>3.6156999999999999</v>
      </c>
      <c r="AD55" t="s">
        <v>73</v>
      </c>
    </row>
    <row r="56" spans="1:30" x14ac:dyDescent="0.3">
      <c r="A56" t="s">
        <v>564</v>
      </c>
      <c r="B56" s="5" t="s">
        <v>565</v>
      </c>
      <c r="C56" t="s">
        <v>164</v>
      </c>
      <c r="D56" s="5" t="s">
        <v>165</v>
      </c>
      <c r="E56">
        <v>0.16769999999999999</v>
      </c>
      <c r="F56">
        <v>0.1681</v>
      </c>
      <c r="G56">
        <v>0.16789999999999999</v>
      </c>
      <c r="H56">
        <v>0.16750000000000001</v>
      </c>
      <c r="I56">
        <v>0.16839999999999999</v>
      </c>
      <c r="J56">
        <v>0.16869999999999999</v>
      </c>
      <c r="K56">
        <v>0.16669999999999999</v>
      </c>
      <c r="L56">
        <v>0.1671</v>
      </c>
      <c r="M56">
        <v>0.1671</v>
      </c>
      <c r="N56">
        <v>0.1673</v>
      </c>
      <c r="O56">
        <v>0.1673</v>
      </c>
      <c r="P56">
        <v>0.16719999999999999</v>
      </c>
      <c r="Q56">
        <v>0.16839999999999999</v>
      </c>
      <c r="R56">
        <v>0.16839999999999999</v>
      </c>
      <c r="S56">
        <v>0.1691</v>
      </c>
      <c r="T56">
        <v>0.1696</v>
      </c>
      <c r="U56">
        <v>0.17030000000000001</v>
      </c>
      <c r="V56">
        <v>0.17119999999999999</v>
      </c>
      <c r="W56">
        <v>0.17180000000000001</v>
      </c>
      <c r="X56">
        <v>0.16969999999999999</v>
      </c>
      <c r="Y56">
        <v>0.16969999999999999</v>
      </c>
      <c r="Z56">
        <v>0.1696</v>
      </c>
      <c r="AA56">
        <v>0.1696</v>
      </c>
      <c r="AB56">
        <v>0.1731</v>
      </c>
      <c r="AC56">
        <v>0.1734</v>
      </c>
      <c r="AD56" t="s">
        <v>73</v>
      </c>
    </row>
    <row r="57" spans="1:30" x14ac:dyDescent="0.3">
      <c r="A57" t="s">
        <v>564</v>
      </c>
      <c r="B57" s="5" t="s">
        <v>565</v>
      </c>
      <c r="C57" t="s">
        <v>166</v>
      </c>
      <c r="D57" s="5" t="s">
        <v>167</v>
      </c>
      <c r="E57">
        <v>7.9000000000000008E-3</v>
      </c>
      <c r="F57">
        <v>7.9000000000000008E-3</v>
      </c>
      <c r="G57">
        <v>7.9000000000000008E-3</v>
      </c>
      <c r="H57">
        <v>7.9000000000000008E-3</v>
      </c>
      <c r="I57">
        <v>7.9000000000000008E-3</v>
      </c>
      <c r="J57">
        <v>7.9000000000000008E-3</v>
      </c>
      <c r="K57">
        <v>7.9000000000000008E-3</v>
      </c>
      <c r="L57">
        <v>8.0000000000000002E-3</v>
      </c>
      <c r="M57">
        <v>8.0000000000000002E-3</v>
      </c>
      <c r="N57">
        <v>8.0999999999999996E-3</v>
      </c>
      <c r="O57">
        <v>8.0999999999999996E-3</v>
      </c>
      <c r="P57">
        <v>8.2000000000000007E-3</v>
      </c>
      <c r="Q57">
        <v>8.3999999999999995E-3</v>
      </c>
      <c r="R57">
        <v>8.3999999999999995E-3</v>
      </c>
      <c r="S57">
        <v>8.3000000000000001E-3</v>
      </c>
      <c r="T57">
        <v>8.3000000000000001E-3</v>
      </c>
      <c r="U57">
        <v>8.3000000000000001E-3</v>
      </c>
      <c r="V57">
        <v>8.3000000000000001E-3</v>
      </c>
      <c r="W57">
        <v>8.3000000000000001E-3</v>
      </c>
      <c r="X57">
        <v>8.3000000000000001E-3</v>
      </c>
      <c r="Y57">
        <v>8.3000000000000001E-3</v>
      </c>
      <c r="Z57">
        <v>8.3999999999999995E-3</v>
      </c>
      <c r="AA57">
        <v>8.3999999999999995E-3</v>
      </c>
      <c r="AB57">
        <v>8.3999999999999995E-3</v>
      </c>
      <c r="AC57">
        <v>8.3999999999999995E-3</v>
      </c>
      <c r="AD57" t="s">
        <v>73</v>
      </c>
    </row>
    <row r="58" spans="1:30" x14ac:dyDescent="0.3">
      <c r="A58" t="s">
        <v>564</v>
      </c>
      <c r="B58" s="5" t="s">
        <v>565</v>
      </c>
      <c r="C58" t="s">
        <v>168</v>
      </c>
      <c r="D58" s="5" t="s">
        <v>169</v>
      </c>
      <c r="E58">
        <v>1.3129</v>
      </c>
      <c r="F58">
        <v>1.4132</v>
      </c>
      <c r="G58">
        <v>1.6048</v>
      </c>
      <c r="H58">
        <v>1.5218</v>
      </c>
      <c r="I58">
        <v>1.6692</v>
      </c>
      <c r="J58">
        <v>1.6292</v>
      </c>
      <c r="K58">
        <v>1.7828999999999999</v>
      </c>
      <c r="L58">
        <v>1.8334999999999999</v>
      </c>
      <c r="M58">
        <v>1.8566</v>
      </c>
      <c r="N58">
        <v>1.9916</v>
      </c>
      <c r="O58">
        <v>1.9976</v>
      </c>
      <c r="P58">
        <v>1.9837</v>
      </c>
      <c r="Q58">
        <v>1.9838</v>
      </c>
      <c r="R58">
        <v>1.9275</v>
      </c>
      <c r="S58">
        <v>1.9962</v>
      </c>
      <c r="T58">
        <v>1.9866999999999999</v>
      </c>
      <c r="U58">
        <v>2.0548000000000002</v>
      </c>
      <c r="V58">
        <v>2.0709</v>
      </c>
      <c r="W58">
        <v>2.1688000000000001</v>
      </c>
      <c r="X58">
        <v>2.1496</v>
      </c>
      <c r="Y58">
        <v>2.2315999999999998</v>
      </c>
      <c r="Z58">
        <v>2.2747999999999999</v>
      </c>
      <c r="AA58">
        <v>2.3936999999999999</v>
      </c>
      <c r="AB58">
        <v>2.4371</v>
      </c>
      <c r="AC58">
        <v>2.4925000000000002</v>
      </c>
      <c r="AD58" t="s">
        <v>73</v>
      </c>
    </row>
    <row r="59" spans="1:30" x14ac:dyDescent="0.3">
      <c r="A59" t="s">
        <v>564</v>
      </c>
      <c r="B59" s="5" t="s">
        <v>565</v>
      </c>
      <c r="C59" t="s">
        <v>170</v>
      </c>
      <c r="D59" s="5" t="s">
        <v>171</v>
      </c>
      <c r="E59">
        <v>2.6804999999999999</v>
      </c>
      <c r="F59">
        <v>3.0472000000000001</v>
      </c>
      <c r="G59">
        <v>3.2444000000000002</v>
      </c>
      <c r="H59">
        <v>3.2625000000000002</v>
      </c>
      <c r="I59">
        <v>3.4106999999999998</v>
      </c>
      <c r="J59">
        <v>2.9226999999999999</v>
      </c>
      <c r="K59">
        <v>3.3247</v>
      </c>
      <c r="L59">
        <v>3.1375000000000002</v>
      </c>
      <c r="M59">
        <v>3.2441</v>
      </c>
      <c r="N59">
        <v>3.4339</v>
      </c>
      <c r="O59">
        <v>3.5398999999999998</v>
      </c>
      <c r="P59">
        <v>3.5798999999999999</v>
      </c>
      <c r="Q59">
        <v>3.4704000000000002</v>
      </c>
      <c r="R59">
        <v>3.6265000000000001</v>
      </c>
      <c r="S59">
        <v>3.6360000000000001</v>
      </c>
      <c r="T59">
        <v>3.4312999999999998</v>
      </c>
      <c r="U59">
        <v>3.5825</v>
      </c>
      <c r="V59">
        <v>3.3138000000000001</v>
      </c>
      <c r="W59">
        <v>3.5910000000000002</v>
      </c>
      <c r="X59">
        <v>3.4548000000000001</v>
      </c>
      <c r="Y59">
        <v>3.5287999999999999</v>
      </c>
      <c r="Z59">
        <v>3.6147999999999998</v>
      </c>
      <c r="AA59">
        <v>2.9927000000000001</v>
      </c>
      <c r="AB59">
        <v>2.9009999999999998</v>
      </c>
      <c r="AC59">
        <v>2.8719000000000001</v>
      </c>
      <c r="AD59" t="s">
        <v>73</v>
      </c>
    </row>
    <row r="60" spans="1:30" x14ac:dyDescent="0.3">
      <c r="A60" t="s">
        <v>564</v>
      </c>
      <c r="B60" s="5" t="s">
        <v>565</v>
      </c>
      <c r="C60" t="s">
        <v>15</v>
      </c>
      <c r="D60" s="5" t="s">
        <v>172</v>
      </c>
      <c r="E60">
        <v>10.088699999999999</v>
      </c>
      <c r="F60">
        <v>10.752700000000001</v>
      </c>
      <c r="G60">
        <v>10.9</v>
      </c>
      <c r="H60">
        <v>11.307600000000001</v>
      </c>
      <c r="I60">
        <v>12.3209</v>
      </c>
      <c r="J60">
        <v>12.096</v>
      </c>
      <c r="K60">
        <v>11.8561</v>
      </c>
      <c r="L60">
        <v>11.4536</v>
      </c>
      <c r="M60">
        <v>11.567299999999999</v>
      </c>
      <c r="N60">
        <v>11.4551</v>
      </c>
      <c r="O60">
        <v>11.3293</v>
      </c>
      <c r="P60">
        <v>11.7103</v>
      </c>
      <c r="Q60">
        <v>11.2934</v>
      </c>
      <c r="R60">
        <v>11.2187</v>
      </c>
      <c r="S60">
        <v>11.352399999999999</v>
      </c>
      <c r="T60">
        <v>11.8118</v>
      </c>
      <c r="U60">
        <v>12.1106</v>
      </c>
      <c r="V60">
        <v>11.931800000000001</v>
      </c>
      <c r="W60">
        <v>11.8786</v>
      </c>
      <c r="X60">
        <v>9.4993999999999996</v>
      </c>
      <c r="Y60">
        <v>9.9879999999999995</v>
      </c>
      <c r="Z60">
        <v>10.058999999999999</v>
      </c>
      <c r="AA60">
        <v>9.875</v>
      </c>
      <c r="AB60">
        <v>9.8793000000000006</v>
      </c>
      <c r="AC60">
        <v>9.6140000000000008</v>
      </c>
      <c r="AD60" t="s">
        <v>73</v>
      </c>
    </row>
    <row r="61" spans="1:30" x14ac:dyDescent="0.3">
      <c r="A61" t="s">
        <v>564</v>
      </c>
      <c r="B61" s="5" t="s">
        <v>565</v>
      </c>
      <c r="C61" t="s">
        <v>173</v>
      </c>
      <c r="D61" s="5" t="s">
        <v>174</v>
      </c>
      <c r="E61">
        <v>0.77239999999999998</v>
      </c>
      <c r="F61">
        <v>0.81110000000000004</v>
      </c>
      <c r="G61">
        <v>0.78869999999999996</v>
      </c>
      <c r="H61">
        <v>0.74219999999999997</v>
      </c>
      <c r="I61">
        <v>0.81389999999999996</v>
      </c>
      <c r="J61">
        <v>0.82230000000000003</v>
      </c>
      <c r="K61">
        <v>0.82820000000000005</v>
      </c>
      <c r="L61">
        <v>0.82469999999999999</v>
      </c>
      <c r="M61">
        <v>0.90380000000000005</v>
      </c>
      <c r="N61">
        <v>0.87050000000000005</v>
      </c>
      <c r="O61">
        <v>0.84630000000000005</v>
      </c>
      <c r="P61">
        <v>0.74350000000000005</v>
      </c>
      <c r="Q61">
        <v>0.83089999999999997</v>
      </c>
      <c r="R61">
        <v>0.73570000000000002</v>
      </c>
      <c r="S61">
        <v>0.75729999999999997</v>
      </c>
      <c r="T61">
        <v>0.7833</v>
      </c>
      <c r="U61">
        <v>0.76959999999999995</v>
      </c>
      <c r="V61">
        <v>0.81979999999999997</v>
      </c>
      <c r="W61">
        <v>0.76380000000000003</v>
      </c>
      <c r="X61">
        <v>0.73450000000000004</v>
      </c>
      <c r="Y61">
        <v>0.87309999999999999</v>
      </c>
      <c r="Z61">
        <v>0.75309999999999999</v>
      </c>
      <c r="AA61">
        <v>0.72750000000000004</v>
      </c>
      <c r="AB61">
        <v>0.71040000000000003</v>
      </c>
      <c r="AC61">
        <v>0.70140000000000002</v>
      </c>
      <c r="AD61" t="s">
        <v>73</v>
      </c>
    </row>
    <row r="62" spans="1:30" x14ac:dyDescent="0.3">
      <c r="A62" t="s">
        <v>564</v>
      </c>
      <c r="B62" s="5" t="s">
        <v>565</v>
      </c>
      <c r="C62" t="s">
        <v>175</v>
      </c>
      <c r="D62" s="5" t="s">
        <v>176</v>
      </c>
      <c r="E62">
        <v>7.9000000000000008E-3</v>
      </c>
      <c r="F62">
        <v>8.0000000000000002E-3</v>
      </c>
      <c r="G62">
        <v>8.0999999999999996E-3</v>
      </c>
      <c r="H62">
        <v>8.0999999999999996E-3</v>
      </c>
      <c r="I62">
        <v>8.2000000000000007E-3</v>
      </c>
      <c r="J62">
        <v>8.3000000000000001E-3</v>
      </c>
      <c r="K62">
        <v>8.3999999999999995E-3</v>
      </c>
      <c r="L62">
        <v>8.6E-3</v>
      </c>
      <c r="M62">
        <v>8.6999999999999994E-3</v>
      </c>
      <c r="N62">
        <v>8.6999999999999994E-3</v>
      </c>
      <c r="O62">
        <v>8.8999999999999999E-3</v>
      </c>
      <c r="P62">
        <v>8.9999999999999993E-3</v>
      </c>
      <c r="Q62">
        <v>9.1999999999999998E-3</v>
      </c>
      <c r="R62">
        <v>9.1999999999999998E-3</v>
      </c>
      <c r="S62">
        <v>9.2999999999999992E-3</v>
      </c>
      <c r="T62">
        <v>9.4999999999999998E-3</v>
      </c>
      <c r="U62">
        <v>9.4000000000000004E-3</v>
      </c>
      <c r="V62">
        <v>9.4999999999999998E-3</v>
      </c>
      <c r="W62">
        <v>9.5999999999999992E-3</v>
      </c>
      <c r="X62">
        <v>9.7000000000000003E-3</v>
      </c>
      <c r="Y62">
        <v>9.7000000000000003E-3</v>
      </c>
      <c r="Z62">
        <v>9.7000000000000003E-3</v>
      </c>
      <c r="AA62">
        <v>9.7999999999999997E-3</v>
      </c>
      <c r="AB62">
        <v>0.01</v>
      </c>
      <c r="AC62">
        <v>0.01</v>
      </c>
      <c r="AD62" t="s">
        <v>73</v>
      </c>
    </row>
    <row r="63" spans="1:30" x14ac:dyDescent="0.3">
      <c r="A63" t="s">
        <v>564</v>
      </c>
      <c r="B63" s="5" t="s">
        <v>565</v>
      </c>
      <c r="C63" t="s">
        <v>177</v>
      </c>
      <c r="D63" s="5" t="s">
        <v>178</v>
      </c>
      <c r="E63">
        <v>1.0031000000000001</v>
      </c>
      <c r="F63">
        <v>0.96150000000000002</v>
      </c>
      <c r="G63">
        <v>0.94810000000000005</v>
      </c>
      <c r="H63">
        <v>0.9859</v>
      </c>
      <c r="I63">
        <v>1.0048999999999999</v>
      </c>
      <c r="J63">
        <v>1.0244</v>
      </c>
      <c r="K63">
        <v>0.97499999999999998</v>
      </c>
      <c r="L63">
        <v>1.0528</v>
      </c>
      <c r="M63">
        <v>1.0527</v>
      </c>
      <c r="N63">
        <v>1.0607</v>
      </c>
      <c r="O63">
        <v>1.0186999999999999</v>
      </c>
      <c r="P63">
        <v>1.0752999999999999</v>
      </c>
      <c r="Q63">
        <v>1.0790999999999999</v>
      </c>
      <c r="R63">
        <v>1.0866</v>
      </c>
      <c r="S63">
        <v>1.0915999999999999</v>
      </c>
      <c r="T63">
        <v>1.0959000000000001</v>
      </c>
      <c r="U63">
        <v>1.1032999999999999</v>
      </c>
      <c r="V63">
        <v>1.1081000000000001</v>
      </c>
      <c r="W63">
        <v>1.1125</v>
      </c>
      <c r="X63">
        <v>1.1184000000000001</v>
      </c>
      <c r="Y63">
        <v>1.1186</v>
      </c>
      <c r="Z63">
        <v>1.1225000000000001</v>
      </c>
      <c r="AA63">
        <v>1.1262000000000001</v>
      </c>
      <c r="AB63">
        <v>1.1294</v>
      </c>
      <c r="AC63">
        <v>1.1328</v>
      </c>
      <c r="AD63" t="s">
        <v>73</v>
      </c>
    </row>
    <row r="64" spans="1:30" x14ac:dyDescent="0.3">
      <c r="A64" t="s">
        <v>564</v>
      </c>
      <c r="B64" s="5" t="s">
        <v>565</v>
      </c>
      <c r="C64" t="s">
        <v>16</v>
      </c>
      <c r="D64" s="5" t="s">
        <v>179</v>
      </c>
      <c r="E64">
        <v>1.2327999999999999</v>
      </c>
      <c r="F64">
        <v>1.2607999999999999</v>
      </c>
      <c r="G64">
        <v>1.2788999999999999</v>
      </c>
      <c r="H64">
        <v>1.2531000000000001</v>
      </c>
      <c r="I64">
        <v>1.2869999999999999</v>
      </c>
      <c r="J64">
        <v>1.3012999999999999</v>
      </c>
      <c r="K64">
        <v>1.2107000000000001</v>
      </c>
      <c r="L64">
        <v>1.2709999999999999</v>
      </c>
      <c r="M64">
        <v>1.3248</v>
      </c>
      <c r="N64">
        <v>1.3383</v>
      </c>
      <c r="O64">
        <v>1.3507</v>
      </c>
      <c r="P64">
        <v>1.375</v>
      </c>
      <c r="Q64">
        <v>1.4202999999999999</v>
      </c>
      <c r="R64">
        <v>1.4537</v>
      </c>
      <c r="S64">
        <v>1.4735</v>
      </c>
      <c r="T64">
        <v>1.5323</v>
      </c>
      <c r="U64">
        <v>1.4494</v>
      </c>
      <c r="V64">
        <v>1.4738</v>
      </c>
      <c r="W64">
        <v>1.4823999999999999</v>
      </c>
      <c r="X64">
        <v>1.5701000000000001</v>
      </c>
      <c r="Y64">
        <v>1.6003000000000001</v>
      </c>
      <c r="Z64">
        <v>1.5167999999999999</v>
      </c>
      <c r="AA64">
        <v>1.4963</v>
      </c>
      <c r="AB64">
        <v>1.4767999999999999</v>
      </c>
      <c r="AC64">
        <v>1.4882</v>
      </c>
      <c r="AD64" t="s">
        <v>73</v>
      </c>
    </row>
    <row r="65" spans="1:30" x14ac:dyDescent="0.3">
      <c r="A65" t="s">
        <v>564</v>
      </c>
      <c r="B65" s="5" t="s">
        <v>565</v>
      </c>
      <c r="C65" t="s">
        <v>180</v>
      </c>
      <c r="D65" s="5" t="s">
        <v>181</v>
      </c>
      <c r="E65">
        <v>0.36699999999999999</v>
      </c>
      <c r="F65">
        <v>0.32319999999999999</v>
      </c>
      <c r="G65">
        <v>0.3286</v>
      </c>
      <c r="H65">
        <v>0.36720000000000003</v>
      </c>
      <c r="I65">
        <v>0.37390000000000001</v>
      </c>
      <c r="J65">
        <v>0.37880000000000003</v>
      </c>
      <c r="K65">
        <v>0.35920000000000002</v>
      </c>
      <c r="L65">
        <v>0.3614</v>
      </c>
      <c r="M65">
        <v>0.36020000000000002</v>
      </c>
      <c r="N65">
        <v>0.36030000000000001</v>
      </c>
      <c r="O65">
        <v>0.38169999999999998</v>
      </c>
      <c r="P65">
        <v>0.3846</v>
      </c>
      <c r="Q65">
        <v>0.38769999999999999</v>
      </c>
      <c r="R65">
        <v>0.38400000000000001</v>
      </c>
      <c r="S65">
        <v>0.38300000000000001</v>
      </c>
      <c r="T65">
        <v>0.37869999999999998</v>
      </c>
      <c r="U65">
        <v>0.3735</v>
      </c>
      <c r="V65">
        <v>0.37340000000000001</v>
      </c>
      <c r="W65">
        <v>0.37240000000000001</v>
      </c>
      <c r="X65">
        <v>0.374</v>
      </c>
      <c r="Y65">
        <v>0.3765</v>
      </c>
      <c r="Z65">
        <v>0.37590000000000001</v>
      </c>
      <c r="AA65">
        <v>0.37780000000000002</v>
      </c>
      <c r="AB65">
        <v>0.34229999999999999</v>
      </c>
      <c r="AC65">
        <v>0.33539999999999998</v>
      </c>
      <c r="AD65" t="s">
        <v>73</v>
      </c>
    </row>
    <row r="66" spans="1:30" x14ac:dyDescent="0.3">
      <c r="A66" t="s">
        <v>564</v>
      </c>
      <c r="B66" s="5" t="s">
        <v>565</v>
      </c>
      <c r="C66" t="s">
        <v>17</v>
      </c>
      <c r="D66" s="5" t="s">
        <v>182</v>
      </c>
      <c r="E66">
        <v>13.6709</v>
      </c>
      <c r="F66">
        <v>14.8636</v>
      </c>
      <c r="G66">
        <v>16.502199999999998</v>
      </c>
      <c r="H66">
        <v>15.8011</v>
      </c>
      <c r="I66">
        <v>16.430800000000001</v>
      </c>
      <c r="J66">
        <v>17.162700000000001</v>
      </c>
      <c r="K66">
        <v>18.517900000000001</v>
      </c>
      <c r="L66">
        <v>20.467500000000001</v>
      </c>
      <c r="M66">
        <v>21.466799999999999</v>
      </c>
      <c r="N66">
        <v>22.5778</v>
      </c>
      <c r="O66">
        <v>23.732900000000001</v>
      </c>
      <c r="P66">
        <v>23.378499999999999</v>
      </c>
      <c r="Q66">
        <v>24.430700000000002</v>
      </c>
      <c r="R66">
        <v>25.173500000000001</v>
      </c>
      <c r="S66">
        <v>26.297000000000001</v>
      </c>
      <c r="T66">
        <v>27.045200000000001</v>
      </c>
      <c r="U66">
        <v>27.770299999999999</v>
      </c>
      <c r="V66">
        <v>28.761900000000001</v>
      </c>
      <c r="W66">
        <v>29.038399999999999</v>
      </c>
      <c r="X66">
        <v>31.545400000000001</v>
      </c>
      <c r="Y66">
        <v>33.504600000000003</v>
      </c>
      <c r="Z66">
        <v>31.184000000000001</v>
      </c>
      <c r="AA66">
        <v>32.725700000000003</v>
      </c>
      <c r="AB66">
        <v>34.465699999999998</v>
      </c>
      <c r="AC66">
        <v>35.518099999999997</v>
      </c>
      <c r="AD66" t="s">
        <v>73</v>
      </c>
    </row>
    <row r="67" spans="1:30" x14ac:dyDescent="0.3">
      <c r="A67" t="s">
        <v>564</v>
      </c>
      <c r="B67" s="5" t="s">
        <v>565</v>
      </c>
      <c r="C67" t="s">
        <v>183</v>
      </c>
      <c r="D67" s="5" t="s">
        <v>184</v>
      </c>
      <c r="E67">
        <v>4.99E-2</v>
      </c>
      <c r="F67">
        <v>4.9700000000000001E-2</v>
      </c>
      <c r="G67">
        <v>4.9700000000000001E-2</v>
      </c>
      <c r="H67">
        <v>4.9799999999999997E-2</v>
      </c>
      <c r="I67">
        <v>4.9799999999999997E-2</v>
      </c>
      <c r="J67">
        <v>4.9799999999999997E-2</v>
      </c>
      <c r="K67">
        <v>4.9700000000000001E-2</v>
      </c>
      <c r="L67">
        <v>4.9700000000000001E-2</v>
      </c>
      <c r="M67">
        <v>4.9700000000000001E-2</v>
      </c>
      <c r="N67">
        <v>4.9700000000000001E-2</v>
      </c>
      <c r="O67">
        <v>4.9700000000000001E-2</v>
      </c>
      <c r="P67">
        <v>4.9799999999999997E-2</v>
      </c>
      <c r="Q67">
        <v>4.99E-2</v>
      </c>
      <c r="R67">
        <v>4.99E-2</v>
      </c>
      <c r="S67">
        <v>5.0799999999999998E-2</v>
      </c>
      <c r="T67">
        <v>5.0900000000000001E-2</v>
      </c>
      <c r="U67">
        <v>5.0900000000000001E-2</v>
      </c>
      <c r="V67">
        <v>5.0999999999999997E-2</v>
      </c>
      <c r="W67">
        <v>5.11E-2</v>
      </c>
      <c r="X67">
        <v>5.0999999999999997E-2</v>
      </c>
      <c r="Y67">
        <v>5.1200000000000002E-2</v>
      </c>
      <c r="Z67">
        <v>5.1299999999999998E-2</v>
      </c>
      <c r="AA67">
        <v>5.11E-2</v>
      </c>
      <c r="AB67">
        <v>5.1299999999999998E-2</v>
      </c>
      <c r="AC67">
        <v>5.1299999999999998E-2</v>
      </c>
      <c r="AD67" t="s">
        <v>73</v>
      </c>
    </row>
    <row r="68" spans="1:30" x14ac:dyDescent="0.3">
      <c r="A68" t="s">
        <v>564</v>
      </c>
      <c r="B68" s="5" t="s">
        <v>565</v>
      </c>
      <c r="C68" t="s">
        <v>185</v>
      </c>
      <c r="D68" s="5" t="s">
        <v>186</v>
      </c>
      <c r="E68">
        <v>0.25259999999999999</v>
      </c>
      <c r="F68">
        <v>0.2525</v>
      </c>
      <c r="G68">
        <v>0.24729999999999999</v>
      </c>
      <c r="H68">
        <v>0.23719999999999999</v>
      </c>
      <c r="I68">
        <v>0.25240000000000001</v>
      </c>
      <c r="J68">
        <v>0.24210000000000001</v>
      </c>
      <c r="K68">
        <v>0.2447</v>
      </c>
      <c r="L68">
        <v>0.246</v>
      </c>
      <c r="M68">
        <v>0.24579999999999999</v>
      </c>
      <c r="N68">
        <v>0.24379999999999999</v>
      </c>
      <c r="O68">
        <v>0.24349999999999999</v>
      </c>
      <c r="P68">
        <v>0.24440000000000001</v>
      </c>
      <c r="Q68">
        <v>0.24310000000000001</v>
      </c>
      <c r="R68">
        <v>0.2462</v>
      </c>
      <c r="S68">
        <v>0.13320000000000001</v>
      </c>
      <c r="T68">
        <v>0.13320000000000001</v>
      </c>
      <c r="U68">
        <v>0.13189999999999999</v>
      </c>
      <c r="V68">
        <v>0.14180000000000001</v>
      </c>
      <c r="W68">
        <v>0.14419999999999999</v>
      </c>
      <c r="X68">
        <v>0.16</v>
      </c>
      <c r="Y68">
        <v>0.1474</v>
      </c>
      <c r="Z68">
        <v>0.13150000000000001</v>
      </c>
      <c r="AA68">
        <v>0.13900000000000001</v>
      </c>
      <c r="AB68">
        <v>0.1613</v>
      </c>
      <c r="AC68">
        <v>0.1648</v>
      </c>
      <c r="AD68" t="s">
        <v>73</v>
      </c>
    </row>
    <row r="69" spans="1:30" x14ac:dyDescent="0.3">
      <c r="A69" t="s">
        <v>564</v>
      </c>
      <c r="B69" s="5" t="s">
        <v>565</v>
      </c>
      <c r="C69" t="s">
        <v>18</v>
      </c>
      <c r="D69" s="5" t="s">
        <v>187</v>
      </c>
      <c r="E69">
        <v>3.9199000000000002</v>
      </c>
      <c r="F69">
        <v>3.8877000000000002</v>
      </c>
      <c r="G69">
        <v>3.91</v>
      </c>
      <c r="H69">
        <v>3.9226000000000001</v>
      </c>
      <c r="I69">
        <v>3.9340999999999999</v>
      </c>
      <c r="J69">
        <v>3.9592999999999998</v>
      </c>
      <c r="K69">
        <v>3.952</v>
      </c>
      <c r="L69">
        <v>3.9872000000000001</v>
      </c>
      <c r="M69">
        <v>3.8622000000000001</v>
      </c>
      <c r="N69">
        <v>3.8887</v>
      </c>
      <c r="O69">
        <v>3.9432</v>
      </c>
      <c r="P69">
        <v>3.9058999999999999</v>
      </c>
      <c r="Q69">
        <v>3.9022999999999999</v>
      </c>
      <c r="R69">
        <v>3.9527999999999999</v>
      </c>
      <c r="S69">
        <v>3.9746000000000001</v>
      </c>
      <c r="T69">
        <v>3.9597000000000002</v>
      </c>
      <c r="U69">
        <v>3.9853000000000001</v>
      </c>
      <c r="V69">
        <v>3.9384999999999999</v>
      </c>
      <c r="W69">
        <v>4.0125000000000002</v>
      </c>
      <c r="X69">
        <v>4.1100000000000003</v>
      </c>
      <c r="Y69">
        <v>4.1185999999999998</v>
      </c>
      <c r="Z69">
        <v>3.9432999999999998</v>
      </c>
      <c r="AA69">
        <v>3.819</v>
      </c>
      <c r="AB69">
        <v>3.7454000000000001</v>
      </c>
      <c r="AC69">
        <v>3.7418</v>
      </c>
      <c r="AD69" t="s">
        <v>73</v>
      </c>
    </row>
    <row r="70" spans="1:30" x14ac:dyDescent="0.3">
      <c r="A70" t="s">
        <v>564</v>
      </c>
      <c r="B70" s="5" t="s">
        <v>565</v>
      </c>
      <c r="C70" t="s">
        <v>19</v>
      </c>
      <c r="D70" s="5" t="s">
        <v>188</v>
      </c>
      <c r="E70">
        <v>30.490600000000001</v>
      </c>
      <c r="F70">
        <v>30.607299999999999</v>
      </c>
      <c r="G70">
        <v>30.186499999999999</v>
      </c>
      <c r="H70">
        <v>29.334299999999999</v>
      </c>
      <c r="I70">
        <v>29.762699999999999</v>
      </c>
      <c r="J70">
        <v>28.762699999999999</v>
      </c>
      <c r="K70">
        <v>28.5</v>
      </c>
      <c r="L70">
        <v>29.526599999999998</v>
      </c>
      <c r="M70">
        <v>28.513999999999999</v>
      </c>
      <c r="N70">
        <v>28.1709</v>
      </c>
      <c r="O70">
        <v>29.404</v>
      </c>
      <c r="P70">
        <v>27.366199999999999</v>
      </c>
      <c r="Q70">
        <v>28.106300000000001</v>
      </c>
      <c r="R70">
        <v>28.3218</v>
      </c>
      <c r="S70">
        <v>28.679300000000001</v>
      </c>
      <c r="T70">
        <v>28.9694</v>
      </c>
      <c r="U70">
        <v>28.151199999999999</v>
      </c>
      <c r="V70">
        <v>28.6509</v>
      </c>
      <c r="W70">
        <v>27.794799999999999</v>
      </c>
      <c r="X70">
        <v>27.783999999999999</v>
      </c>
      <c r="Y70">
        <v>24.284500000000001</v>
      </c>
      <c r="Z70">
        <v>25.999700000000001</v>
      </c>
      <c r="AA70">
        <v>24.495999999999999</v>
      </c>
      <c r="AB70">
        <v>24.037800000000001</v>
      </c>
      <c r="AC70">
        <v>23.104099999999999</v>
      </c>
      <c r="AD70" t="s">
        <v>73</v>
      </c>
    </row>
    <row r="71" spans="1:30" x14ac:dyDescent="0.3">
      <c r="A71" t="s">
        <v>564</v>
      </c>
      <c r="B71" s="5" t="s">
        <v>565</v>
      </c>
      <c r="C71" t="s">
        <v>189</v>
      </c>
      <c r="D71" s="5" t="s">
        <v>190</v>
      </c>
      <c r="E71">
        <v>1.18E-2</v>
      </c>
      <c r="F71">
        <v>1.06E-2</v>
      </c>
      <c r="G71">
        <v>9.4000000000000004E-3</v>
      </c>
      <c r="H71">
        <v>0.01</v>
      </c>
      <c r="I71">
        <v>1.06E-2</v>
      </c>
      <c r="J71">
        <v>9.7000000000000003E-3</v>
      </c>
      <c r="K71">
        <v>9.5999999999999992E-3</v>
      </c>
      <c r="L71">
        <v>9.9000000000000008E-3</v>
      </c>
      <c r="M71">
        <v>9.9000000000000008E-3</v>
      </c>
      <c r="N71">
        <v>0.01</v>
      </c>
      <c r="O71">
        <v>0.01</v>
      </c>
      <c r="P71">
        <v>0.01</v>
      </c>
      <c r="Q71">
        <v>1.01E-2</v>
      </c>
      <c r="R71">
        <v>0.01</v>
      </c>
      <c r="S71">
        <v>9.9000000000000008E-3</v>
      </c>
      <c r="T71">
        <v>9.9000000000000008E-3</v>
      </c>
      <c r="U71">
        <v>0.01</v>
      </c>
      <c r="V71">
        <v>0.01</v>
      </c>
      <c r="W71">
        <v>0.01</v>
      </c>
      <c r="X71">
        <v>1.01E-2</v>
      </c>
      <c r="Y71">
        <v>1.01E-2</v>
      </c>
      <c r="Z71">
        <v>1.01E-2</v>
      </c>
      <c r="AA71">
        <v>1.01E-2</v>
      </c>
      <c r="AB71">
        <v>1.04E-2</v>
      </c>
      <c r="AC71">
        <v>1.0500000000000001E-2</v>
      </c>
      <c r="AD71" t="s">
        <v>73</v>
      </c>
    </row>
    <row r="72" spans="1:30" x14ac:dyDescent="0.3">
      <c r="A72" t="s">
        <v>564</v>
      </c>
      <c r="B72" s="5" t="s">
        <v>565</v>
      </c>
      <c r="C72" t="s">
        <v>191</v>
      </c>
      <c r="D72" s="5" t="s">
        <v>192</v>
      </c>
      <c r="E72">
        <v>9.4600000000000004E-2</v>
      </c>
      <c r="F72">
        <v>9.5299999999999996E-2</v>
      </c>
      <c r="G72">
        <v>9.5000000000000001E-2</v>
      </c>
      <c r="H72">
        <v>9.5500000000000002E-2</v>
      </c>
      <c r="I72">
        <v>9.6000000000000002E-2</v>
      </c>
      <c r="J72">
        <v>9.6199999999999994E-2</v>
      </c>
      <c r="K72">
        <v>9.6199999999999994E-2</v>
      </c>
      <c r="L72">
        <v>9.7199999999999995E-2</v>
      </c>
      <c r="M72">
        <v>9.8000000000000004E-2</v>
      </c>
      <c r="N72">
        <v>9.8100000000000007E-2</v>
      </c>
      <c r="O72">
        <v>9.8599999999999993E-2</v>
      </c>
      <c r="P72">
        <v>9.9099999999999994E-2</v>
      </c>
      <c r="Q72">
        <v>0.10059999999999999</v>
      </c>
      <c r="R72">
        <v>0.10249999999999999</v>
      </c>
      <c r="S72">
        <v>0.1032</v>
      </c>
      <c r="T72">
        <v>0.1037</v>
      </c>
      <c r="U72">
        <v>0.1042</v>
      </c>
      <c r="V72">
        <v>0.1043</v>
      </c>
      <c r="W72">
        <v>0.1043</v>
      </c>
      <c r="X72">
        <v>0.10440000000000001</v>
      </c>
      <c r="Y72">
        <v>0.1052</v>
      </c>
      <c r="Z72">
        <v>0.1057</v>
      </c>
      <c r="AA72">
        <v>0.10630000000000001</v>
      </c>
      <c r="AB72">
        <v>0.1067</v>
      </c>
      <c r="AC72">
        <v>0.1071</v>
      </c>
      <c r="AD72" t="s">
        <v>73</v>
      </c>
    </row>
    <row r="73" spans="1:30" x14ac:dyDescent="0.3">
      <c r="A73" t="s">
        <v>564</v>
      </c>
      <c r="B73" s="5" t="s">
        <v>565</v>
      </c>
      <c r="C73" t="s">
        <v>193</v>
      </c>
      <c r="D73" s="5" t="s">
        <v>194</v>
      </c>
      <c r="E73">
        <v>0.1535</v>
      </c>
      <c r="F73">
        <v>0.14760000000000001</v>
      </c>
      <c r="G73">
        <v>0.15140000000000001</v>
      </c>
      <c r="H73">
        <v>0.1804</v>
      </c>
      <c r="I73">
        <v>0.1855</v>
      </c>
      <c r="J73">
        <v>0.18790000000000001</v>
      </c>
      <c r="K73">
        <v>0.19089999999999999</v>
      </c>
      <c r="L73">
        <v>0.1958</v>
      </c>
      <c r="M73">
        <v>0.20169999999999999</v>
      </c>
      <c r="N73">
        <v>0.2089</v>
      </c>
      <c r="O73">
        <v>0.2079</v>
      </c>
      <c r="P73">
        <v>0.1862</v>
      </c>
      <c r="Q73">
        <v>0.1736</v>
      </c>
      <c r="R73">
        <v>0.18870000000000001</v>
      </c>
      <c r="S73">
        <v>0.20649999999999999</v>
      </c>
      <c r="T73">
        <v>0.21079999999999999</v>
      </c>
      <c r="U73">
        <v>0.2026</v>
      </c>
      <c r="V73">
        <v>0.18129999999999999</v>
      </c>
      <c r="W73">
        <v>0.16619999999999999</v>
      </c>
      <c r="X73">
        <v>0.1575</v>
      </c>
      <c r="Y73">
        <v>0.1515</v>
      </c>
      <c r="Z73">
        <v>0.15110000000000001</v>
      </c>
      <c r="AA73">
        <v>0.1522</v>
      </c>
      <c r="AB73">
        <v>0.15210000000000001</v>
      </c>
      <c r="AC73">
        <v>0.14910000000000001</v>
      </c>
      <c r="AD73" t="s">
        <v>73</v>
      </c>
    </row>
    <row r="74" spans="1:30" x14ac:dyDescent="0.3">
      <c r="A74" t="s">
        <v>564</v>
      </c>
      <c r="B74" s="5" t="s">
        <v>565</v>
      </c>
      <c r="C74" t="s">
        <v>195</v>
      </c>
      <c r="D74" s="5" t="s">
        <v>196</v>
      </c>
      <c r="E74">
        <v>0.45550000000000002</v>
      </c>
      <c r="F74">
        <v>0.46860000000000002</v>
      </c>
      <c r="G74">
        <v>0.47349999999999998</v>
      </c>
      <c r="H74">
        <v>0.48020000000000002</v>
      </c>
      <c r="I74">
        <v>0.46589999999999998</v>
      </c>
      <c r="J74">
        <v>0.4698</v>
      </c>
      <c r="K74">
        <v>0.4194</v>
      </c>
      <c r="L74">
        <v>0.38769999999999999</v>
      </c>
      <c r="M74">
        <v>0.36309999999999998</v>
      </c>
      <c r="N74">
        <v>0.50700000000000001</v>
      </c>
      <c r="O74">
        <v>0.47599999999999998</v>
      </c>
      <c r="P74">
        <v>0.49519999999999997</v>
      </c>
      <c r="Q74">
        <v>0.5403</v>
      </c>
      <c r="R74">
        <v>0.54890000000000005</v>
      </c>
      <c r="S74">
        <v>0.57030000000000003</v>
      </c>
      <c r="T74">
        <v>0.47370000000000001</v>
      </c>
      <c r="U74">
        <v>0.4829</v>
      </c>
      <c r="V74">
        <v>0.47110000000000002</v>
      </c>
      <c r="W74">
        <v>0.48509999999999998</v>
      </c>
      <c r="X74">
        <v>0.47849999999999998</v>
      </c>
      <c r="Y74">
        <v>0.52839999999999998</v>
      </c>
      <c r="Z74">
        <v>0.52400000000000002</v>
      </c>
      <c r="AA74">
        <v>0.51749999999999996</v>
      </c>
      <c r="AB74">
        <v>0.50890000000000002</v>
      </c>
      <c r="AC74">
        <v>0.51970000000000005</v>
      </c>
      <c r="AD74" t="s">
        <v>73</v>
      </c>
    </row>
    <row r="75" spans="1:30" x14ac:dyDescent="0.3">
      <c r="A75" t="s">
        <v>564</v>
      </c>
      <c r="B75" s="5" t="s">
        <v>565</v>
      </c>
      <c r="C75" t="s">
        <v>20</v>
      </c>
      <c r="D75" s="5" t="s">
        <v>197</v>
      </c>
      <c r="E75">
        <v>26.336300000000001</v>
      </c>
      <c r="F75">
        <v>26.1569</v>
      </c>
      <c r="G75">
        <v>25.794</v>
      </c>
      <c r="H75">
        <v>25.6569</v>
      </c>
      <c r="I75">
        <v>25.6313</v>
      </c>
      <c r="J75">
        <v>25.5077</v>
      </c>
      <c r="K75">
        <v>24.3249</v>
      </c>
      <c r="L75">
        <v>25.284300000000002</v>
      </c>
      <c r="M75">
        <v>24.6096</v>
      </c>
      <c r="N75">
        <v>24.583300000000001</v>
      </c>
      <c r="O75">
        <v>25.3857</v>
      </c>
      <c r="P75">
        <v>24.546800000000001</v>
      </c>
      <c r="Q75">
        <v>24.801500000000001</v>
      </c>
      <c r="R75">
        <v>25.224599999999999</v>
      </c>
      <c r="S75">
        <v>26.166499999999999</v>
      </c>
      <c r="T75">
        <v>25.4696</v>
      </c>
      <c r="U75">
        <v>24.97</v>
      </c>
      <c r="V75">
        <v>24.1144</v>
      </c>
      <c r="W75">
        <v>22.714500000000001</v>
      </c>
      <c r="X75">
        <v>22.9741</v>
      </c>
      <c r="Y75">
        <v>22.207599999999999</v>
      </c>
      <c r="Z75">
        <v>20.992799999999999</v>
      </c>
      <c r="AA75">
        <v>20.530999999999999</v>
      </c>
      <c r="AB75">
        <v>19.9481</v>
      </c>
      <c r="AC75">
        <v>19.4587</v>
      </c>
      <c r="AD75" t="s">
        <v>73</v>
      </c>
    </row>
    <row r="76" spans="1:30" x14ac:dyDescent="0.3">
      <c r="A76" t="s">
        <v>564</v>
      </c>
      <c r="B76" s="5" t="s">
        <v>565</v>
      </c>
      <c r="C76" t="s">
        <v>198</v>
      </c>
      <c r="D76" s="5" t="s">
        <v>199</v>
      </c>
      <c r="E76">
        <v>0.998</v>
      </c>
      <c r="F76">
        <v>1.0163</v>
      </c>
      <c r="G76">
        <v>1.0506</v>
      </c>
      <c r="H76">
        <v>1.0806</v>
      </c>
      <c r="I76">
        <v>1.1113999999999999</v>
      </c>
      <c r="J76">
        <v>1.123</v>
      </c>
      <c r="K76">
        <v>1.1768000000000001</v>
      </c>
      <c r="L76">
        <v>1.2038</v>
      </c>
      <c r="M76">
        <v>1.2511000000000001</v>
      </c>
      <c r="N76">
        <v>1.2961</v>
      </c>
      <c r="O76">
        <v>1.3339000000000001</v>
      </c>
      <c r="P76">
        <v>1.3925000000000001</v>
      </c>
      <c r="Q76">
        <v>1.4523999999999999</v>
      </c>
      <c r="R76">
        <v>1.5069999999999999</v>
      </c>
      <c r="S76">
        <v>1.5711999999999999</v>
      </c>
      <c r="T76">
        <v>1.6395999999999999</v>
      </c>
      <c r="U76">
        <v>1.718</v>
      </c>
      <c r="V76">
        <v>1.8063</v>
      </c>
      <c r="W76">
        <v>1.8587</v>
      </c>
      <c r="X76">
        <v>1.9258999999999999</v>
      </c>
      <c r="Y76">
        <v>2.0476000000000001</v>
      </c>
      <c r="Z76">
        <v>2.0775999999999999</v>
      </c>
      <c r="AA76">
        <v>2.1494</v>
      </c>
      <c r="AB76">
        <v>2.2366999999999999</v>
      </c>
      <c r="AC76">
        <v>2.2863000000000002</v>
      </c>
      <c r="AD76" t="s">
        <v>73</v>
      </c>
    </row>
    <row r="77" spans="1:30" x14ac:dyDescent="0.3">
      <c r="A77" t="s">
        <v>564</v>
      </c>
      <c r="B77" s="5" t="s">
        <v>565</v>
      </c>
      <c r="C77" t="s">
        <v>200</v>
      </c>
      <c r="D77" s="5" t="s">
        <v>201</v>
      </c>
      <c r="E77" t="s">
        <v>73</v>
      </c>
      <c r="F77" t="s">
        <v>73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  <c r="L77" t="s">
        <v>73</v>
      </c>
      <c r="M77" t="s">
        <v>73</v>
      </c>
      <c r="N77" t="s">
        <v>73</v>
      </c>
      <c r="O77" t="s">
        <v>73</v>
      </c>
      <c r="P77" t="s">
        <v>73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73</v>
      </c>
      <c r="X77" t="s">
        <v>73</v>
      </c>
      <c r="Y77" t="s">
        <v>73</v>
      </c>
      <c r="Z77" t="s">
        <v>73</v>
      </c>
      <c r="AA77" t="s">
        <v>73</v>
      </c>
      <c r="AB77" t="s">
        <v>73</v>
      </c>
      <c r="AC77" t="s">
        <v>73</v>
      </c>
      <c r="AD77" t="s">
        <v>73</v>
      </c>
    </row>
    <row r="78" spans="1:30" x14ac:dyDescent="0.3">
      <c r="A78" t="s">
        <v>564</v>
      </c>
      <c r="B78" s="5" t="s">
        <v>565</v>
      </c>
      <c r="C78" t="s">
        <v>21</v>
      </c>
      <c r="D78" s="5" t="s">
        <v>202</v>
      </c>
      <c r="E78">
        <v>3.4104000000000001</v>
      </c>
      <c r="F78">
        <v>3.2757000000000001</v>
      </c>
      <c r="G78">
        <v>3.2387999999999999</v>
      </c>
      <c r="H78">
        <v>3.2738999999999998</v>
      </c>
      <c r="I78">
        <v>3.1076999999999999</v>
      </c>
      <c r="J78">
        <v>3.0764999999999998</v>
      </c>
      <c r="K78">
        <v>2.9531999999999998</v>
      </c>
      <c r="L78">
        <v>2.9996</v>
      </c>
      <c r="M78">
        <v>2.7004999999999999</v>
      </c>
      <c r="N78">
        <v>2.8279000000000001</v>
      </c>
      <c r="O78">
        <v>2.8934000000000002</v>
      </c>
      <c r="P78">
        <v>2.7995999999999999</v>
      </c>
      <c r="Q78">
        <v>2.8079999999999998</v>
      </c>
      <c r="R78">
        <v>2.8086000000000002</v>
      </c>
      <c r="S78">
        <v>2.7616000000000001</v>
      </c>
      <c r="T78">
        <v>2.7172000000000001</v>
      </c>
      <c r="U78">
        <v>2.7265000000000001</v>
      </c>
      <c r="V78">
        <v>2.7097000000000002</v>
      </c>
      <c r="W78">
        <v>2.5722</v>
      </c>
      <c r="X78">
        <v>2.5855999999999999</v>
      </c>
      <c r="Y78">
        <v>2.5952000000000002</v>
      </c>
      <c r="Z78">
        <v>2.3677999999999999</v>
      </c>
      <c r="AA78">
        <v>2.4420000000000002</v>
      </c>
      <c r="AB78">
        <v>2.4641999999999999</v>
      </c>
      <c r="AC78">
        <v>2.4369000000000001</v>
      </c>
      <c r="AD78" t="s">
        <v>73</v>
      </c>
    </row>
    <row r="79" spans="1:30" x14ac:dyDescent="0.3">
      <c r="A79" t="s">
        <v>564</v>
      </c>
      <c r="B79" s="5" t="s">
        <v>565</v>
      </c>
      <c r="C79" t="s">
        <v>203</v>
      </c>
      <c r="D79" s="5" t="s">
        <v>204</v>
      </c>
      <c r="E79">
        <v>1.2999999999999999E-3</v>
      </c>
      <c r="F79">
        <v>1.2999999999999999E-3</v>
      </c>
      <c r="G79">
        <v>1.1999999999999999E-3</v>
      </c>
      <c r="H79">
        <v>1.1999999999999999E-3</v>
      </c>
      <c r="I79">
        <v>1.1999999999999999E-3</v>
      </c>
      <c r="J79">
        <v>1.1999999999999999E-3</v>
      </c>
      <c r="K79">
        <v>1.1999999999999999E-3</v>
      </c>
      <c r="L79">
        <v>1.2999999999999999E-3</v>
      </c>
      <c r="M79">
        <v>1.2999999999999999E-3</v>
      </c>
      <c r="N79">
        <v>1.2999999999999999E-3</v>
      </c>
      <c r="O79">
        <v>1.2999999999999999E-3</v>
      </c>
      <c r="P79">
        <v>1.2999999999999999E-3</v>
      </c>
      <c r="Q79">
        <v>1.2999999999999999E-3</v>
      </c>
      <c r="R79">
        <v>1.2999999999999999E-3</v>
      </c>
      <c r="S79">
        <v>1.1999999999999999E-3</v>
      </c>
      <c r="T79">
        <v>1.1999999999999999E-3</v>
      </c>
      <c r="U79">
        <v>1.1999999999999999E-3</v>
      </c>
      <c r="V79">
        <v>1.1999999999999999E-3</v>
      </c>
      <c r="W79">
        <v>1.1999999999999999E-3</v>
      </c>
      <c r="X79">
        <v>1.1999999999999999E-3</v>
      </c>
      <c r="Y79">
        <v>1.1999999999999999E-3</v>
      </c>
      <c r="Z79">
        <v>1.1999999999999999E-3</v>
      </c>
      <c r="AA79">
        <v>1.1999999999999999E-3</v>
      </c>
      <c r="AB79">
        <v>1.1999999999999999E-3</v>
      </c>
      <c r="AC79">
        <v>1.1999999999999999E-3</v>
      </c>
      <c r="AD79" t="s">
        <v>73</v>
      </c>
    </row>
    <row r="80" spans="1:30" x14ac:dyDescent="0.3">
      <c r="A80" t="s">
        <v>564</v>
      </c>
      <c r="B80" s="5" t="s">
        <v>565</v>
      </c>
      <c r="C80" t="s">
        <v>205</v>
      </c>
      <c r="D80" s="5" t="s">
        <v>206</v>
      </c>
      <c r="E80">
        <v>3.7000000000000002E-3</v>
      </c>
      <c r="F80">
        <v>3.7000000000000002E-3</v>
      </c>
      <c r="G80">
        <v>3.8999999999999998E-3</v>
      </c>
      <c r="H80">
        <v>4.0000000000000001E-3</v>
      </c>
      <c r="I80">
        <v>3.8999999999999998E-3</v>
      </c>
      <c r="J80">
        <v>3.8999999999999998E-3</v>
      </c>
      <c r="K80">
        <v>4.0000000000000001E-3</v>
      </c>
      <c r="L80">
        <v>4.1000000000000003E-3</v>
      </c>
      <c r="M80">
        <v>4.1999999999999997E-3</v>
      </c>
      <c r="N80">
        <v>4.1999999999999997E-3</v>
      </c>
      <c r="O80">
        <v>4.1000000000000003E-3</v>
      </c>
      <c r="P80">
        <v>4.1000000000000003E-3</v>
      </c>
      <c r="Q80">
        <v>4.1000000000000003E-3</v>
      </c>
      <c r="R80">
        <v>4.0000000000000001E-3</v>
      </c>
      <c r="S80">
        <v>4.1999999999999997E-3</v>
      </c>
      <c r="T80">
        <v>4.1999999999999997E-3</v>
      </c>
      <c r="U80">
        <v>4.0000000000000001E-3</v>
      </c>
      <c r="V80">
        <v>3.8999999999999998E-3</v>
      </c>
      <c r="W80">
        <v>3.8999999999999998E-3</v>
      </c>
      <c r="X80">
        <v>4.0000000000000001E-3</v>
      </c>
      <c r="Y80">
        <v>4.0000000000000001E-3</v>
      </c>
      <c r="Z80">
        <v>4.0000000000000001E-3</v>
      </c>
      <c r="AA80">
        <v>3.8999999999999998E-3</v>
      </c>
      <c r="AB80">
        <v>4.5999999999999999E-3</v>
      </c>
      <c r="AC80">
        <v>4.7999999999999996E-3</v>
      </c>
      <c r="AD80" t="s">
        <v>73</v>
      </c>
    </row>
    <row r="81" spans="1:30" x14ac:dyDescent="0.3">
      <c r="A81" t="s">
        <v>564</v>
      </c>
      <c r="B81" s="5" t="s">
        <v>565</v>
      </c>
      <c r="C81" t="s">
        <v>207</v>
      </c>
      <c r="D81" s="5" t="s">
        <v>208</v>
      </c>
      <c r="E81">
        <v>1.2999999999999999E-3</v>
      </c>
      <c r="F81">
        <v>1.2999999999999999E-3</v>
      </c>
      <c r="G81">
        <v>1.4E-3</v>
      </c>
      <c r="H81">
        <v>1.4E-3</v>
      </c>
      <c r="I81">
        <v>1.4E-3</v>
      </c>
      <c r="J81">
        <v>1.4E-3</v>
      </c>
      <c r="K81">
        <v>1.4E-3</v>
      </c>
      <c r="L81">
        <v>1.5E-3</v>
      </c>
      <c r="M81">
        <v>1.5E-3</v>
      </c>
      <c r="N81">
        <v>1.5E-3</v>
      </c>
      <c r="O81">
        <v>1.4E-3</v>
      </c>
      <c r="P81">
        <v>1.5E-3</v>
      </c>
      <c r="Q81">
        <v>1.8E-3</v>
      </c>
      <c r="R81">
        <v>1.8E-3</v>
      </c>
      <c r="S81">
        <v>1.8E-3</v>
      </c>
      <c r="T81">
        <v>1.8E-3</v>
      </c>
      <c r="U81">
        <v>1.8E-3</v>
      </c>
      <c r="V81">
        <v>1.8E-3</v>
      </c>
      <c r="W81">
        <v>1.8E-3</v>
      </c>
      <c r="X81">
        <v>1.8E-3</v>
      </c>
      <c r="Y81">
        <v>1.8E-3</v>
      </c>
      <c r="Z81">
        <v>1.8E-3</v>
      </c>
      <c r="AA81">
        <v>1.9E-3</v>
      </c>
      <c r="AB81">
        <v>1.9E-3</v>
      </c>
      <c r="AC81">
        <v>1.9E-3</v>
      </c>
      <c r="AD81" t="s">
        <v>73</v>
      </c>
    </row>
    <row r="82" spans="1:30" x14ac:dyDescent="0.3">
      <c r="A82" t="s">
        <v>564</v>
      </c>
      <c r="B82" s="5" t="s">
        <v>565</v>
      </c>
      <c r="C82" t="s">
        <v>209</v>
      </c>
      <c r="D82" s="5" t="s">
        <v>210</v>
      </c>
      <c r="E82">
        <v>1.9651000000000001</v>
      </c>
      <c r="F82">
        <v>2.0238</v>
      </c>
      <c r="G82">
        <v>1.9967999999999999</v>
      </c>
      <c r="H82">
        <v>1.8802000000000001</v>
      </c>
      <c r="I82">
        <v>2.1665000000000001</v>
      </c>
      <c r="J82">
        <v>2.1200999999999999</v>
      </c>
      <c r="K82">
        <v>2.3797999999999999</v>
      </c>
      <c r="L82">
        <v>2.1898</v>
      </c>
      <c r="M82">
        <v>2.3109000000000002</v>
      </c>
      <c r="N82">
        <v>2.3975</v>
      </c>
      <c r="O82">
        <v>2.4891000000000001</v>
      </c>
      <c r="P82">
        <v>2.5310999999999999</v>
      </c>
      <c r="Q82">
        <v>2.7126000000000001</v>
      </c>
      <c r="R82">
        <v>3.077</v>
      </c>
      <c r="S82">
        <v>3.1636000000000002</v>
      </c>
      <c r="T82">
        <v>3.0598000000000001</v>
      </c>
      <c r="U82">
        <v>3.0268000000000002</v>
      </c>
      <c r="V82">
        <v>3.1153</v>
      </c>
      <c r="W82">
        <v>3.2639999999999998</v>
      </c>
      <c r="X82">
        <v>3.1869000000000001</v>
      </c>
      <c r="Y82">
        <v>3.4916999999999998</v>
      </c>
      <c r="Z82">
        <v>3.3014000000000001</v>
      </c>
      <c r="AA82">
        <v>3.2524000000000002</v>
      </c>
      <c r="AB82">
        <v>3.2601</v>
      </c>
      <c r="AC82">
        <v>3.2763</v>
      </c>
      <c r="AD82" t="s">
        <v>73</v>
      </c>
    </row>
    <row r="83" spans="1:30" x14ac:dyDescent="0.3">
      <c r="A83" t="s">
        <v>564</v>
      </c>
      <c r="B83" s="5" t="s">
        <v>565</v>
      </c>
      <c r="C83" t="s">
        <v>211</v>
      </c>
      <c r="D83" s="5" t="s">
        <v>212</v>
      </c>
      <c r="E83">
        <v>1.1231</v>
      </c>
      <c r="F83">
        <v>1.1771</v>
      </c>
      <c r="G83">
        <v>1.2383999999999999</v>
      </c>
      <c r="H83">
        <v>1.3051999999999999</v>
      </c>
      <c r="I83">
        <v>1.3761000000000001</v>
      </c>
      <c r="J83">
        <v>1.4518</v>
      </c>
      <c r="K83">
        <v>1.5338000000000001</v>
      </c>
      <c r="L83">
        <v>1.6147</v>
      </c>
      <c r="M83">
        <v>1.6989000000000001</v>
      </c>
      <c r="N83">
        <v>1.7857000000000001</v>
      </c>
      <c r="O83">
        <v>1.915</v>
      </c>
      <c r="P83">
        <v>2.0204</v>
      </c>
      <c r="Q83">
        <v>2.1280000000000001</v>
      </c>
      <c r="R83">
        <v>2.2374000000000001</v>
      </c>
      <c r="S83">
        <v>2.3287</v>
      </c>
      <c r="T83">
        <v>2.4689000000000001</v>
      </c>
      <c r="U83">
        <v>2.5996999999999999</v>
      </c>
      <c r="V83">
        <v>2.7273000000000001</v>
      </c>
      <c r="W83">
        <v>2.8915000000000002</v>
      </c>
      <c r="X83">
        <v>3.0154000000000001</v>
      </c>
      <c r="Y83">
        <v>3.1617999999999999</v>
      </c>
      <c r="Z83">
        <v>3.3372000000000002</v>
      </c>
      <c r="AA83">
        <v>3.5205000000000002</v>
      </c>
      <c r="AB83">
        <v>3.4775</v>
      </c>
      <c r="AC83">
        <v>3.5836999999999999</v>
      </c>
      <c r="AD83" t="s">
        <v>73</v>
      </c>
    </row>
    <row r="84" spans="1:30" x14ac:dyDescent="0.3">
      <c r="A84" t="s">
        <v>564</v>
      </c>
      <c r="B84" s="5" t="s">
        <v>565</v>
      </c>
      <c r="C84" t="s">
        <v>213</v>
      </c>
      <c r="D84" s="5" t="s">
        <v>214</v>
      </c>
      <c r="E84">
        <v>0.27860000000000001</v>
      </c>
      <c r="F84">
        <v>0.2797</v>
      </c>
      <c r="G84">
        <v>0.27960000000000002</v>
      </c>
      <c r="H84">
        <v>0.28410000000000002</v>
      </c>
      <c r="I84">
        <v>0.28499999999999998</v>
      </c>
      <c r="J84">
        <v>0.27439999999999998</v>
      </c>
      <c r="K84">
        <v>0.28999999999999998</v>
      </c>
      <c r="L84">
        <v>0.307</v>
      </c>
      <c r="M84">
        <v>0.32679999999999998</v>
      </c>
      <c r="N84">
        <v>0.34589999999999999</v>
      </c>
      <c r="O84">
        <v>0.36580000000000001</v>
      </c>
      <c r="P84">
        <v>0.38250000000000001</v>
      </c>
      <c r="Q84">
        <v>0.38550000000000001</v>
      </c>
      <c r="R84">
        <v>0.39329999999999998</v>
      </c>
      <c r="S84">
        <v>0.39350000000000002</v>
      </c>
      <c r="T84">
        <v>0.3977</v>
      </c>
      <c r="U84">
        <v>0.4012</v>
      </c>
      <c r="V84">
        <v>0.40389999999999998</v>
      </c>
      <c r="W84">
        <v>0.40770000000000001</v>
      </c>
      <c r="X84">
        <v>0.41439999999999999</v>
      </c>
      <c r="Y84">
        <v>0.4118</v>
      </c>
      <c r="Z84">
        <v>0.4173</v>
      </c>
      <c r="AA84">
        <v>0.42199999999999999</v>
      </c>
      <c r="AB84">
        <v>0.42359999999999998</v>
      </c>
      <c r="AC84">
        <v>0.42620000000000002</v>
      </c>
      <c r="AD84" t="s">
        <v>73</v>
      </c>
    </row>
    <row r="85" spans="1:30" x14ac:dyDescent="0.3">
      <c r="A85" t="s">
        <v>564</v>
      </c>
      <c r="B85" s="5" t="s">
        <v>565</v>
      </c>
      <c r="C85" t="s">
        <v>215</v>
      </c>
      <c r="D85" s="5" t="s">
        <v>216</v>
      </c>
      <c r="E85">
        <v>0.22639999999999999</v>
      </c>
      <c r="F85">
        <v>0.22889999999999999</v>
      </c>
      <c r="G85">
        <v>0.23330000000000001</v>
      </c>
      <c r="H85">
        <v>0.2485</v>
      </c>
      <c r="I85">
        <v>0.26550000000000001</v>
      </c>
      <c r="J85">
        <v>0.25800000000000001</v>
      </c>
      <c r="K85">
        <v>0.25440000000000002</v>
      </c>
      <c r="L85">
        <v>0.26379999999999998</v>
      </c>
      <c r="M85">
        <v>0.2601</v>
      </c>
      <c r="N85">
        <v>0.26889999999999997</v>
      </c>
      <c r="O85">
        <v>0.26540000000000002</v>
      </c>
      <c r="P85">
        <v>0.27200000000000002</v>
      </c>
      <c r="Q85">
        <v>0.27960000000000002</v>
      </c>
      <c r="R85">
        <v>0.28270000000000001</v>
      </c>
      <c r="S85">
        <v>0.28749999999999998</v>
      </c>
      <c r="T85">
        <v>0.28999999999999998</v>
      </c>
      <c r="U85">
        <v>0.28210000000000002</v>
      </c>
      <c r="V85">
        <v>0.28620000000000001</v>
      </c>
      <c r="W85">
        <v>0.2843</v>
      </c>
      <c r="X85">
        <v>0.28710000000000002</v>
      </c>
      <c r="Y85">
        <v>0.28839999999999999</v>
      </c>
      <c r="Z85">
        <v>0.28649999999999998</v>
      </c>
      <c r="AA85">
        <v>0.29289999999999999</v>
      </c>
      <c r="AB85">
        <v>0.29770000000000002</v>
      </c>
      <c r="AC85">
        <v>0.29849999999999999</v>
      </c>
      <c r="AD85" t="s">
        <v>73</v>
      </c>
    </row>
    <row r="86" spans="1:30" x14ac:dyDescent="0.3">
      <c r="A86" t="s">
        <v>564</v>
      </c>
      <c r="B86" s="5" t="s">
        <v>565</v>
      </c>
      <c r="C86" t="s">
        <v>217</v>
      </c>
      <c r="D86" s="5" t="s">
        <v>218</v>
      </c>
      <c r="E86">
        <v>0.9506</v>
      </c>
      <c r="F86">
        <v>0.95169999999999999</v>
      </c>
      <c r="G86">
        <v>0.95760000000000001</v>
      </c>
      <c r="H86">
        <v>0.96689999999999998</v>
      </c>
      <c r="I86">
        <v>0.96060000000000001</v>
      </c>
      <c r="J86">
        <v>0.96589999999999998</v>
      </c>
      <c r="K86">
        <v>0.96120000000000005</v>
      </c>
      <c r="L86">
        <v>0.97230000000000005</v>
      </c>
      <c r="M86">
        <v>0.96970000000000001</v>
      </c>
      <c r="N86">
        <v>0.97650000000000003</v>
      </c>
      <c r="O86">
        <v>0.98670000000000002</v>
      </c>
      <c r="P86">
        <v>0.98960000000000004</v>
      </c>
      <c r="Q86">
        <v>0.98350000000000004</v>
      </c>
      <c r="R86">
        <v>0.99360000000000004</v>
      </c>
      <c r="S86">
        <v>1.0119</v>
      </c>
      <c r="T86">
        <v>1.0132000000000001</v>
      </c>
      <c r="U86">
        <v>1.0336000000000001</v>
      </c>
      <c r="V86">
        <v>1.0137</v>
      </c>
      <c r="W86">
        <v>0.98280000000000001</v>
      </c>
      <c r="X86">
        <v>0.98609999999999998</v>
      </c>
      <c r="Y86">
        <v>0.98240000000000005</v>
      </c>
      <c r="Z86">
        <v>0.99</v>
      </c>
      <c r="AA86">
        <v>0.99829999999999997</v>
      </c>
      <c r="AB86">
        <v>1.0043</v>
      </c>
      <c r="AC86">
        <v>1.0096000000000001</v>
      </c>
      <c r="AD86" t="s">
        <v>73</v>
      </c>
    </row>
    <row r="87" spans="1:30" x14ac:dyDescent="0.3">
      <c r="A87" t="s">
        <v>564</v>
      </c>
      <c r="B87" s="5" t="s">
        <v>565</v>
      </c>
      <c r="C87" t="s">
        <v>219</v>
      </c>
      <c r="D87" s="5" t="s">
        <v>220</v>
      </c>
      <c r="E87">
        <v>0.78559999999999997</v>
      </c>
      <c r="F87">
        <v>0.83909999999999996</v>
      </c>
      <c r="G87">
        <v>0.96109999999999995</v>
      </c>
      <c r="H87">
        <v>1.1048</v>
      </c>
      <c r="I87">
        <v>1.1546000000000001</v>
      </c>
      <c r="J87">
        <v>1.2178</v>
      </c>
      <c r="K87">
        <v>1.1991000000000001</v>
      </c>
      <c r="L87">
        <v>1.2198</v>
      </c>
      <c r="M87">
        <v>1.2297</v>
      </c>
      <c r="N87">
        <v>1.2915000000000001</v>
      </c>
      <c r="O87">
        <v>1.2935000000000001</v>
      </c>
      <c r="P87">
        <v>1.2833000000000001</v>
      </c>
      <c r="Q87">
        <v>1.3169</v>
      </c>
      <c r="R87">
        <v>1.3291999999999999</v>
      </c>
      <c r="S87">
        <v>1.3318000000000001</v>
      </c>
      <c r="T87">
        <v>1.3384</v>
      </c>
      <c r="U87">
        <v>1.3404</v>
      </c>
      <c r="V87">
        <v>1.3466</v>
      </c>
      <c r="W87">
        <v>1.3523000000000001</v>
      </c>
      <c r="X87">
        <v>1.3583000000000001</v>
      </c>
      <c r="Y87">
        <v>1.3649</v>
      </c>
      <c r="Z87">
        <v>1.3691</v>
      </c>
      <c r="AA87">
        <v>1.377</v>
      </c>
      <c r="AB87">
        <v>1.3968</v>
      </c>
      <c r="AC87">
        <v>1.3980999999999999</v>
      </c>
      <c r="AD87" t="s">
        <v>73</v>
      </c>
    </row>
    <row r="88" spans="1:30" x14ac:dyDescent="0.3">
      <c r="A88" t="s">
        <v>564</v>
      </c>
      <c r="B88" s="5" t="s">
        <v>565</v>
      </c>
      <c r="C88" t="s">
        <v>221</v>
      </c>
      <c r="D88" s="5" t="s">
        <v>222</v>
      </c>
      <c r="E88">
        <v>1.41E-2</v>
      </c>
      <c r="F88">
        <v>1.4500000000000001E-2</v>
      </c>
      <c r="G88">
        <v>1.3899999999999999E-2</v>
      </c>
      <c r="H88">
        <v>1.26E-2</v>
      </c>
      <c r="I88">
        <v>1.2500000000000001E-2</v>
      </c>
      <c r="J88">
        <v>1.2500000000000001E-2</v>
      </c>
      <c r="K88">
        <v>1.2699999999999999E-2</v>
      </c>
      <c r="L88">
        <v>1.0699999999999999E-2</v>
      </c>
      <c r="M88">
        <v>1.0699999999999999E-2</v>
      </c>
      <c r="N88">
        <v>1.15E-2</v>
      </c>
      <c r="O88">
        <v>1.21E-2</v>
      </c>
      <c r="P88">
        <v>1.24E-2</v>
      </c>
      <c r="Q88">
        <v>1.24E-2</v>
      </c>
      <c r="R88">
        <v>1.26E-2</v>
      </c>
      <c r="S88">
        <v>1.2699999999999999E-2</v>
      </c>
      <c r="T88">
        <v>1.35E-2</v>
      </c>
      <c r="U88">
        <v>1.35E-2</v>
      </c>
      <c r="V88">
        <v>1.4500000000000001E-2</v>
      </c>
      <c r="W88">
        <v>1.46E-2</v>
      </c>
      <c r="X88">
        <v>1.4800000000000001E-2</v>
      </c>
      <c r="Y88">
        <v>1.55E-2</v>
      </c>
      <c r="Z88">
        <v>1.4999999999999999E-2</v>
      </c>
      <c r="AA88">
        <v>1.5100000000000001E-2</v>
      </c>
      <c r="AB88">
        <v>1.52E-2</v>
      </c>
      <c r="AC88">
        <v>1.52E-2</v>
      </c>
      <c r="AD88" t="s">
        <v>73</v>
      </c>
    </row>
    <row r="89" spans="1:30" x14ac:dyDescent="0.3">
      <c r="A89" t="s">
        <v>564</v>
      </c>
      <c r="B89" s="5" t="s">
        <v>565</v>
      </c>
      <c r="C89" t="s">
        <v>223</v>
      </c>
      <c r="D89" s="5" t="s">
        <v>224</v>
      </c>
      <c r="E89">
        <v>4.3388999999999998</v>
      </c>
      <c r="F89">
        <v>4.58</v>
      </c>
      <c r="G89">
        <v>4.4328000000000003</v>
      </c>
      <c r="H89">
        <v>4.3277999999999999</v>
      </c>
      <c r="I89">
        <v>4.7500999999999998</v>
      </c>
      <c r="J89">
        <v>4.4442000000000004</v>
      </c>
      <c r="K89">
        <v>4.4310999999999998</v>
      </c>
      <c r="L89">
        <v>4.1380999999999997</v>
      </c>
      <c r="M89">
        <v>3.9499</v>
      </c>
      <c r="N89">
        <v>3.8730000000000002</v>
      </c>
      <c r="O89">
        <v>3.8193999999999999</v>
      </c>
      <c r="P89">
        <v>4.0305</v>
      </c>
      <c r="Q89">
        <v>4.0335000000000001</v>
      </c>
      <c r="R89">
        <v>4.1936</v>
      </c>
      <c r="S89">
        <v>4.3593999999999999</v>
      </c>
      <c r="T89">
        <v>4.2869999999999999</v>
      </c>
      <c r="U89">
        <v>4.4481000000000002</v>
      </c>
      <c r="V89">
        <v>4.5381</v>
      </c>
      <c r="W89">
        <v>4.6657999999999999</v>
      </c>
      <c r="X89">
        <v>4.6502999999999997</v>
      </c>
      <c r="Y89">
        <v>4.8071000000000002</v>
      </c>
      <c r="Z89">
        <v>4.7648999999999999</v>
      </c>
      <c r="AA89">
        <v>3.9575999999999998</v>
      </c>
      <c r="AB89">
        <v>4.0995999999999997</v>
      </c>
      <c r="AC89">
        <v>3.9796999999999998</v>
      </c>
      <c r="AD89" t="s">
        <v>73</v>
      </c>
    </row>
    <row r="90" spans="1:30" x14ac:dyDescent="0.3">
      <c r="A90" t="s">
        <v>564</v>
      </c>
      <c r="B90" s="5" t="s">
        <v>565</v>
      </c>
      <c r="C90" t="s">
        <v>225</v>
      </c>
      <c r="D90" s="5" t="s">
        <v>226</v>
      </c>
      <c r="E90">
        <v>0.28349999999999997</v>
      </c>
      <c r="F90">
        <v>0.28199999999999997</v>
      </c>
      <c r="G90">
        <v>0.28489999999999999</v>
      </c>
      <c r="H90">
        <v>0.28539999999999999</v>
      </c>
      <c r="I90">
        <v>0.28320000000000001</v>
      </c>
      <c r="J90">
        <v>0.28449999999999998</v>
      </c>
      <c r="K90">
        <v>0.28149999999999997</v>
      </c>
      <c r="L90">
        <v>0.28260000000000002</v>
      </c>
      <c r="M90">
        <v>0.28129999999999999</v>
      </c>
      <c r="N90">
        <v>0.28499999999999998</v>
      </c>
      <c r="O90">
        <v>0.28470000000000001</v>
      </c>
      <c r="P90">
        <v>0.2843</v>
      </c>
      <c r="Q90">
        <v>0.28349999999999997</v>
      </c>
      <c r="R90">
        <v>0.25330000000000003</v>
      </c>
      <c r="S90">
        <v>0.26319999999999999</v>
      </c>
      <c r="T90">
        <v>0.2621</v>
      </c>
      <c r="U90">
        <v>0.25309999999999999</v>
      </c>
      <c r="V90">
        <v>0.2581</v>
      </c>
      <c r="W90">
        <v>0.25440000000000002</v>
      </c>
      <c r="X90">
        <v>0.24990000000000001</v>
      </c>
      <c r="Y90">
        <v>0.25</v>
      </c>
      <c r="Z90">
        <v>0.2384</v>
      </c>
      <c r="AA90">
        <v>0.22600000000000001</v>
      </c>
      <c r="AB90">
        <v>0.22309999999999999</v>
      </c>
      <c r="AC90">
        <v>0.2198</v>
      </c>
      <c r="AD90" t="s">
        <v>73</v>
      </c>
    </row>
    <row r="91" spans="1:30" x14ac:dyDescent="0.3">
      <c r="A91" t="s">
        <v>564</v>
      </c>
      <c r="B91" s="5" t="s">
        <v>565</v>
      </c>
      <c r="C91" t="s">
        <v>22</v>
      </c>
      <c r="D91" s="5" t="s">
        <v>227</v>
      </c>
      <c r="E91">
        <v>124.53189999999999</v>
      </c>
      <c r="F91">
        <v>127.2646</v>
      </c>
      <c r="G91">
        <v>122.3</v>
      </c>
      <c r="H91">
        <v>126.8905</v>
      </c>
      <c r="I91">
        <v>131.31290000000001</v>
      </c>
      <c r="J91">
        <v>138.2697</v>
      </c>
      <c r="K91">
        <v>145.3135</v>
      </c>
      <c r="L91">
        <v>151.37819999999999</v>
      </c>
      <c r="M91">
        <v>155.15270000000001</v>
      </c>
      <c r="N91">
        <v>157.28380000000001</v>
      </c>
      <c r="O91">
        <v>163.11940000000001</v>
      </c>
      <c r="P91">
        <v>167.70650000000001</v>
      </c>
      <c r="Q91">
        <v>165.51949999999999</v>
      </c>
      <c r="R91">
        <v>165.28200000000001</v>
      </c>
      <c r="S91">
        <v>166.40459999999999</v>
      </c>
      <c r="T91">
        <v>169.251</v>
      </c>
      <c r="U91">
        <v>166.971</v>
      </c>
      <c r="V91">
        <v>169.21430000000001</v>
      </c>
      <c r="W91">
        <v>173.84829999999999</v>
      </c>
      <c r="X91">
        <v>182.39340000000001</v>
      </c>
      <c r="Y91">
        <v>190.64330000000001</v>
      </c>
      <c r="Z91">
        <v>185.59479999999999</v>
      </c>
      <c r="AA91">
        <v>190.25659999999999</v>
      </c>
      <c r="AB91">
        <v>196.13300000000001</v>
      </c>
      <c r="AC91">
        <v>200.37010000000001</v>
      </c>
      <c r="AD91" t="s">
        <v>73</v>
      </c>
    </row>
    <row r="92" spans="1:30" x14ac:dyDescent="0.3">
      <c r="A92" t="s">
        <v>564</v>
      </c>
      <c r="B92" s="5" t="s">
        <v>565</v>
      </c>
      <c r="C92" t="s">
        <v>23</v>
      </c>
      <c r="D92" s="5" t="s">
        <v>228</v>
      </c>
      <c r="E92">
        <v>31.741099999999999</v>
      </c>
      <c r="F92">
        <v>31.834800000000001</v>
      </c>
      <c r="G92">
        <v>34.027999999999999</v>
      </c>
      <c r="H92">
        <v>33.667200000000001</v>
      </c>
      <c r="I92">
        <v>34.569099999999999</v>
      </c>
      <c r="J92">
        <v>35.680799999999998</v>
      </c>
      <c r="K92">
        <v>35.242100000000001</v>
      </c>
      <c r="L92">
        <v>37.4024</v>
      </c>
      <c r="M92">
        <v>38.802199999999999</v>
      </c>
      <c r="N92">
        <v>42.165100000000002</v>
      </c>
      <c r="O92">
        <v>41.862499999999997</v>
      </c>
      <c r="P92">
        <v>42.187800000000003</v>
      </c>
      <c r="Q92">
        <v>44.108199999999997</v>
      </c>
      <c r="R92">
        <v>42.0901</v>
      </c>
      <c r="S92">
        <v>44.218800000000002</v>
      </c>
      <c r="T92">
        <v>46.733899999999998</v>
      </c>
      <c r="U92">
        <v>45.517800000000001</v>
      </c>
      <c r="V92">
        <v>49.9041</v>
      </c>
      <c r="W92">
        <v>50.726100000000002</v>
      </c>
      <c r="X92">
        <v>50.332700000000003</v>
      </c>
      <c r="Y92">
        <v>49.096400000000003</v>
      </c>
      <c r="Z92">
        <v>49.5045</v>
      </c>
      <c r="AA92">
        <v>49.619799999999998</v>
      </c>
      <c r="AB92">
        <v>49.494700000000002</v>
      </c>
      <c r="AC92">
        <v>49.5593</v>
      </c>
      <c r="AD92" t="s">
        <v>73</v>
      </c>
    </row>
    <row r="93" spans="1:30" x14ac:dyDescent="0.3">
      <c r="A93" t="s">
        <v>564</v>
      </c>
      <c r="B93" s="5" t="s">
        <v>565</v>
      </c>
      <c r="C93" t="s">
        <v>24</v>
      </c>
      <c r="D93" s="5" t="s">
        <v>229</v>
      </c>
      <c r="E93">
        <v>15.6044</v>
      </c>
      <c r="F93">
        <v>15.7775</v>
      </c>
      <c r="G93">
        <v>15.476100000000001</v>
      </c>
      <c r="H93">
        <v>16.029</v>
      </c>
      <c r="I93">
        <v>17.135999999999999</v>
      </c>
      <c r="J93">
        <v>16.3688</v>
      </c>
      <c r="K93">
        <v>17.6126</v>
      </c>
      <c r="L93">
        <v>17.066500000000001</v>
      </c>
      <c r="M93">
        <v>17.0046</v>
      </c>
      <c r="N93">
        <v>16.784300000000002</v>
      </c>
      <c r="O93">
        <v>16.804600000000001</v>
      </c>
      <c r="P93">
        <v>15.8142</v>
      </c>
      <c r="Q93">
        <v>15.884399999999999</v>
      </c>
      <c r="R93">
        <v>14.999599999999999</v>
      </c>
      <c r="S93">
        <v>12.837</v>
      </c>
      <c r="T93">
        <v>12.27</v>
      </c>
      <c r="U93">
        <v>14.1465</v>
      </c>
      <c r="V93">
        <v>13.868399999999999</v>
      </c>
      <c r="W93">
        <v>14.477399999999999</v>
      </c>
      <c r="X93">
        <v>14.549099999999999</v>
      </c>
      <c r="Y93">
        <v>15.1747</v>
      </c>
      <c r="Z93">
        <v>16.039300000000001</v>
      </c>
      <c r="AA93">
        <v>16.000299999999999</v>
      </c>
      <c r="AB93">
        <v>15.8353</v>
      </c>
      <c r="AC93">
        <v>16.169699999999999</v>
      </c>
      <c r="AD93" t="s">
        <v>73</v>
      </c>
    </row>
    <row r="94" spans="1:30" x14ac:dyDescent="0.3">
      <c r="A94" t="s">
        <v>564</v>
      </c>
      <c r="B94" s="5" t="s">
        <v>565</v>
      </c>
      <c r="C94" t="s">
        <v>230</v>
      </c>
      <c r="D94" s="5" t="s">
        <v>231</v>
      </c>
      <c r="E94">
        <v>2.7307999999999999</v>
      </c>
      <c r="F94">
        <v>2.9864999999999999</v>
      </c>
      <c r="G94">
        <v>4.2441000000000004</v>
      </c>
      <c r="H94">
        <v>1.6185</v>
      </c>
      <c r="I94">
        <v>1.3231999999999999</v>
      </c>
      <c r="J94">
        <v>2.1023999999999998</v>
      </c>
      <c r="K94">
        <v>2.1141000000000001</v>
      </c>
      <c r="L94">
        <v>2.0366</v>
      </c>
      <c r="M94">
        <v>2.3262</v>
      </c>
      <c r="N94">
        <v>2.8673999999999999</v>
      </c>
      <c r="O94">
        <v>2.8504</v>
      </c>
      <c r="P94">
        <v>2.9742000000000002</v>
      </c>
      <c r="Q94">
        <v>3.0727000000000002</v>
      </c>
      <c r="R94">
        <v>3.3250999999999999</v>
      </c>
      <c r="S94">
        <v>3.5137</v>
      </c>
      <c r="T94">
        <v>2.7427000000000001</v>
      </c>
      <c r="U94">
        <v>3.2000999999999999</v>
      </c>
      <c r="V94">
        <v>2.7288999999999999</v>
      </c>
      <c r="W94">
        <v>2.9340999999999999</v>
      </c>
      <c r="X94">
        <v>3.2181999999999999</v>
      </c>
      <c r="Y94">
        <v>2.6162999999999998</v>
      </c>
      <c r="Z94">
        <v>2.4986000000000002</v>
      </c>
      <c r="AA94">
        <v>2.7566000000000002</v>
      </c>
      <c r="AB94">
        <v>2.8519000000000001</v>
      </c>
      <c r="AC94">
        <v>2.9068000000000001</v>
      </c>
      <c r="AD94" t="s">
        <v>73</v>
      </c>
    </row>
    <row r="95" spans="1:30" x14ac:dyDescent="0.3">
      <c r="A95" t="s">
        <v>564</v>
      </c>
      <c r="B95" s="5" t="s">
        <v>565</v>
      </c>
      <c r="C95" t="s">
        <v>25</v>
      </c>
      <c r="D95" s="5" t="s">
        <v>232</v>
      </c>
      <c r="E95">
        <v>8.5343</v>
      </c>
      <c r="F95">
        <v>8.5128000000000004</v>
      </c>
      <c r="G95">
        <v>8.5843000000000007</v>
      </c>
      <c r="H95">
        <v>8.4533000000000005</v>
      </c>
      <c r="I95">
        <v>8.4061000000000003</v>
      </c>
      <c r="J95">
        <v>8.2619000000000007</v>
      </c>
      <c r="K95">
        <v>8.2286999999999999</v>
      </c>
      <c r="L95">
        <v>7.9855999999999998</v>
      </c>
      <c r="M95">
        <v>7.8720999999999997</v>
      </c>
      <c r="N95">
        <v>8.2281999999999993</v>
      </c>
      <c r="O95">
        <v>7.9968000000000004</v>
      </c>
      <c r="P95">
        <v>7.6698000000000004</v>
      </c>
      <c r="Q95">
        <v>8.0662000000000003</v>
      </c>
      <c r="R95">
        <v>8.1868999999999996</v>
      </c>
      <c r="S95">
        <v>8.1747999999999994</v>
      </c>
      <c r="T95">
        <v>8.2568999999999999</v>
      </c>
      <c r="U95">
        <v>8.5206</v>
      </c>
      <c r="V95">
        <v>8.7270000000000003</v>
      </c>
      <c r="W95">
        <v>8.3583999999999996</v>
      </c>
      <c r="X95">
        <v>8.2011000000000003</v>
      </c>
      <c r="Y95">
        <v>8.2850999999999999</v>
      </c>
      <c r="Z95">
        <v>8.2789999999999999</v>
      </c>
      <c r="AA95">
        <v>7.9781000000000004</v>
      </c>
      <c r="AB95">
        <v>7.8563999999999998</v>
      </c>
      <c r="AC95">
        <v>7.7901999999999996</v>
      </c>
      <c r="AD95" t="s">
        <v>73</v>
      </c>
    </row>
    <row r="96" spans="1:30" x14ac:dyDescent="0.3">
      <c r="A96" t="s">
        <v>564</v>
      </c>
      <c r="B96" s="5" t="s">
        <v>565</v>
      </c>
      <c r="C96" t="s">
        <v>233</v>
      </c>
      <c r="D96" s="5" t="s">
        <v>234</v>
      </c>
      <c r="E96" t="s">
        <v>73</v>
      </c>
      <c r="F96" t="s">
        <v>73</v>
      </c>
      <c r="G96" t="s">
        <v>73</v>
      </c>
      <c r="H96" t="s">
        <v>73</v>
      </c>
      <c r="I96" t="s">
        <v>73</v>
      </c>
      <c r="J96" t="s">
        <v>73</v>
      </c>
      <c r="K96" t="s">
        <v>73</v>
      </c>
      <c r="L96" t="s">
        <v>73</v>
      </c>
      <c r="M96" t="s">
        <v>73</v>
      </c>
      <c r="N96" t="s">
        <v>73</v>
      </c>
      <c r="O96" t="s">
        <v>73</v>
      </c>
      <c r="P96" t="s">
        <v>73</v>
      </c>
      <c r="Q96" t="s">
        <v>73</v>
      </c>
      <c r="R96" t="s">
        <v>73</v>
      </c>
      <c r="S96" t="s">
        <v>73</v>
      </c>
      <c r="T96" t="s">
        <v>73</v>
      </c>
      <c r="U96" t="s">
        <v>73</v>
      </c>
      <c r="V96" t="s">
        <v>73</v>
      </c>
      <c r="W96" t="s">
        <v>73</v>
      </c>
      <c r="X96" t="s">
        <v>73</v>
      </c>
      <c r="Y96" t="s">
        <v>73</v>
      </c>
      <c r="Z96" t="s">
        <v>73</v>
      </c>
      <c r="AA96" t="s">
        <v>73</v>
      </c>
      <c r="AB96" t="s">
        <v>73</v>
      </c>
      <c r="AC96" t="s">
        <v>73</v>
      </c>
      <c r="AD96" t="s">
        <v>73</v>
      </c>
    </row>
    <row r="97" spans="1:30" x14ac:dyDescent="0.3">
      <c r="A97" t="s">
        <v>564</v>
      </c>
      <c r="B97" s="5" t="s">
        <v>565</v>
      </c>
      <c r="C97" t="s">
        <v>235</v>
      </c>
      <c r="D97" s="5" t="s">
        <v>236</v>
      </c>
      <c r="E97">
        <v>0.74029999999999996</v>
      </c>
      <c r="F97">
        <v>0.75139999999999996</v>
      </c>
      <c r="G97">
        <v>0.77129999999999999</v>
      </c>
      <c r="H97">
        <v>0.78769999999999996</v>
      </c>
      <c r="I97">
        <v>0.82199999999999995</v>
      </c>
      <c r="J97">
        <v>0.78300000000000003</v>
      </c>
      <c r="K97">
        <v>0.82840000000000003</v>
      </c>
      <c r="L97">
        <v>0.79769999999999996</v>
      </c>
      <c r="M97">
        <v>0.80910000000000004</v>
      </c>
      <c r="N97">
        <v>0.8105</v>
      </c>
      <c r="O97">
        <v>0.8105</v>
      </c>
      <c r="P97">
        <v>0.84409999999999996</v>
      </c>
      <c r="Q97">
        <v>0.84179999999999999</v>
      </c>
      <c r="R97">
        <v>0.87880000000000003</v>
      </c>
      <c r="S97">
        <v>0.8831</v>
      </c>
      <c r="T97">
        <v>0.91390000000000005</v>
      </c>
      <c r="U97">
        <v>0.91520000000000001</v>
      </c>
      <c r="V97">
        <v>0.93500000000000005</v>
      </c>
      <c r="W97">
        <v>0.96560000000000001</v>
      </c>
      <c r="X97">
        <v>0.96450000000000002</v>
      </c>
      <c r="Y97">
        <v>0.95020000000000004</v>
      </c>
      <c r="Z97">
        <v>1.0082</v>
      </c>
      <c r="AA97">
        <v>1.0596000000000001</v>
      </c>
      <c r="AB97">
        <v>1.056</v>
      </c>
      <c r="AC97">
        <v>1.0702</v>
      </c>
      <c r="AD97" t="s">
        <v>73</v>
      </c>
    </row>
    <row r="98" spans="1:30" x14ac:dyDescent="0.3">
      <c r="A98" t="s">
        <v>564</v>
      </c>
      <c r="B98" s="5" t="s">
        <v>565</v>
      </c>
      <c r="C98" t="s">
        <v>26</v>
      </c>
      <c r="D98" s="5" t="s">
        <v>237</v>
      </c>
      <c r="E98">
        <v>11.2485</v>
      </c>
      <c r="F98">
        <v>10.4764</v>
      </c>
      <c r="G98">
        <v>10.733499999999999</v>
      </c>
      <c r="H98">
        <v>10.277799999999999</v>
      </c>
      <c r="I98">
        <v>10.1494</v>
      </c>
      <c r="J98">
        <v>9.7396999999999991</v>
      </c>
      <c r="K98">
        <v>9.9784000000000006</v>
      </c>
      <c r="L98">
        <v>10.0237</v>
      </c>
      <c r="M98">
        <v>9.7306000000000008</v>
      </c>
      <c r="N98">
        <v>9.4517000000000007</v>
      </c>
      <c r="O98">
        <v>9.3989999999999991</v>
      </c>
      <c r="P98">
        <v>9.2798999999999996</v>
      </c>
      <c r="Q98">
        <v>9.3735999999999997</v>
      </c>
      <c r="R98">
        <v>9.3285999999999998</v>
      </c>
      <c r="S98">
        <v>9.266</v>
      </c>
      <c r="T98">
        <v>9.3783999999999992</v>
      </c>
      <c r="U98">
        <v>9.4547000000000008</v>
      </c>
      <c r="V98">
        <v>9.3620999999999999</v>
      </c>
      <c r="W98">
        <v>9.5074000000000005</v>
      </c>
      <c r="X98">
        <v>9.2871000000000006</v>
      </c>
      <c r="Y98">
        <v>9.4939</v>
      </c>
      <c r="Z98">
        <v>8.4651999999999994</v>
      </c>
      <c r="AA98">
        <v>8.3254999999999999</v>
      </c>
      <c r="AB98">
        <v>8.1694999999999993</v>
      </c>
      <c r="AC98">
        <v>7.9634999999999998</v>
      </c>
      <c r="AD98" t="s">
        <v>73</v>
      </c>
    </row>
    <row r="99" spans="1:30" x14ac:dyDescent="0.3">
      <c r="A99" t="s">
        <v>564</v>
      </c>
      <c r="B99" s="5" t="s">
        <v>565</v>
      </c>
      <c r="C99" t="s">
        <v>238</v>
      </c>
      <c r="D99" s="5" t="s">
        <v>239</v>
      </c>
      <c r="E99">
        <v>0.26179999999999998</v>
      </c>
      <c r="F99">
        <v>0.2646</v>
      </c>
      <c r="G99">
        <v>0.25879999999999997</v>
      </c>
      <c r="H99">
        <v>0.27129999999999999</v>
      </c>
      <c r="I99">
        <v>0.26</v>
      </c>
      <c r="J99">
        <v>0.26100000000000001</v>
      </c>
      <c r="K99">
        <v>0.2016</v>
      </c>
      <c r="L99">
        <v>0.188</v>
      </c>
      <c r="M99">
        <v>0.1928</v>
      </c>
      <c r="N99">
        <v>0.1885</v>
      </c>
      <c r="O99">
        <v>0.18579999999999999</v>
      </c>
      <c r="P99">
        <v>0.18690000000000001</v>
      </c>
      <c r="Q99">
        <v>0.1915</v>
      </c>
      <c r="R99">
        <v>0.19109999999999999</v>
      </c>
      <c r="S99">
        <v>0.1918</v>
      </c>
      <c r="T99">
        <v>0.1883</v>
      </c>
      <c r="U99">
        <v>0.189</v>
      </c>
      <c r="V99">
        <v>0.18959999999999999</v>
      </c>
      <c r="W99">
        <v>0.19020000000000001</v>
      </c>
      <c r="X99">
        <v>0.1895</v>
      </c>
      <c r="Y99">
        <v>0.18940000000000001</v>
      </c>
      <c r="Z99">
        <v>0.18990000000000001</v>
      </c>
      <c r="AA99">
        <v>0.18909999999999999</v>
      </c>
      <c r="AB99">
        <v>0.189</v>
      </c>
      <c r="AC99">
        <v>0.1888</v>
      </c>
      <c r="AD99" t="s">
        <v>73</v>
      </c>
    </row>
    <row r="100" spans="1:30" x14ac:dyDescent="0.3">
      <c r="A100" t="s">
        <v>564</v>
      </c>
      <c r="B100" s="5" t="s">
        <v>565</v>
      </c>
      <c r="C100" t="s">
        <v>27</v>
      </c>
      <c r="D100" s="5" t="s">
        <v>240</v>
      </c>
      <c r="E100">
        <v>6.6191000000000004</v>
      </c>
      <c r="F100">
        <v>6.5646000000000004</v>
      </c>
      <c r="G100">
        <v>6.5734000000000004</v>
      </c>
      <c r="H100">
        <v>6.4991000000000003</v>
      </c>
      <c r="I100">
        <v>6.4462000000000002</v>
      </c>
      <c r="J100">
        <v>6.3406000000000002</v>
      </c>
      <c r="K100">
        <v>6.2845000000000004</v>
      </c>
      <c r="L100">
        <v>6.3526999999999996</v>
      </c>
      <c r="M100">
        <v>6.2000999999999999</v>
      </c>
      <c r="N100">
        <v>5.9096000000000002</v>
      </c>
      <c r="O100">
        <v>5.9913999999999996</v>
      </c>
      <c r="P100">
        <v>5.8169000000000004</v>
      </c>
      <c r="Q100">
        <v>5.7282000000000002</v>
      </c>
      <c r="R100">
        <v>5.8650000000000002</v>
      </c>
      <c r="S100">
        <v>5.6547999999999998</v>
      </c>
      <c r="T100">
        <v>5.4715999999999996</v>
      </c>
      <c r="U100">
        <v>5.5553999999999997</v>
      </c>
      <c r="V100">
        <v>5.5994000000000002</v>
      </c>
      <c r="W100">
        <v>5.5209000000000001</v>
      </c>
      <c r="X100">
        <v>5.4695</v>
      </c>
      <c r="Y100">
        <v>5.4847999999999999</v>
      </c>
      <c r="Z100">
        <v>5.4827000000000004</v>
      </c>
      <c r="AA100">
        <v>5.4035000000000002</v>
      </c>
      <c r="AB100">
        <v>5.3669000000000002</v>
      </c>
      <c r="AC100">
        <v>5.3183999999999996</v>
      </c>
      <c r="AD100" t="s">
        <v>73</v>
      </c>
    </row>
    <row r="101" spans="1:30" x14ac:dyDescent="0.3">
      <c r="A101" t="s">
        <v>564</v>
      </c>
      <c r="B101" s="5" t="s">
        <v>565</v>
      </c>
      <c r="C101" t="s">
        <v>241</v>
      </c>
      <c r="D101" s="5" t="s">
        <v>242</v>
      </c>
      <c r="E101">
        <v>0.2417</v>
      </c>
      <c r="F101">
        <v>0.24329999999999999</v>
      </c>
      <c r="G101">
        <v>0.25819999999999999</v>
      </c>
      <c r="H101">
        <v>0.26240000000000002</v>
      </c>
      <c r="I101">
        <v>0.2354</v>
      </c>
      <c r="J101">
        <v>0.29070000000000001</v>
      </c>
      <c r="K101">
        <v>0.25380000000000003</v>
      </c>
      <c r="L101">
        <v>0.29360000000000003</v>
      </c>
      <c r="M101">
        <v>0.35339999999999999</v>
      </c>
      <c r="N101">
        <v>0.31330000000000002</v>
      </c>
      <c r="O101">
        <v>0.32129999999999997</v>
      </c>
      <c r="P101">
        <v>0.32879999999999998</v>
      </c>
      <c r="Q101">
        <v>0.32690000000000002</v>
      </c>
      <c r="R101">
        <v>0.34360000000000002</v>
      </c>
      <c r="S101">
        <v>0.36520000000000002</v>
      </c>
      <c r="T101">
        <v>0.35620000000000002</v>
      </c>
      <c r="U101">
        <v>0.40329999999999999</v>
      </c>
      <c r="V101">
        <v>0.37209999999999999</v>
      </c>
      <c r="W101">
        <v>0.37309999999999999</v>
      </c>
      <c r="X101">
        <v>0.38400000000000001</v>
      </c>
      <c r="Y101">
        <v>0.37719999999999998</v>
      </c>
      <c r="Z101">
        <v>0.3831</v>
      </c>
      <c r="AA101">
        <v>0.38129999999999997</v>
      </c>
      <c r="AB101">
        <v>0.38969999999999999</v>
      </c>
      <c r="AC101">
        <v>0.39389999999999997</v>
      </c>
      <c r="AD101" t="s">
        <v>73</v>
      </c>
    </row>
    <row r="102" spans="1:30" x14ac:dyDescent="0.3">
      <c r="A102" t="s">
        <v>564</v>
      </c>
      <c r="B102" s="5" t="s">
        <v>565</v>
      </c>
      <c r="C102" t="s">
        <v>243</v>
      </c>
      <c r="D102" s="5" t="s">
        <v>244</v>
      </c>
      <c r="E102">
        <v>3.7057000000000002</v>
      </c>
      <c r="F102">
        <v>4.0583</v>
      </c>
      <c r="G102">
        <v>4.2485999999999997</v>
      </c>
      <c r="H102">
        <v>4.3728999999999996</v>
      </c>
      <c r="I102">
        <v>4.4305000000000003</v>
      </c>
      <c r="J102">
        <v>4.7370999999999999</v>
      </c>
      <c r="K102">
        <v>5.0841000000000003</v>
      </c>
      <c r="L102">
        <v>5.4805000000000001</v>
      </c>
      <c r="M102">
        <v>5.4408000000000003</v>
      </c>
      <c r="N102">
        <v>5.8547000000000002</v>
      </c>
      <c r="O102">
        <v>5.5282999999999998</v>
      </c>
      <c r="P102">
        <v>6.4099000000000004</v>
      </c>
      <c r="Q102">
        <v>5.5072000000000001</v>
      </c>
      <c r="R102">
        <v>5.6074000000000002</v>
      </c>
      <c r="S102">
        <v>5.8040000000000003</v>
      </c>
      <c r="T102">
        <v>6.1707999999999998</v>
      </c>
      <c r="U102">
        <v>6.5419</v>
      </c>
      <c r="V102">
        <v>6.7405999999999997</v>
      </c>
      <c r="W102">
        <v>7.1283000000000003</v>
      </c>
      <c r="X102">
        <v>6.9835000000000003</v>
      </c>
      <c r="Y102">
        <v>7.5658000000000003</v>
      </c>
      <c r="Z102">
        <v>7.5654000000000003</v>
      </c>
      <c r="AA102">
        <v>8.0950000000000006</v>
      </c>
      <c r="AB102">
        <v>7.1314000000000002</v>
      </c>
      <c r="AC102">
        <v>7.7633999999999999</v>
      </c>
      <c r="AD102" t="s">
        <v>73</v>
      </c>
    </row>
    <row r="103" spans="1:30" x14ac:dyDescent="0.3">
      <c r="A103" t="s">
        <v>564</v>
      </c>
      <c r="B103" s="5" t="s">
        <v>565</v>
      </c>
      <c r="C103" t="s">
        <v>245</v>
      </c>
      <c r="D103" s="5" t="s">
        <v>246</v>
      </c>
      <c r="E103">
        <v>6.5891999999999999</v>
      </c>
      <c r="F103">
        <v>6.6199000000000003</v>
      </c>
      <c r="G103">
        <v>6.7944000000000004</v>
      </c>
      <c r="H103">
        <v>7.2461000000000002</v>
      </c>
      <c r="I103">
        <v>7.7484000000000002</v>
      </c>
      <c r="J103">
        <v>7.5712000000000002</v>
      </c>
      <c r="K103">
        <v>7.2792000000000003</v>
      </c>
      <c r="L103">
        <v>11.251300000000001</v>
      </c>
      <c r="M103">
        <v>11.445499999999999</v>
      </c>
      <c r="N103">
        <v>11.0806</v>
      </c>
      <c r="O103">
        <v>11.295199999999999</v>
      </c>
      <c r="P103">
        <v>11.4826</v>
      </c>
      <c r="Q103">
        <v>11.3325</v>
      </c>
      <c r="R103">
        <v>11.451499999999999</v>
      </c>
      <c r="S103">
        <v>11.5527</v>
      </c>
      <c r="T103">
        <v>11.614000000000001</v>
      </c>
      <c r="U103">
        <v>12.6098</v>
      </c>
      <c r="V103">
        <v>11.8857</v>
      </c>
      <c r="W103">
        <v>12.1592</v>
      </c>
      <c r="X103">
        <v>13.958500000000001</v>
      </c>
      <c r="Y103">
        <v>16.319900000000001</v>
      </c>
      <c r="Z103">
        <v>14.4366</v>
      </c>
      <c r="AA103">
        <v>14.6882</v>
      </c>
      <c r="AB103">
        <v>13.9475</v>
      </c>
      <c r="AC103">
        <v>14.2905</v>
      </c>
      <c r="AD103" t="s">
        <v>73</v>
      </c>
    </row>
    <row r="104" spans="1:30" x14ac:dyDescent="0.3">
      <c r="A104" t="s">
        <v>564</v>
      </c>
      <c r="B104" s="5" t="s">
        <v>565</v>
      </c>
      <c r="C104" t="s">
        <v>247</v>
      </c>
      <c r="D104" s="5" t="s">
        <v>248</v>
      </c>
      <c r="E104">
        <v>1.9E-3</v>
      </c>
      <c r="F104">
        <v>2E-3</v>
      </c>
      <c r="G104">
        <v>2.2000000000000001E-3</v>
      </c>
      <c r="H104">
        <v>2.2000000000000001E-3</v>
      </c>
      <c r="I104">
        <v>2.3E-3</v>
      </c>
      <c r="J104">
        <v>2.3E-3</v>
      </c>
      <c r="K104">
        <v>2.3E-3</v>
      </c>
      <c r="L104">
        <v>2.5000000000000001E-3</v>
      </c>
      <c r="M104">
        <v>2.5999999999999999E-3</v>
      </c>
      <c r="N104">
        <v>2.5999999999999999E-3</v>
      </c>
      <c r="O104">
        <v>2.7000000000000001E-3</v>
      </c>
      <c r="P104">
        <v>2.8E-3</v>
      </c>
      <c r="Q104">
        <v>2.8E-3</v>
      </c>
      <c r="R104">
        <v>2.8E-3</v>
      </c>
      <c r="S104">
        <v>2.8E-3</v>
      </c>
      <c r="T104">
        <v>2.8999999999999998E-3</v>
      </c>
      <c r="U104">
        <v>2.8999999999999998E-3</v>
      </c>
      <c r="V104">
        <v>2.8999999999999998E-3</v>
      </c>
      <c r="W104">
        <v>3.0000000000000001E-3</v>
      </c>
      <c r="X104">
        <v>3.0000000000000001E-3</v>
      </c>
      <c r="Y104">
        <v>3.0000000000000001E-3</v>
      </c>
      <c r="Z104">
        <v>3.0000000000000001E-3</v>
      </c>
      <c r="AA104">
        <v>3.0999999999999999E-3</v>
      </c>
      <c r="AB104">
        <v>3.0999999999999999E-3</v>
      </c>
      <c r="AC104">
        <v>3.0999999999999999E-3</v>
      </c>
      <c r="AD104" t="s">
        <v>73</v>
      </c>
    </row>
    <row r="105" spans="1:30" x14ac:dyDescent="0.3">
      <c r="A105" t="s">
        <v>564</v>
      </c>
      <c r="B105" s="5" t="s">
        <v>565</v>
      </c>
      <c r="C105" t="s">
        <v>249</v>
      </c>
      <c r="D105" s="5" t="s">
        <v>250</v>
      </c>
      <c r="E105">
        <v>1.6311</v>
      </c>
      <c r="F105">
        <v>1.7182999999999999</v>
      </c>
      <c r="G105">
        <v>1.6564000000000001</v>
      </c>
      <c r="H105">
        <v>1.6680999999999999</v>
      </c>
      <c r="I105">
        <v>1.7522</v>
      </c>
      <c r="J105">
        <v>1.7009000000000001</v>
      </c>
      <c r="K105">
        <v>1.7508999999999999</v>
      </c>
      <c r="L105">
        <v>1.7607999999999999</v>
      </c>
      <c r="M105">
        <v>1.6798</v>
      </c>
      <c r="N105">
        <v>1.6695</v>
      </c>
      <c r="O105">
        <v>1.8</v>
      </c>
      <c r="P105">
        <v>1.8140000000000001</v>
      </c>
      <c r="Q105">
        <v>1.8677999999999999</v>
      </c>
      <c r="R105">
        <v>1.8552999999999999</v>
      </c>
      <c r="S105">
        <v>1.6773</v>
      </c>
      <c r="T105">
        <v>1.5456000000000001</v>
      </c>
      <c r="U105">
        <v>1.7558</v>
      </c>
      <c r="V105">
        <v>1.6977</v>
      </c>
      <c r="W105">
        <v>1.9907999999999999</v>
      </c>
      <c r="X105">
        <v>1.4156</v>
      </c>
      <c r="Y105">
        <v>1.0130999999999999</v>
      </c>
      <c r="Z105">
        <v>1.0591999999999999</v>
      </c>
      <c r="AA105">
        <v>0.99650000000000005</v>
      </c>
      <c r="AB105">
        <v>0.97940000000000005</v>
      </c>
      <c r="AC105">
        <v>0.96989999999999998</v>
      </c>
      <c r="AD105" t="s">
        <v>73</v>
      </c>
    </row>
    <row r="106" spans="1:30" x14ac:dyDescent="0.3">
      <c r="A106" t="s">
        <v>564</v>
      </c>
      <c r="B106" s="5" t="s">
        <v>565</v>
      </c>
      <c r="C106" t="s">
        <v>34</v>
      </c>
      <c r="D106" s="5" t="s">
        <v>251</v>
      </c>
      <c r="E106">
        <v>4.1562999999999999</v>
      </c>
      <c r="F106">
        <v>3.8902999999999999</v>
      </c>
      <c r="G106">
        <v>3.7042000000000002</v>
      </c>
      <c r="H106">
        <v>3.8757000000000001</v>
      </c>
      <c r="I106">
        <v>4.1177000000000001</v>
      </c>
      <c r="J106">
        <v>4.0549999999999997</v>
      </c>
      <c r="K106">
        <v>3.7816999999999998</v>
      </c>
      <c r="L106">
        <v>4.1939000000000002</v>
      </c>
      <c r="M106">
        <v>4.1981000000000002</v>
      </c>
      <c r="N106">
        <v>4.3433999999999999</v>
      </c>
      <c r="O106">
        <v>4.5152000000000001</v>
      </c>
      <c r="P106">
        <v>4.3925999999999998</v>
      </c>
      <c r="Q106">
        <v>4.5359999999999996</v>
      </c>
      <c r="R106">
        <v>5.1342999999999996</v>
      </c>
      <c r="S106">
        <v>5.0128000000000004</v>
      </c>
      <c r="T106">
        <v>5.4978999999999996</v>
      </c>
      <c r="U106">
        <v>5.6083999999999996</v>
      </c>
      <c r="V106">
        <v>5.5414000000000003</v>
      </c>
      <c r="W106">
        <v>4.6574999999999998</v>
      </c>
      <c r="X106">
        <v>4.6558999999999999</v>
      </c>
      <c r="Y106">
        <v>4.7226999999999997</v>
      </c>
      <c r="Z106">
        <v>4.9363999999999999</v>
      </c>
      <c r="AA106">
        <v>4.8379000000000003</v>
      </c>
      <c r="AB106">
        <v>4.5594999999999999</v>
      </c>
      <c r="AC106">
        <v>4.3419999999999996</v>
      </c>
      <c r="AD106" t="s">
        <v>73</v>
      </c>
    </row>
    <row r="107" spans="1:30" x14ac:dyDescent="0.3">
      <c r="A107" t="s">
        <v>564</v>
      </c>
      <c r="B107" s="5" t="s">
        <v>565</v>
      </c>
      <c r="C107" t="s">
        <v>252</v>
      </c>
      <c r="D107" s="5" t="s">
        <v>253</v>
      </c>
      <c r="E107" t="s">
        <v>73</v>
      </c>
      <c r="F107" t="s">
        <v>73</v>
      </c>
      <c r="G107" t="s">
        <v>73</v>
      </c>
      <c r="H107" t="s">
        <v>73</v>
      </c>
      <c r="I107" t="s">
        <v>73</v>
      </c>
      <c r="J107" t="s">
        <v>73</v>
      </c>
      <c r="K107" t="s">
        <v>73</v>
      </c>
      <c r="L107" t="s">
        <v>73</v>
      </c>
      <c r="M107" t="s">
        <v>73</v>
      </c>
      <c r="N107" t="s">
        <v>73</v>
      </c>
      <c r="O107" t="s">
        <v>73</v>
      </c>
      <c r="P107" t="s">
        <v>73</v>
      </c>
      <c r="Q107" t="s">
        <v>73</v>
      </c>
      <c r="R107" t="s">
        <v>73</v>
      </c>
      <c r="S107" t="s">
        <v>73</v>
      </c>
      <c r="T107" t="s">
        <v>73</v>
      </c>
      <c r="U107" t="s">
        <v>73</v>
      </c>
      <c r="V107" t="s">
        <v>73</v>
      </c>
      <c r="W107" t="s">
        <v>73</v>
      </c>
      <c r="X107" t="s">
        <v>73</v>
      </c>
      <c r="Y107" t="s">
        <v>73</v>
      </c>
      <c r="Z107" t="s">
        <v>73</v>
      </c>
      <c r="AA107" t="s">
        <v>73</v>
      </c>
      <c r="AB107" t="s">
        <v>73</v>
      </c>
      <c r="AC107" t="s">
        <v>73</v>
      </c>
      <c r="AD107" t="s">
        <v>73</v>
      </c>
    </row>
    <row r="108" spans="1:30" x14ac:dyDescent="0.3">
      <c r="A108" t="s">
        <v>564</v>
      </c>
      <c r="B108" s="5" t="s">
        <v>565</v>
      </c>
      <c r="C108" t="s">
        <v>254</v>
      </c>
      <c r="D108" s="5" t="s">
        <v>255</v>
      </c>
      <c r="E108">
        <v>9.7199999999999995E-2</v>
      </c>
      <c r="F108">
        <v>8.7099999999999997E-2</v>
      </c>
      <c r="G108">
        <v>9.6000000000000002E-2</v>
      </c>
      <c r="H108">
        <v>0.10349999999999999</v>
      </c>
      <c r="I108">
        <v>9.3100000000000002E-2</v>
      </c>
      <c r="J108">
        <v>9.74E-2</v>
      </c>
      <c r="K108">
        <v>9.6799999999999997E-2</v>
      </c>
      <c r="L108">
        <v>0.1014</v>
      </c>
      <c r="M108">
        <v>0.1101</v>
      </c>
      <c r="N108">
        <v>0.1195</v>
      </c>
      <c r="O108">
        <v>0.1075</v>
      </c>
      <c r="P108">
        <v>0.1145</v>
      </c>
      <c r="Q108">
        <v>0.122</v>
      </c>
      <c r="R108">
        <v>0.13159999999999999</v>
      </c>
      <c r="S108">
        <v>0.1401</v>
      </c>
      <c r="T108">
        <v>0.1469</v>
      </c>
      <c r="U108">
        <v>0.16750000000000001</v>
      </c>
      <c r="V108">
        <v>0.1565</v>
      </c>
      <c r="W108">
        <v>0.15690000000000001</v>
      </c>
      <c r="X108">
        <v>0.16719999999999999</v>
      </c>
      <c r="Y108">
        <v>0.1736</v>
      </c>
      <c r="Z108">
        <v>0.1744</v>
      </c>
      <c r="AA108">
        <v>0.1739</v>
      </c>
      <c r="AB108">
        <v>0.17730000000000001</v>
      </c>
      <c r="AC108">
        <v>0.18060000000000001</v>
      </c>
      <c r="AD108" t="s">
        <v>73</v>
      </c>
    </row>
    <row r="109" spans="1:30" x14ac:dyDescent="0.3">
      <c r="A109" t="s">
        <v>564</v>
      </c>
      <c r="B109" s="5" t="s">
        <v>565</v>
      </c>
      <c r="C109" t="s">
        <v>256</v>
      </c>
      <c r="D109" s="5" t="s">
        <v>257</v>
      </c>
      <c r="E109">
        <v>0.99160000000000004</v>
      </c>
      <c r="F109">
        <v>0.90680000000000005</v>
      </c>
      <c r="G109">
        <v>0.90910000000000002</v>
      </c>
      <c r="H109">
        <v>0.92589999999999995</v>
      </c>
      <c r="I109">
        <v>0.91180000000000005</v>
      </c>
      <c r="J109">
        <v>0.91859999999999997</v>
      </c>
      <c r="K109">
        <v>0.9446</v>
      </c>
      <c r="L109">
        <v>0.95720000000000005</v>
      </c>
      <c r="M109">
        <v>1.0073000000000001</v>
      </c>
      <c r="N109">
        <v>1.2589999999999999</v>
      </c>
      <c r="O109">
        <v>1.2841</v>
      </c>
      <c r="P109">
        <v>1.3081</v>
      </c>
      <c r="Q109">
        <v>1.3166</v>
      </c>
      <c r="R109">
        <v>1.4089</v>
      </c>
      <c r="S109">
        <v>1.3920999999999999</v>
      </c>
      <c r="T109">
        <v>1.3453999999999999</v>
      </c>
      <c r="U109">
        <v>1.3586</v>
      </c>
      <c r="V109">
        <v>1.6322000000000001</v>
      </c>
      <c r="W109">
        <v>1.6184000000000001</v>
      </c>
      <c r="X109">
        <v>1.7536</v>
      </c>
      <c r="Y109">
        <v>1.6839999999999999</v>
      </c>
      <c r="Z109">
        <v>1.716</v>
      </c>
      <c r="AA109">
        <v>1.6029</v>
      </c>
      <c r="AB109">
        <v>1.5706</v>
      </c>
      <c r="AC109">
        <v>1.589</v>
      </c>
      <c r="AD109" t="s">
        <v>73</v>
      </c>
    </row>
    <row r="110" spans="1:30" x14ac:dyDescent="0.3">
      <c r="A110" t="s">
        <v>564</v>
      </c>
      <c r="B110" s="5" t="s">
        <v>565</v>
      </c>
      <c r="C110" t="s">
        <v>258</v>
      </c>
      <c r="D110" s="5" t="s">
        <v>259</v>
      </c>
      <c r="E110">
        <v>1.1033999999999999</v>
      </c>
      <c r="F110">
        <v>1.1496</v>
      </c>
      <c r="G110">
        <v>1.1980999999999999</v>
      </c>
      <c r="H110">
        <v>1.2421</v>
      </c>
      <c r="I110">
        <v>1.2863</v>
      </c>
      <c r="J110">
        <v>1.2916000000000001</v>
      </c>
      <c r="K110">
        <v>1.3360000000000001</v>
      </c>
      <c r="L110">
        <v>1.3734</v>
      </c>
      <c r="M110">
        <v>1.4380999999999999</v>
      </c>
      <c r="N110">
        <v>1.5089999999999999</v>
      </c>
      <c r="O110">
        <v>1.5659000000000001</v>
      </c>
      <c r="P110">
        <v>1.6238999999999999</v>
      </c>
      <c r="Q110">
        <v>1.7262</v>
      </c>
      <c r="R110">
        <v>1.7553000000000001</v>
      </c>
      <c r="S110">
        <v>1.8246</v>
      </c>
      <c r="T110">
        <v>1.9276</v>
      </c>
      <c r="U110">
        <v>2.0001000000000002</v>
      </c>
      <c r="V110">
        <v>2.0118999999999998</v>
      </c>
      <c r="W110">
        <v>2.0741000000000001</v>
      </c>
      <c r="X110">
        <v>2.1316000000000002</v>
      </c>
      <c r="Y110">
        <v>2.2073</v>
      </c>
      <c r="Z110">
        <v>2.2517999999999998</v>
      </c>
      <c r="AA110">
        <v>2.3252000000000002</v>
      </c>
      <c r="AB110">
        <v>2.4232</v>
      </c>
      <c r="AC110">
        <v>2.4931999999999999</v>
      </c>
      <c r="AD110" t="s">
        <v>73</v>
      </c>
    </row>
    <row r="111" spans="1:30" x14ac:dyDescent="0.3">
      <c r="A111" t="s">
        <v>564</v>
      </c>
      <c r="B111" s="5" t="s">
        <v>565</v>
      </c>
      <c r="C111" t="s">
        <v>28</v>
      </c>
      <c r="D111" s="5" t="s">
        <v>260</v>
      </c>
      <c r="E111">
        <v>1.4367000000000001</v>
      </c>
      <c r="F111">
        <v>1.4928999999999999</v>
      </c>
      <c r="G111">
        <v>1.4997</v>
      </c>
      <c r="H111">
        <v>1.5042</v>
      </c>
      <c r="I111">
        <v>1.514</v>
      </c>
      <c r="J111">
        <v>1.5359</v>
      </c>
      <c r="K111">
        <v>1.5668</v>
      </c>
      <c r="L111">
        <v>1.6374</v>
      </c>
      <c r="M111">
        <v>1.6509</v>
      </c>
      <c r="N111">
        <v>1.5949</v>
      </c>
      <c r="O111">
        <v>1.573</v>
      </c>
      <c r="P111">
        <v>1.6198999999999999</v>
      </c>
      <c r="Q111">
        <v>1.7076</v>
      </c>
      <c r="R111">
        <v>1.7034</v>
      </c>
      <c r="S111">
        <v>1.7115</v>
      </c>
      <c r="T111">
        <v>1.8962000000000001</v>
      </c>
      <c r="U111">
        <v>2.0466000000000002</v>
      </c>
      <c r="V111">
        <v>1.9689000000000001</v>
      </c>
      <c r="W111">
        <v>1.9198999999999999</v>
      </c>
      <c r="X111">
        <v>2.0152999999999999</v>
      </c>
      <c r="Y111">
        <v>2.0939000000000001</v>
      </c>
      <c r="Z111">
        <v>2.0741999999999998</v>
      </c>
      <c r="AA111">
        <v>2.0640999999999998</v>
      </c>
      <c r="AB111">
        <v>2.0463</v>
      </c>
      <c r="AC111">
        <v>2.0952000000000002</v>
      </c>
      <c r="AD111" t="s">
        <v>73</v>
      </c>
    </row>
    <row r="112" spans="1:30" x14ac:dyDescent="0.3">
      <c r="A112" t="s">
        <v>564</v>
      </c>
      <c r="B112" s="5" t="s">
        <v>565</v>
      </c>
      <c r="C112" t="s">
        <v>261</v>
      </c>
      <c r="D112" s="5" t="s">
        <v>262</v>
      </c>
      <c r="E112">
        <v>0.2747</v>
      </c>
      <c r="F112">
        <v>0.30680000000000002</v>
      </c>
      <c r="G112">
        <v>0.26979999999999998</v>
      </c>
      <c r="H112">
        <v>0.30449999999999999</v>
      </c>
      <c r="I112">
        <v>0.30409999999999998</v>
      </c>
      <c r="J112">
        <v>0.21959999999999999</v>
      </c>
      <c r="K112">
        <v>0.23100000000000001</v>
      </c>
      <c r="L112">
        <v>0.2387</v>
      </c>
      <c r="M112">
        <v>0.22289999999999999</v>
      </c>
      <c r="N112">
        <v>0.311</v>
      </c>
      <c r="O112">
        <v>0.26619999999999999</v>
      </c>
      <c r="P112">
        <v>0.30470000000000003</v>
      </c>
      <c r="Q112">
        <v>0.34670000000000001</v>
      </c>
      <c r="R112">
        <v>0.32319999999999999</v>
      </c>
      <c r="S112">
        <v>0.28549999999999998</v>
      </c>
      <c r="T112">
        <v>0.31419999999999998</v>
      </c>
      <c r="U112">
        <v>0.31440000000000001</v>
      </c>
      <c r="V112">
        <v>0.32590000000000002</v>
      </c>
      <c r="W112">
        <v>0.3004</v>
      </c>
      <c r="X112">
        <v>0.30159999999999998</v>
      </c>
      <c r="Y112">
        <v>0.27689999999999998</v>
      </c>
      <c r="Z112">
        <v>0.2626</v>
      </c>
      <c r="AA112">
        <v>0.2596</v>
      </c>
      <c r="AB112">
        <v>0.247</v>
      </c>
      <c r="AC112">
        <v>0.23960000000000001</v>
      </c>
      <c r="AD112" t="s">
        <v>73</v>
      </c>
    </row>
    <row r="113" spans="1:30" x14ac:dyDescent="0.3">
      <c r="A113" t="s">
        <v>564</v>
      </c>
      <c r="B113" s="5" t="s">
        <v>565</v>
      </c>
      <c r="C113" t="s">
        <v>263</v>
      </c>
      <c r="D113" s="5" t="s">
        <v>264</v>
      </c>
      <c r="E113">
        <v>0.43790000000000001</v>
      </c>
      <c r="F113">
        <v>0.443</v>
      </c>
      <c r="G113">
        <v>0.39639999999999997</v>
      </c>
      <c r="H113">
        <v>0.39600000000000002</v>
      </c>
      <c r="I113">
        <v>0.39019999999999999</v>
      </c>
      <c r="J113">
        <v>0.43319999999999997</v>
      </c>
      <c r="K113">
        <v>0.42409999999999998</v>
      </c>
      <c r="L113">
        <v>0.4279</v>
      </c>
      <c r="M113">
        <v>0.40400000000000003</v>
      </c>
      <c r="N113">
        <v>0.4032</v>
      </c>
      <c r="O113">
        <v>0.39929999999999999</v>
      </c>
      <c r="P113">
        <v>0.39889999999999998</v>
      </c>
      <c r="Q113">
        <v>0.40329999999999999</v>
      </c>
      <c r="R113">
        <v>0.37190000000000001</v>
      </c>
      <c r="S113">
        <v>0.36499999999999999</v>
      </c>
      <c r="T113">
        <v>0.35709999999999997</v>
      </c>
      <c r="U113">
        <v>0.34370000000000001</v>
      </c>
      <c r="V113">
        <v>0.38190000000000002</v>
      </c>
      <c r="W113">
        <v>0.34399999999999997</v>
      </c>
      <c r="X113">
        <v>0.30020000000000002</v>
      </c>
      <c r="Y113">
        <v>0.23019999999999999</v>
      </c>
      <c r="Z113">
        <v>0.25829999999999997</v>
      </c>
      <c r="AA113">
        <v>0.27300000000000002</v>
      </c>
      <c r="AB113">
        <v>0.30730000000000002</v>
      </c>
      <c r="AC113">
        <v>0.29899999999999999</v>
      </c>
      <c r="AD113" t="s">
        <v>73</v>
      </c>
    </row>
    <row r="114" spans="1:30" x14ac:dyDescent="0.3">
      <c r="A114" t="s">
        <v>564</v>
      </c>
      <c r="B114" s="5" t="s">
        <v>565</v>
      </c>
      <c r="C114" t="s">
        <v>265</v>
      </c>
      <c r="D114" s="5" t="s">
        <v>266</v>
      </c>
      <c r="E114">
        <v>8.1000000000000003E-2</v>
      </c>
      <c r="F114">
        <v>8.1000000000000003E-2</v>
      </c>
      <c r="G114">
        <v>8.0399999999999999E-2</v>
      </c>
      <c r="H114">
        <v>8.0699999999999994E-2</v>
      </c>
      <c r="I114">
        <v>8.1199999999999994E-2</v>
      </c>
      <c r="J114">
        <v>8.2100000000000006E-2</v>
      </c>
      <c r="K114">
        <v>8.8800000000000004E-2</v>
      </c>
      <c r="L114">
        <v>9.7100000000000006E-2</v>
      </c>
      <c r="M114">
        <v>0.10589999999999999</v>
      </c>
      <c r="N114">
        <v>0.1154</v>
      </c>
      <c r="O114">
        <v>0.1245</v>
      </c>
      <c r="P114">
        <v>0.129</v>
      </c>
      <c r="Q114">
        <v>0.1295</v>
      </c>
      <c r="R114">
        <v>0.13039999999999999</v>
      </c>
      <c r="S114">
        <v>0.13120000000000001</v>
      </c>
      <c r="T114">
        <v>0.1333</v>
      </c>
      <c r="U114">
        <v>0.1368</v>
      </c>
      <c r="V114">
        <v>0.1303</v>
      </c>
      <c r="W114">
        <v>0.13070000000000001</v>
      </c>
      <c r="X114">
        <v>0.13400000000000001</v>
      </c>
      <c r="Y114">
        <v>0.13420000000000001</v>
      </c>
      <c r="Z114">
        <v>0.13420000000000001</v>
      </c>
      <c r="AA114">
        <v>0.13619999999999999</v>
      </c>
      <c r="AB114">
        <v>0.13420000000000001</v>
      </c>
      <c r="AC114">
        <v>0.1348</v>
      </c>
      <c r="AD114" t="s">
        <v>73</v>
      </c>
    </row>
    <row r="115" spans="1:30" x14ac:dyDescent="0.3">
      <c r="A115" t="s">
        <v>564</v>
      </c>
      <c r="B115" s="5" t="s">
        <v>565</v>
      </c>
      <c r="C115" t="s">
        <v>267</v>
      </c>
      <c r="D115" s="5" t="s">
        <v>268</v>
      </c>
      <c r="E115">
        <v>0.56189999999999996</v>
      </c>
      <c r="F115">
        <v>0.62549999999999994</v>
      </c>
      <c r="G115">
        <v>0.59260000000000002</v>
      </c>
      <c r="H115">
        <v>0.59889999999999999</v>
      </c>
      <c r="I115">
        <v>0.67090000000000005</v>
      </c>
      <c r="J115">
        <v>0.7167</v>
      </c>
      <c r="K115">
        <v>0.77</v>
      </c>
      <c r="L115">
        <v>0.80149999999999999</v>
      </c>
      <c r="M115">
        <v>0.80249999999999999</v>
      </c>
      <c r="N115">
        <v>0.82420000000000004</v>
      </c>
      <c r="O115">
        <v>0.84899999999999998</v>
      </c>
      <c r="P115">
        <v>0.85009999999999997</v>
      </c>
      <c r="Q115">
        <v>0.85229999999999995</v>
      </c>
      <c r="R115">
        <v>0.84189999999999998</v>
      </c>
      <c r="S115">
        <v>0.7762</v>
      </c>
      <c r="T115">
        <v>0.82269999999999999</v>
      </c>
      <c r="U115">
        <v>0.71819999999999995</v>
      </c>
      <c r="V115">
        <v>0.88260000000000005</v>
      </c>
      <c r="W115">
        <v>0.79090000000000005</v>
      </c>
      <c r="X115">
        <v>0.80369999999999997</v>
      </c>
      <c r="Y115">
        <v>0.77900000000000003</v>
      </c>
      <c r="Z115">
        <v>0.79330000000000001</v>
      </c>
      <c r="AA115">
        <v>0.74480000000000002</v>
      </c>
      <c r="AB115">
        <v>0.74619999999999997</v>
      </c>
      <c r="AC115">
        <v>0.74809999999999999</v>
      </c>
      <c r="AD115" t="s">
        <v>73</v>
      </c>
    </row>
    <row r="116" spans="1:30" x14ac:dyDescent="0.3">
      <c r="A116" t="s">
        <v>564</v>
      </c>
      <c r="B116" s="5" t="s">
        <v>565</v>
      </c>
      <c r="C116" t="s">
        <v>269</v>
      </c>
      <c r="D116" s="5" t="s">
        <v>270</v>
      </c>
      <c r="E116" t="s">
        <v>73</v>
      </c>
      <c r="F116" t="s">
        <v>73</v>
      </c>
      <c r="G116" t="s">
        <v>73</v>
      </c>
      <c r="H116" t="s">
        <v>73</v>
      </c>
      <c r="I116" t="s">
        <v>73</v>
      </c>
      <c r="J116" t="s">
        <v>73</v>
      </c>
      <c r="K116" t="s">
        <v>73</v>
      </c>
      <c r="L116" t="s">
        <v>73</v>
      </c>
      <c r="M116" t="s">
        <v>73</v>
      </c>
      <c r="N116" t="s">
        <v>73</v>
      </c>
      <c r="O116" t="s">
        <v>73</v>
      </c>
      <c r="P116" t="s">
        <v>73</v>
      </c>
      <c r="Q116" t="s">
        <v>73</v>
      </c>
      <c r="R116" t="s">
        <v>73</v>
      </c>
      <c r="S116" t="s">
        <v>73</v>
      </c>
      <c r="T116" t="s">
        <v>73</v>
      </c>
      <c r="U116" t="s">
        <v>73</v>
      </c>
      <c r="V116" t="s">
        <v>73</v>
      </c>
      <c r="W116" t="s">
        <v>73</v>
      </c>
      <c r="X116" t="s">
        <v>73</v>
      </c>
      <c r="Y116" t="s">
        <v>73</v>
      </c>
      <c r="Z116" t="s">
        <v>73</v>
      </c>
      <c r="AA116" t="s">
        <v>73</v>
      </c>
      <c r="AB116" t="s">
        <v>73</v>
      </c>
      <c r="AC116" t="s">
        <v>73</v>
      </c>
      <c r="AD116" t="s">
        <v>73</v>
      </c>
    </row>
    <row r="117" spans="1:30" x14ac:dyDescent="0.3">
      <c r="A117" t="s">
        <v>564</v>
      </c>
      <c r="B117" s="5" t="s">
        <v>565</v>
      </c>
      <c r="C117" t="s">
        <v>271</v>
      </c>
      <c r="D117" s="5" t="s">
        <v>272</v>
      </c>
      <c r="E117">
        <v>2.7219000000000002</v>
      </c>
      <c r="F117">
        <v>2.6234999999999999</v>
      </c>
      <c r="G117">
        <v>2.6501999999999999</v>
      </c>
      <c r="H117">
        <v>2.6638999999999999</v>
      </c>
      <c r="I117">
        <v>2.6829000000000001</v>
      </c>
      <c r="J117">
        <v>2.6739999999999999</v>
      </c>
      <c r="K117">
        <v>2.6328</v>
      </c>
      <c r="L117">
        <v>2.6939000000000002</v>
      </c>
      <c r="M117">
        <v>3.2604000000000002</v>
      </c>
      <c r="N117">
        <v>3.3397000000000001</v>
      </c>
      <c r="O117">
        <v>3.3197999999999999</v>
      </c>
      <c r="P117">
        <v>3.3567999999999998</v>
      </c>
      <c r="Q117">
        <v>3.4159000000000002</v>
      </c>
      <c r="R117">
        <v>3.4157999999999999</v>
      </c>
      <c r="S117">
        <v>3.4834999999999998</v>
      </c>
      <c r="T117">
        <v>3.569</v>
      </c>
      <c r="U117">
        <v>3.5192000000000001</v>
      </c>
      <c r="V117">
        <v>3.5169999999999999</v>
      </c>
      <c r="W117">
        <v>3.4304000000000001</v>
      </c>
      <c r="X117">
        <v>3.4693000000000001</v>
      </c>
      <c r="Y117">
        <v>3.6456</v>
      </c>
      <c r="Z117">
        <v>3.4649000000000001</v>
      </c>
      <c r="AA117">
        <v>3.2187000000000001</v>
      </c>
      <c r="AB117">
        <v>3.1597</v>
      </c>
      <c r="AC117">
        <v>3.1313</v>
      </c>
      <c r="AD117" t="s">
        <v>73</v>
      </c>
    </row>
    <row r="118" spans="1:30" x14ac:dyDescent="0.3">
      <c r="A118" t="s">
        <v>564</v>
      </c>
      <c r="B118" s="5" t="s">
        <v>565</v>
      </c>
      <c r="C118" t="s">
        <v>273</v>
      </c>
      <c r="D118" s="5" t="s">
        <v>274</v>
      </c>
      <c r="E118">
        <v>0.13789999999999999</v>
      </c>
      <c r="F118">
        <v>0.13639999999999999</v>
      </c>
      <c r="G118">
        <v>0.13239999999999999</v>
      </c>
      <c r="H118">
        <v>0.1275</v>
      </c>
      <c r="I118">
        <v>0.12540000000000001</v>
      </c>
      <c r="J118">
        <v>0.1237</v>
      </c>
      <c r="K118">
        <v>0.1217</v>
      </c>
      <c r="L118">
        <v>0.12529999999999999</v>
      </c>
      <c r="M118">
        <v>0.129</v>
      </c>
      <c r="N118">
        <v>0.12939999999999999</v>
      </c>
      <c r="O118">
        <v>0.1303</v>
      </c>
      <c r="P118">
        <v>0.12690000000000001</v>
      </c>
      <c r="Q118">
        <v>0.12479999999999999</v>
      </c>
      <c r="R118">
        <v>0.1293</v>
      </c>
      <c r="S118">
        <v>0.13109999999999999</v>
      </c>
      <c r="T118">
        <v>0.13389999999999999</v>
      </c>
      <c r="U118">
        <v>0.13450000000000001</v>
      </c>
      <c r="V118">
        <v>0.13669999999999999</v>
      </c>
      <c r="W118">
        <v>0.1323</v>
      </c>
      <c r="X118">
        <v>0.1323</v>
      </c>
      <c r="Y118">
        <v>0.13089999999999999</v>
      </c>
      <c r="Z118">
        <v>0.1293</v>
      </c>
      <c r="AA118">
        <v>0.12909999999999999</v>
      </c>
      <c r="AB118">
        <v>0.12720000000000001</v>
      </c>
      <c r="AC118">
        <v>0.12659999999999999</v>
      </c>
      <c r="AD118" t="s">
        <v>73</v>
      </c>
    </row>
    <row r="119" spans="1:30" x14ac:dyDescent="0.3">
      <c r="A119" t="s">
        <v>564</v>
      </c>
      <c r="B119" s="5" t="s">
        <v>565</v>
      </c>
      <c r="C119" t="s">
        <v>275</v>
      </c>
      <c r="D119" s="5" t="s">
        <v>276</v>
      </c>
      <c r="E119">
        <v>1.1000000000000001E-3</v>
      </c>
      <c r="F119">
        <v>1.1999999999999999E-3</v>
      </c>
      <c r="G119">
        <v>1.1999999999999999E-3</v>
      </c>
      <c r="H119">
        <v>1.4E-3</v>
      </c>
      <c r="I119">
        <v>1.1999999999999999E-3</v>
      </c>
      <c r="J119">
        <v>1.4E-3</v>
      </c>
      <c r="K119">
        <v>1.4E-3</v>
      </c>
      <c r="L119">
        <v>1.5E-3</v>
      </c>
      <c r="M119">
        <v>1.2999999999999999E-3</v>
      </c>
      <c r="N119">
        <v>1.2999999999999999E-3</v>
      </c>
      <c r="O119">
        <v>1.2999999999999999E-3</v>
      </c>
      <c r="P119">
        <v>1.2999999999999999E-3</v>
      </c>
      <c r="Q119">
        <v>1.4E-3</v>
      </c>
      <c r="R119">
        <v>1.4E-3</v>
      </c>
      <c r="S119">
        <v>1.4E-3</v>
      </c>
      <c r="T119">
        <v>1.4E-3</v>
      </c>
      <c r="U119">
        <v>1.4E-3</v>
      </c>
      <c r="V119">
        <v>1.5E-3</v>
      </c>
      <c r="W119">
        <v>1.5E-3</v>
      </c>
      <c r="X119">
        <v>1.5E-3</v>
      </c>
      <c r="Y119">
        <v>1.5E-3</v>
      </c>
      <c r="Z119">
        <v>1.5E-3</v>
      </c>
      <c r="AA119">
        <v>1.5E-3</v>
      </c>
      <c r="AB119">
        <v>1.5E-3</v>
      </c>
      <c r="AC119">
        <v>1.6000000000000001E-3</v>
      </c>
      <c r="AD119" t="s">
        <v>73</v>
      </c>
    </row>
    <row r="120" spans="1:30" x14ac:dyDescent="0.3">
      <c r="A120" t="s">
        <v>564</v>
      </c>
      <c r="B120" s="5" t="s">
        <v>565</v>
      </c>
      <c r="C120" t="s">
        <v>277</v>
      </c>
      <c r="D120" s="5" t="s">
        <v>278</v>
      </c>
      <c r="E120">
        <v>4.3304</v>
      </c>
      <c r="F120">
        <v>3.7593999999999999</v>
      </c>
      <c r="G120">
        <v>3.4535</v>
      </c>
      <c r="H120">
        <v>3.5303</v>
      </c>
      <c r="I120">
        <v>3.5901999999999998</v>
      </c>
      <c r="J120">
        <v>4.1650999999999998</v>
      </c>
      <c r="K120">
        <v>4.202</v>
      </c>
      <c r="L120">
        <v>4.2450999999999999</v>
      </c>
      <c r="M120">
        <v>4.2941000000000003</v>
      </c>
      <c r="N120">
        <v>4.3468</v>
      </c>
      <c r="O120">
        <v>4.3848000000000003</v>
      </c>
      <c r="P120">
        <v>4.4210000000000003</v>
      </c>
      <c r="Q120">
        <v>4.4649999999999999</v>
      </c>
      <c r="R120">
        <v>4.4372999999999996</v>
      </c>
      <c r="S120">
        <v>4.5277000000000003</v>
      </c>
      <c r="T120">
        <v>4.5648</v>
      </c>
      <c r="U120">
        <v>4.585</v>
      </c>
      <c r="V120">
        <v>4.5945999999999998</v>
      </c>
      <c r="W120">
        <v>3.9803999999999999</v>
      </c>
      <c r="X120">
        <v>4.0284000000000004</v>
      </c>
      <c r="Y120">
        <v>3.9777999999999998</v>
      </c>
      <c r="Z120">
        <v>4.0858999999999996</v>
      </c>
      <c r="AA120">
        <v>4.1181000000000001</v>
      </c>
      <c r="AB120">
        <v>3.7282999999999999</v>
      </c>
      <c r="AC120">
        <v>3.6701999999999999</v>
      </c>
      <c r="AD120" t="s">
        <v>73</v>
      </c>
    </row>
    <row r="121" spans="1:30" x14ac:dyDescent="0.3">
      <c r="A121" t="s">
        <v>564</v>
      </c>
      <c r="B121" s="5" t="s">
        <v>565</v>
      </c>
      <c r="C121" t="s">
        <v>279</v>
      </c>
      <c r="D121" s="5" t="s">
        <v>280</v>
      </c>
      <c r="E121">
        <v>0.68579999999999997</v>
      </c>
      <c r="F121">
        <v>0.66539999999999999</v>
      </c>
      <c r="G121">
        <v>0.65710000000000002</v>
      </c>
      <c r="H121">
        <v>0.68300000000000005</v>
      </c>
      <c r="I121">
        <v>0.70130000000000003</v>
      </c>
      <c r="J121">
        <v>0.71760000000000002</v>
      </c>
      <c r="K121">
        <v>0.78569999999999995</v>
      </c>
      <c r="L121">
        <v>0.90310000000000001</v>
      </c>
      <c r="M121">
        <v>1.012</v>
      </c>
      <c r="N121">
        <v>1.1063000000000001</v>
      </c>
      <c r="O121">
        <v>1.2445999999999999</v>
      </c>
      <c r="P121">
        <v>1.3571</v>
      </c>
      <c r="Q121">
        <v>1.4729000000000001</v>
      </c>
      <c r="R121">
        <v>1.5842000000000001</v>
      </c>
      <c r="S121">
        <v>1.6555</v>
      </c>
      <c r="T121">
        <v>1.7923</v>
      </c>
      <c r="U121">
        <v>1.8980999999999999</v>
      </c>
      <c r="V121">
        <v>2.0438999999999998</v>
      </c>
      <c r="W121">
        <v>2.5747</v>
      </c>
      <c r="X121">
        <v>3.1282999999999999</v>
      </c>
      <c r="Y121">
        <v>3.1252</v>
      </c>
      <c r="Z121">
        <v>3.1120000000000001</v>
      </c>
      <c r="AA121">
        <v>3.3056000000000001</v>
      </c>
      <c r="AB121">
        <v>3.5528</v>
      </c>
      <c r="AC121">
        <v>3.7789000000000001</v>
      </c>
      <c r="AD121" t="s">
        <v>73</v>
      </c>
    </row>
    <row r="122" spans="1:30" x14ac:dyDescent="0.3">
      <c r="A122" t="s">
        <v>564</v>
      </c>
      <c r="B122" s="5" t="s">
        <v>565</v>
      </c>
      <c r="C122" t="s">
        <v>281</v>
      </c>
      <c r="D122" s="5" t="s">
        <v>282</v>
      </c>
      <c r="E122">
        <v>3.6128</v>
      </c>
      <c r="F122">
        <v>3.5821999999999998</v>
      </c>
      <c r="G122">
        <v>3.7502</v>
      </c>
      <c r="H122">
        <v>3.9575</v>
      </c>
      <c r="I122">
        <v>4.8720999999999997</v>
      </c>
      <c r="J122">
        <v>4.5926999999999998</v>
      </c>
      <c r="K122">
        <v>4.8636999999999997</v>
      </c>
      <c r="L122">
        <v>5.0974000000000004</v>
      </c>
      <c r="M122">
        <v>4.9842000000000004</v>
      </c>
      <c r="N122">
        <v>5.4337999999999997</v>
      </c>
      <c r="O122">
        <v>5.1684999999999999</v>
      </c>
      <c r="P122">
        <v>5.2847</v>
      </c>
      <c r="Q122">
        <v>4.9870999999999999</v>
      </c>
      <c r="R122">
        <v>5.7081</v>
      </c>
      <c r="S122">
        <v>5.3071999999999999</v>
      </c>
      <c r="T122">
        <v>5.1120000000000001</v>
      </c>
      <c r="U122">
        <v>5.4236000000000004</v>
      </c>
      <c r="V122">
        <v>5.4145000000000003</v>
      </c>
      <c r="W122">
        <v>5.1409000000000002</v>
      </c>
      <c r="X122">
        <v>5.3010000000000002</v>
      </c>
      <c r="Y122">
        <v>4.9861000000000004</v>
      </c>
      <c r="Z122">
        <v>4.7110000000000003</v>
      </c>
      <c r="AA122">
        <v>4.3917999999999999</v>
      </c>
      <c r="AB122">
        <v>4.1985999999999999</v>
      </c>
      <c r="AC122">
        <v>4.0713999999999997</v>
      </c>
      <c r="AD122" t="s">
        <v>73</v>
      </c>
    </row>
    <row r="123" spans="1:30" x14ac:dyDescent="0.3">
      <c r="A123" t="s">
        <v>564</v>
      </c>
      <c r="B123" s="5" t="s">
        <v>565</v>
      </c>
      <c r="C123" t="s">
        <v>283</v>
      </c>
      <c r="D123" s="5" t="s">
        <v>284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73</v>
      </c>
    </row>
    <row r="124" spans="1:30" x14ac:dyDescent="0.3">
      <c r="A124" t="s">
        <v>564</v>
      </c>
      <c r="B124" s="5" t="s">
        <v>565</v>
      </c>
      <c r="C124" t="s">
        <v>285</v>
      </c>
      <c r="D124" s="5" t="s">
        <v>286</v>
      </c>
      <c r="E124">
        <v>3.4108999999999998</v>
      </c>
      <c r="F124">
        <v>3.5259999999999998</v>
      </c>
      <c r="G124">
        <v>3.8498000000000001</v>
      </c>
      <c r="H124">
        <v>4.0328999999999997</v>
      </c>
      <c r="I124">
        <v>4.2328999999999999</v>
      </c>
      <c r="J124">
        <v>4.3948999999999998</v>
      </c>
      <c r="K124">
        <v>4.4370000000000003</v>
      </c>
      <c r="L124">
        <v>4.7653999999999996</v>
      </c>
      <c r="M124">
        <v>4.9458000000000002</v>
      </c>
      <c r="N124">
        <v>5.1525999999999996</v>
      </c>
      <c r="O124">
        <v>5.4027000000000003</v>
      </c>
      <c r="P124">
        <v>5.6052</v>
      </c>
      <c r="Q124">
        <v>5.8803999999999998</v>
      </c>
      <c r="R124">
        <v>6.3320999999999996</v>
      </c>
      <c r="S124">
        <v>6.5377000000000001</v>
      </c>
      <c r="T124">
        <v>6.7606999999999999</v>
      </c>
      <c r="U124">
        <v>7.4744999999999999</v>
      </c>
      <c r="V124">
        <v>8.2858999999999998</v>
      </c>
      <c r="W124">
        <v>8.3262999999999998</v>
      </c>
      <c r="X124">
        <v>8.6693999999999996</v>
      </c>
      <c r="Y124">
        <v>8.7236999999999991</v>
      </c>
      <c r="Z124">
        <v>8.9382999999999999</v>
      </c>
      <c r="AA124">
        <v>8.7542000000000009</v>
      </c>
      <c r="AB124">
        <v>9.5673999999999992</v>
      </c>
      <c r="AC124">
        <v>9.8054000000000006</v>
      </c>
      <c r="AD124" t="s">
        <v>73</v>
      </c>
    </row>
    <row r="125" spans="1:30" x14ac:dyDescent="0.3">
      <c r="A125" t="s">
        <v>564</v>
      </c>
      <c r="B125" s="5" t="s">
        <v>565</v>
      </c>
      <c r="C125" t="s">
        <v>287</v>
      </c>
      <c r="D125" s="5" t="s">
        <v>288</v>
      </c>
      <c r="E125">
        <v>2.2599999999999999E-2</v>
      </c>
      <c r="F125">
        <v>2.46E-2</v>
      </c>
      <c r="G125">
        <v>2.2800000000000001E-2</v>
      </c>
      <c r="H125">
        <v>2.3800000000000002E-2</v>
      </c>
      <c r="I125">
        <v>2.2100000000000002E-2</v>
      </c>
      <c r="J125">
        <v>2.3199999999999998E-2</v>
      </c>
      <c r="K125">
        <v>2.3E-2</v>
      </c>
      <c r="L125">
        <v>2.3E-2</v>
      </c>
      <c r="M125">
        <v>2.3599999999999999E-2</v>
      </c>
      <c r="N125">
        <v>2.0799999999999999E-2</v>
      </c>
      <c r="O125">
        <v>1.9900000000000001E-2</v>
      </c>
      <c r="P125">
        <v>1.7600000000000001E-2</v>
      </c>
      <c r="Q125">
        <v>1.7899999999999999E-2</v>
      </c>
      <c r="R125">
        <v>1.78E-2</v>
      </c>
      <c r="S125">
        <v>1.78E-2</v>
      </c>
      <c r="T125">
        <v>1.7500000000000002E-2</v>
      </c>
      <c r="U125">
        <v>1.7100000000000001E-2</v>
      </c>
      <c r="V125">
        <v>1.6299999999999999E-2</v>
      </c>
      <c r="W125">
        <v>1.5800000000000002E-2</v>
      </c>
      <c r="X125">
        <v>1.5599999999999999E-2</v>
      </c>
      <c r="Y125">
        <v>1.5699999999999999E-2</v>
      </c>
      <c r="Z125">
        <v>1.5900000000000001E-2</v>
      </c>
      <c r="AA125">
        <v>1.54E-2</v>
      </c>
      <c r="AB125">
        <v>1.5599999999999999E-2</v>
      </c>
      <c r="AC125">
        <v>1.5599999999999999E-2</v>
      </c>
      <c r="AD125" t="s">
        <v>73</v>
      </c>
    </row>
    <row r="126" spans="1:30" x14ac:dyDescent="0.3">
      <c r="A126" t="s">
        <v>564</v>
      </c>
      <c r="B126" s="5" t="s">
        <v>565</v>
      </c>
      <c r="C126" t="s">
        <v>289</v>
      </c>
      <c r="D126" s="5" t="s">
        <v>290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73</v>
      </c>
      <c r="AD126" t="s">
        <v>73</v>
      </c>
    </row>
    <row r="127" spans="1:30" x14ac:dyDescent="0.3">
      <c r="A127" t="s">
        <v>564</v>
      </c>
      <c r="B127" s="5" t="s">
        <v>565</v>
      </c>
      <c r="C127" t="s">
        <v>291</v>
      </c>
      <c r="D127" s="5" t="s">
        <v>292</v>
      </c>
      <c r="E127">
        <v>1.5707</v>
      </c>
      <c r="F127">
        <v>1.6317999999999999</v>
      </c>
      <c r="G127">
        <v>1.6758999999999999</v>
      </c>
      <c r="H127">
        <v>1.6934</v>
      </c>
      <c r="I127">
        <v>1.6243000000000001</v>
      </c>
      <c r="J127">
        <v>1.6383000000000001</v>
      </c>
      <c r="K127">
        <v>1.7322</v>
      </c>
      <c r="L127">
        <v>1.6263000000000001</v>
      </c>
      <c r="M127">
        <v>1.5401</v>
      </c>
      <c r="N127">
        <v>1.6786000000000001</v>
      </c>
      <c r="O127">
        <v>1.7196</v>
      </c>
      <c r="P127">
        <v>1.7685</v>
      </c>
      <c r="Q127">
        <v>1.8252999999999999</v>
      </c>
      <c r="R127">
        <v>1.8785000000000001</v>
      </c>
      <c r="S127">
        <v>1.9069</v>
      </c>
      <c r="T127">
        <v>2.0146999999999999</v>
      </c>
      <c r="U127">
        <v>1.9936</v>
      </c>
      <c r="V127">
        <v>1.9782999999999999</v>
      </c>
      <c r="W127">
        <v>1.9809000000000001</v>
      </c>
      <c r="X127">
        <v>2.0539000000000001</v>
      </c>
      <c r="Y127">
        <v>2.0703</v>
      </c>
      <c r="Z127">
        <v>2.0583999999999998</v>
      </c>
      <c r="AA127">
        <v>2.0695000000000001</v>
      </c>
      <c r="AB127">
        <v>2.0884999999999998</v>
      </c>
      <c r="AC127">
        <v>2.1101000000000001</v>
      </c>
      <c r="AD127" t="s">
        <v>73</v>
      </c>
    </row>
    <row r="128" spans="1:30" x14ac:dyDescent="0.3">
      <c r="A128" t="s">
        <v>564</v>
      </c>
      <c r="B128" s="5" t="s">
        <v>565</v>
      </c>
      <c r="C128" t="s">
        <v>293</v>
      </c>
      <c r="D128" s="5" t="s">
        <v>294</v>
      </c>
      <c r="E128">
        <v>0.1195</v>
      </c>
      <c r="F128">
        <v>8.77E-2</v>
      </c>
      <c r="G128">
        <v>7.9699999999999993E-2</v>
      </c>
      <c r="H128">
        <v>6.93E-2</v>
      </c>
      <c r="I128">
        <v>9.4500000000000001E-2</v>
      </c>
      <c r="J128">
        <v>9.5500000000000002E-2</v>
      </c>
      <c r="K128">
        <v>9.7799999999999998E-2</v>
      </c>
      <c r="L128">
        <v>9.9500000000000005E-2</v>
      </c>
      <c r="M128">
        <v>9.9099999999999994E-2</v>
      </c>
      <c r="N128">
        <v>0.10100000000000001</v>
      </c>
      <c r="O128">
        <v>0.10290000000000001</v>
      </c>
      <c r="P128">
        <v>0.1046</v>
      </c>
      <c r="Q128">
        <v>8.3900000000000002E-2</v>
      </c>
      <c r="R128">
        <v>7.7899999999999997E-2</v>
      </c>
      <c r="S128">
        <v>8.9800000000000005E-2</v>
      </c>
      <c r="T128">
        <v>5.1799999999999999E-2</v>
      </c>
      <c r="U128">
        <v>5.2299999999999999E-2</v>
      </c>
      <c r="V128">
        <v>6.1400000000000003E-2</v>
      </c>
      <c r="W128">
        <v>6.4600000000000005E-2</v>
      </c>
      <c r="X128">
        <v>6.1800000000000001E-2</v>
      </c>
      <c r="Y128">
        <v>5.2499999999999998E-2</v>
      </c>
      <c r="Z128">
        <v>6.3799999999999996E-2</v>
      </c>
      <c r="AA128">
        <v>7.2700000000000001E-2</v>
      </c>
      <c r="AB128">
        <v>7.6700000000000004E-2</v>
      </c>
      <c r="AC128">
        <v>8.09E-2</v>
      </c>
      <c r="AD128" t="s">
        <v>73</v>
      </c>
    </row>
    <row r="129" spans="1:30" x14ac:dyDescent="0.3">
      <c r="A129" t="s">
        <v>564</v>
      </c>
      <c r="B129" s="5" t="s">
        <v>565</v>
      </c>
      <c r="C129" t="s">
        <v>29</v>
      </c>
      <c r="D129" s="5" t="s">
        <v>295</v>
      </c>
      <c r="E129">
        <v>25.145900000000001</v>
      </c>
      <c r="F129">
        <v>25.156400000000001</v>
      </c>
      <c r="G129">
        <v>24.4177</v>
      </c>
      <c r="H129">
        <v>24.733699999999999</v>
      </c>
      <c r="I129">
        <v>24.6998</v>
      </c>
      <c r="J129">
        <v>24.3078</v>
      </c>
      <c r="K129">
        <v>24.301500000000001</v>
      </c>
      <c r="L129">
        <v>25.282</v>
      </c>
      <c r="M129">
        <v>24.654399999999999</v>
      </c>
      <c r="N129">
        <v>25.014900000000001</v>
      </c>
      <c r="O129">
        <v>25.587599999999998</v>
      </c>
      <c r="P129">
        <v>25.505199999999999</v>
      </c>
      <c r="Q129">
        <v>25.578299999999999</v>
      </c>
      <c r="R129">
        <v>27.518999999999998</v>
      </c>
      <c r="S129">
        <v>27.875900000000001</v>
      </c>
      <c r="T129">
        <v>27.3596</v>
      </c>
      <c r="U129">
        <v>29.1952</v>
      </c>
      <c r="V129">
        <v>28.974799999999998</v>
      </c>
      <c r="W129">
        <v>29.237400000000001</v>
      </c>
      <c r="X129">
        <v>28.8598</v>
      </c>
      <c r="Y129">
        <v>30.068000000000001</v>
      </c>
      <c r="Z129">
        <v>30.145199999999999</v>
      </c>
      <c r="AA129">
        <v>29.397099999999998</v>
      </c>
      <c r="AB129">
        <v>29.450900000000001</v>
      </c>
      <c r="AC129">
        <v>29.2376</v>
      </c>
      <c r="AD129" t="s">
        <v>73</v>
      </c>
    </row>
    <row r="130" spans="1:30" x14ac:dyDescent="0.3">
      <c r="A130" t="s">
        <v>564</v>
      </c>
      <c r="B130" s="5" t="s">
        <v>565</v>
      </c>
      <c r="C130" t="s">
        <v>296</v>
      </c>
      <c r="D130" s="5" t="s">
        <v>297</v>
      </c>
      <c r="E130">
        <v>9.9000000000000008E-3</v>
      </c>
      <c r="F130">
        <v>9.7999999999999997E-3</v>
      </c>
      <c r="G130">
        <v>9.9000000000000008E-3</v>
      </c>
      <c r="H130">
        <v>9.9000000000000008E-3</v>
      </c>
      <c r="I130">
        <v>9.9000000000000008E-3</v>
      </c>
      <c r="J130">
        <v>9.9000000000000008E-3</v>
      </c>
      <c r="K130">
        <v>9.9000000000000008E-3</v>
      </c>
      <c r="L130">
        <v>1.01E-2</v>
      </c>
      <c r="M130">
        <v>0.01</v>
      </c>
      <c r="N130">
        <v>1.0500000000000001E-2</v>
      </c>
      <c r="O130">
        <v>1.0500000000000001E-2</v>
      </c>
      <c r="P130">
        <v>1.11E-2</v>
      </c>
      <c r="Q130">
        <v>1.11E-2</v>
      </c>
      <c r="R130">
        <v>1.14E-2</v>
      </c>
      <c r="S130">
        <v>1.15E-2</v>
      </c>
      <c r="T130">
        <v>1.17E-2</v>
      </c>
      <c r="U130">
        <v>1.1900000000000001E-2</v>
      </c>
      <c r="V130">
        <v>1.18E-2</v>
      </c>
      <c r="W130">
        <v>1.18E-2</v>
      </c>
      <c r="X130">
        <v>1.23E-2</v>
      </c>
      <c r="Y130">
        <v>1.2E-2</v>
      </c>
      <c r="Z130">
        <v>1.2200000000000001E-2</v>
      </c>
      <c r="AA130">
        <v>1.24E-2</v>
      </c>
      <c r="AB130">
        <v>1.38E-2</v>
      </c>
      <c r="AC130">
        <v>1.4200000000000001E-2</v>
      </c>
      <c r="AD130" t="s">
        <v>73</v>
      </c>
    </row>
    <row r="131" spans="1:30" x14ac:dyDescent="0.3">
      <c r="A131" t="s">
        <v>564</v>
      </c>
      <c r="B131" s="5" t="s">
        <v>565</v>
      </c>
      <c r="C131" t="s">
        <v>298</v>
      </c>
      <c r="D131" s="5" t="s">
        <v>299</v>
      </c>
      <c r="E131">
        <v>0.52380000000000004</v>
      </c>
      <c r="F131">
        <v>0.52059999999999995</v>
      </c>
      <c r="G131">
        <v>0.53310000000000002</v>
      </c>
      <c r="H131">
        <v>0.50460000000000005</v>
      </c>
      <c r="I131">
        <v>0.53110000000000002</v>
      </c>
      <c r="J131">
        <v>0.51439999999999997</v>
      </c>
      <c r="K131">
        <v>0.50139999999999996</v>
      </c>
      <c r="L131">
        <v>0.47670000000000001</v>
      </c>
      <c r="M131">
        <v>0.4652</v>
      </c>
      <c r="N131">
        <v>0.41720000000000002</v>
      </c>
      <c r="O131">
        <v>0.4819</v>
      </c>
      <c r="P131">
        <v>0.52969999999999995</v>
      </c>
      <c r="Q131">
        <v>0.45250000000000001</v>
      </c>
      <c r="R131">
        <v>0.67800000000000005</v>
      </c>
      <c r="S131">
        <v>0.64959999999999996</v>
      </c>
      <c r="T131">
        <v>0.65480000000000005</v>
      </c>
      <c r="U131">
        <v>0.78559999999999997</v>
      </c>
      <c r="V131">
        <v>0.83169999999999999</v>
      </c>
      <c r="W131">
        <v>0.99180000000000001</v>
      </c>
      <c r="X131">
        <v>0.89580000000000004</v>
      </c>
      <c r="Y131">
        <v>0.83289999999999997</v>
      </c>
      <c r="Z131">
        <v>0.85540000000000005</v>
      </c>
      <c r="AA131">
        <v>0.72440000000000004</v>
      </c>
      <c r="AB131">
        <v>0.78639999999999999</v>
      </c>
      <c r="AC131">
        <v>0.77490000000000003</v>
      </c>
      <c r="AD131" t="s">
        <v>73</v>
      </c>
    </row>
    <row r="132" spans="1:30" x14ac:dyDescent="0.3">
      <c r="A132" t="s">
        <v>564</v>
      </c>
      <c r="B132" s="5" t="s">
        <v>565</v>
      </c>
      <c r="C132" t="s">
        <v>300</v>
      </c>
      <c r="D132" s="5" t="s">
        <v>301</v>
      </c>
      <c r="E132" t="s">
        <v>73</v>
      </c>
      <c r="F132" t="s">
        <v>73</v>
      </c>
      <c r="G132" t="s">
        <v>73</v>
      </c>
      <c r="H132" t="s">
        <v>73</v>
      </c>
      <c r="I132" t="s">
        <v>73</v>
      </c>
      <c r="J132" t="s">
        <v>73</v>
      </c>
      <c r="K132" t="s">
        <v>73</v>
      </c>
      <c r="L132" t="s">
        <v>73</v>
      </c>
      <c r="M132" t="s">
        <v>73</v>
      </c>
      <c r="N132" t="s">
        <v>73</v>
      </c>
      <c r="O132" t="s">
        <v>73</v>
      </c>
      <c r="P132" t="s">
        <v>73</v>
      </c>
      <c r="Q132" t="s">
        <v>73</v>
      </c>
      <c r="R132" t="s">
        <v>73</v>
      </c>
      <c r="S132" t="s">
        <v>73</v>
      </c>
      <c r="T132" t="s">
        <v>73</v>
      </c>
      <c r="U132" t="s">
        <v>73</v>
      </c>
      <c r="V132" t="s">
        <v>73</v>
      </c>
      <c r="W132" t="s">
        <v>73</v>
      </c>
      <c r="X132" t="s">
        <v>73</v>
      </c>
      <c r="Y132" t="s">
        <v>73</v>
      </c>
      <c r="Z132" t="s">
        <v>73</v>
      </c>
      <c r="AA132" t="s">
        <v>73</v>
      </c>
      <c r="AB132" t="s">
        <v>73</v>
      </c>
      <c r="AC132" t="s">
        <v>73</v>
      </c>
      <c r="AD132" t="s">
        <v>73</v>
      </c>
    </row>
    <row r="133" spans="1:30" x14ac:dyDescent="0.3">
      <c r="A133" t="s">
        <v>564</v>
      </c>
      <c r="B133" s="5" t="s">
        <v>565</v>
      </c>
      <c r="C133" t="s">
        <v>302</v>
      </c>
      <c r="D133" s="5" t="s">
        <v>303</v>
      </c>
      <c r="E133">
        <v>8.1501000000000001</v>
      </c>
      <c r="F133">
        <v>7.6193</v>
      </c>
      <c r="G133">
        <v>6.9494999999999996</v>
      </c>
      <c r="H133">
        <v>6.8449</v>
      </c>
      <c r="I133">
        <v>6.8155000000000001</v>
      </c>
      <c r="J133">
        <v>7.2152000000000003</v>
      </c>
      <c r="K133">
        <v>7.5960999999999999</v>
      </c>
      <c r="L133">
        <v>8.0731999999999999</v>
      </c>
      <c r="M133">
        <v>8.3011999999999997</v>
      </c>
      <c r="N133">
        <v>8.3910999999999998</v>
      </c>
      <c r="O133">
        <v>7.4476000000000004</v>
      </c>
      <c r="P133">
        <v>7.7861000000000002</v>
      </c>
      <c r="Q133">
        <v>8.2083999999999993</v>
      </c>
      <c r="R133">
        <v>8.6377000000000006</v>
      </c>
      <c r="S133">
        <v>9.3153000000000006</v>
      </c>
      <c r="T133">
        <v>9.7360000000000007</v>
      </c>
      <c r="U133">
        <v>10.224600000000001</v>
      </c>
      <c r="V133">
        <v>10.6631</v>
      </c>
      <c r="W133">
        <v>10.681100000000001</v>
      </c>
      <c r="X133">
        <v>11.1328</v>
      </c>
      <c r="Y133">
        <v>10.847799999999999</v>
      </c>
      <c r="Z133">
        <v>10.9718</v>
      </c>
      <c r="AA133">
        <v>11.4392</v>
      </c>
      <c r="AB133">
        <v>11.0601</v>
      </c>
      <c r="AC133">
        <v>11.1317</v>
      </c>
      <c r="AD133" t="s">
        <v>73</v>
      </c>
    </row>
    <row r="134" spans="1:30" x14ac:dyDescent="0.3">
      <c r="A134" t="s">
        <v>564</v>
      </c>
      <c r="B134" s="5" t="s">
        <v>565</v>
      </c>
      <c r="C134" t="s">
        <v>304</v>
      </c>
      <c r="D134" s="5" t="s">
        <v>305</v>
      </c>
      <c r="E134" t="s">
        <v>73</v>
      </c>
      <c r="F134" t="s">
        <v>73</v>
      </c>
      <c r="G134" t="s">
        <v>73</v>
      </c>
      <c r="H134" t="s">
        <v>73</v>
      </c>
      <c r="I134" t="s">
        <v>73</v>
      </c>
      <c r="J134" t="s">
        <v>73</v>
      </c>
      <c r="K134" t="s">
        <v>73</v>
      </c>
      <c r="L134" t="s">
        <v>73</v>
      </c>
      <c r="M134" t="s">
        <v>73</v>
      </c>
      <c r="N134" t="s">
        <v>73</v>
      </c>
      <c r="O134" t="s">
        <v>73</v>
      </c>
      <c r="P134" t="s">
        <v>73</v>
      </c>
      <c r="Q134" t="s">
        <v>73</v>
      </c>
      <c r="R134" t="s">
        <v>73</v>
      </c>
      <c r="S134" t="s">
        <v>73</v>
      </c>
      <c r="T134" t="s">
        <v>73</v>
      </c>
      <c r="U134" t="s">
        <v>73</v>
      </c>
      <c r="V134" t="s">
        <v>73</v>
      </c>
      <c r="W134" t="s">
        <v>73</v>
      </c>
      <c r="X134" t="s">
        <v>73</v>
      </c>
      <c r="Y134" t="s">
        <v>73</v>
      </c>
      <c r="Z134" t="s">
        <v>73</v>
      </c>
      <c r="AA134" t="s">
        <v>73</v>
      </c>
      <c r="AB134" t="s">
        <v>73</v>
      </c>
      <c r="AC134" t="s">
        <v>73</v>
      </c>
      <c r="AD134" t="s">
        <v>73</v>
      </c>
    </row>
    <row r="135" spans="1:30" x14ac:dyDescent="0.3">
      <c r="A135" t="s">
        <v>564</v>
      </c>
      <c r="B135" s="5" t="s">
        <v>565</v>
      </c>
      <c r="C135" t="s">
        <v>306</v>
      </c>
      <c r="D135" s="5" t="s">
        <v>307</v>
      </c>
      <c r="E135">
        <v>3.8138000000000001</v>
      </c>
      <c r="F135">
        <v>3.8496000000000001</v>
      </c>
      <c r="G135">
        <v>3.8420000000000001</v>
      </c>
      <c r="H135">
        <v>4.0149999999999997</v>
      </c>
      <c r="I135">
        <v>4.0762999999999998</v>
      </c>
      <c r="J135">
        <v>3.9857999999999998</v>
      </c>
      <c r="K135">
        <v>4.0872000000000002</v>
      </c>
      <c r="L135">
        <v>3.9693000000000001</v>
      </c>
      <c r="M135">
        <v>3.8717999999999999</v>
      </c>
      <c r="N135">
        <v>3.9571999999999998</v>
      </c>
      <c r="O135">
        <v>4.0503999999999998</v>
      </c>
      <c r="P135">
        <v>4.1988000000000003</v>
      </c>
      <c r="Q135">
        <v>4.2081</v>
      </c>
      <c r="R135">
        <v>4.4179000000000004</v>
      </c>
      <c r="S135">
        <v>4.4298999999999999</v>
      </c>
      <c r="T135">
        <v>4.375</v>
      </c>
      <c r="U135">
        <v>4.2636000000000003</v>
      </c>
      <c r="V135">
        <v>4.6745000000000001</v>
      </c>
      <c r="W135">
        <v>4.5575999999999999</v>
      </c>
      <c r="X135">
        <v>4.4223999999999997</v>
      </c>
      <c r="Y135">
        <v>4.4615999999999998</v>
      </c>
      <c r="Z135">
        <v>4.2313999999999998</v>
      </c>
      <c r="AA135">
        <v>4.2430000000000003</v>
      </c>
      <c r="AB135">
        <v>4.0191999999999997</v>
      </c>
      <c r="AC135">
        <v>3.8860000000000001</v>
      </c>
      <c r="AD135" t="s">
        <v>73</v>
      </c>
    </row>
    <row r="136" spans="1:30" x14ac:dyDescent="0.3">
      <c r="A136" t="s">
        <v>564</v>
      </c>
      <c r="B136" s="5" t="s">
        <v>565</v>
      </c>
      <c r="C136" t="s">
        <v>308</v>
      </c>
      <c r="D136" s="5" t="s">
        <v>309</v>
      </c>
      <c r="E136">
        <v>1.1775</v>
      </c>
      <c r="F136">
        <v>1.0213000000000001</v>
      </c>
      <c r="G136">
        <v>1.0803</v>
      </c>
      <c r="H136">
        <v>1.0761000000000001</v>
      </c>
      <c r="I136">
        <v>1.1493</v>
      </c>
      <c r="J136">
        <v>1.2264999999999999</v>
      </c>
      <c r="K136">
        <v>1.0362</v>
      </c>
      <c r="L136">
        <v>1.2061999999999999</v>
      </c>
      <c r="M136">
        <v>1.2642</v>
      </c>
      <c r="N136">
        <v>1.177</v>
      </c>
      <c r="O136">
        <v>1.1914</v>
      </c>
      <c r="P136">
        <v>1.2719</v>
      </c>
      <c r="Q136">
        <v>1.3677999999999999</v>
      </c>
      <c r="R136">
        <v>1.3734999999999999</v>
      </c>
      <c r="S136">
        <v>1.5009999999999999</v>
      </c>
      <c r="T136">
        <v>1.2756000000000001</v>
      </c>
      <c r="U136">
        <v>1.41</v>
      </c>
      <c r="V136">
        <v>1.3032999999999999</v>
      </c>
      <c r="W136">
        <v>1.5923</v>
      </c>
      <c r="X136">
        <v>1.4982</v>
      </c>
      <c r="Y136">
        <v>1.5065999999999999</v>
      </c>
      <c r="Z136">
        <v>1.5815999999999999</v>
      </c>
      <c r="AA136">
        <v>1.7742</v>
      </c>
      <c r="AB136">
        <v>1.7202</v>
      </c>
      <c r="AC136">
        <v>1.7297</v>
      </c>
      <c r="AD136" t="s">
        <v>73</v>
      </c>
    </row>
    <row r="137" spans="1:30" x14ac:dyDescent="0.3">
      <c r="A137" t="s">
        <v>564</v>
      </c>
      <c r="B137" s="5" t="s">
        <v>565</v>
      </c>
      <c r="C137" t="s">
        <v>310</v>
      </c>
      <c r="D137" s="5" t="s">
        <v>311</v>
      </c>
      <c r="E137">
        <v>8.3702000000000005</v>
      </c>
      <c r="F137">
        <v>8.2384000000000004</v>
      </c>
      <c r="G137">
        <v>8.8688000000000002</v>
      </c>
      <c r="H137">
        <v>9.2097999999999995</v>
      </c>
      <c r="I137">
        <v>9.2200000000000006</v>
      </c>
      <c r="J137">
        <v>9.6268999999999991</v>
      </c>
      <c r="K137">
        <v>10.0039</v>
      </c>
      <c r="L137">
        <v>10.216900000000001</v>
      </c>
      <c r="M137">
        <v>10.518599999999999</v>
      </c>
      <c r="N137">
        <v>10.754200000000001</v>
      </c>
      <c r="O137">
        <v>11.0969</v>
      </c>
      <c r="P137">
        <v>11.486000000000001</v>
      </c>
      <c r="Q137">
        <v>11.833500000000001</v>
      </c>
      <c r="R137">
        <v>12.4695</v>
      </c>
      <c r="S137">
        <v>13.0358</v>
      </c>
      <c r="T137">
        <v>13.482100000000001</v>
      </c>
      <c r="U137">
        <v>14.475899999999999</v>
      </c>
      <c r="V137">
        <v>16.398900000000001</v>
      </c>
      <c r="W137">
        <v>10.4863</v>
      </c>
      <c r="X137">
        <v>10.332100000000001</v>
      </c>
      <c r="Y137">
        <v>11.1265</v>
      </c>
      <c r="Z137">
        <v>10.4772</v>
      </c>
      <c r="AA137">
        <v>11.0579</v>
      </c>
      <c r="AB137">
        <v>10.8878</v>
      </c>
      <c r="AC137">
        <v>10.839</v>
      </c>
      <c r="AD137" t="s">
        <v>73</v>
      </c>
    </row>
    <row r="138" spans="1:30" x14ac:dyDescent="0.3">
      <c r="A138" t="s">
        <v>564</v>
      </c>
      <c r="B138" s="5" t="s">
        <v>565</v>
      </c>
      <c r="C138" t="s">
        <v>312</v>
      </c>
      <c r="D138" s="5" t="s">
        <v>313</v>
      </c>
      <c r="E138">
        <v>1.5738000000000001</v>
      </c>
      <c r="F138">
        <v>1.5570999999999999</v>
      </c>
      <c r="G138">
        <v>1.5122</v>
      </c>
      <c r="H138">
        <v>1.5243</v>
      </c>
      <c r="I138">
        <v>1.4910000000000001</v>
      </c>
      <c r="J138">
        <v>1.9154</v>
      </c>
      <c r="K138">
        <v>1.5365</v>
      </c>
      <c r="L138">
        <v>1.5109999999999999</v>
      </c>
      <c r="M138">
        <v>1.6144000000000001</v>
      </c>
      <c r="N138">
        <v>1.5791999999999999</v>
      </c>
      <c r="O138">
        <v>1.5566</v>
      </c>
      <c r="P138">
        <v>1.5383</v>
      </c>
      <c r="Q138">
        <v>1.8023</v>
      </c>
      <c r="R138">
        <v>1.6160000000000001</v>
      </c>
      <c r="S138">
        <v>1.7392000000000001</v>
      </c>
      <c r="T138">
        <v>1.6923999999999999</v>
      </c>
      <c r="U138">
        <v>1.8913</v>
      </c>
      <c r="V138">
        <v>1.7795000000000001</v>
      </c>
      <c r="W138">
        <v>1.7102999999999999</v>
      </c>
      <c r="X138">
        <v>1.6957</v>
      </c>
      <c r="Y138">
        <v>1.5205</v>
      </c>
      <c r="Z138">
        <v>1.7</v>
      </c>
      <c r="AA138">
        <v>1.738</v>
      </c>
      <c r="AB138">
        <v>2.1320000000000001</v>
      </c>
      <c r="AC138">
        <v>2.2159</v>
      </c>
      <c r="AD138" t="s">
        <v>73</v>
      </c>
    </row>
    <row r="139" spans="1:30" x14ac:dyDescent="0.3">
      <c r="A139" t="s">
        <v>564</v>
      </c>
      <c r="B139" s="5" t="s">
        <v>565</v>
      </c>
      <c r="C139" t="s">
        <v>314</v>
      </c>
      <c r="D139" s="5" t="s">
        <v>315</v>
      </c>
      <c r="E139">
        <v>2.0000000000000001E-4</v>
      </c>
      <c r="F139">
        <v>2.0000000000000001E-4</v>
      </c>
      <c r="G139">
        <v>2.0000000000000001E-4</v>
      </c>
      <c r="H139">
        <v>2.0000000000000001E-4</v>
      </c>
      <c r="I139">
        <v>2.0000000000000001E-4</v>
      </c>
      <c r="J139">
        <v>2.0000000000000001E-4</v>
      </c>
      <c r="K139">
        <v>2.0000000000000001E-4</v>
      </c>
      <c r="L139">
        <v>2.0000000000000001E-4</v>
      </c>
      <c r="M139">
        <v>2.0000000000000001E-4</v>
      </c>
      <c r="N139">
        <v>2.0000000000000001E-4</v>
      </c>
      <c r="O139">
        <v>2.0000000000000001E-4</v>
      </c>
      <c r="P139">
        <v>2.0000000000000001E-4</v>
      </c>
      <c r="Q139">
        <v>2.0000000000000001E-4</v>
      </c>
      <c r="R139">
        <v>2.0000000000000001E-4</v>
      </c>
      <c r="S139">
        <v>2.0000000000000001E-4</v>
      </c>
      <c r="T139">
        <v>2.0000000000000001E-4</v>
      </c>
      <c r="U139">
        <v>2.0000000000000001E-4</v>
      </c>
      <c r="V139">
        <v>2.0000000000000001E-4</v>
      </c>
      <c r="W139">
        <v>2.0000000000000001E-4</v>
      </c>
      <c r="X139">
        <v>2.0000000000000001E-4</v>
      </c>
      <c r="Y139">
        <v>2.0000000000000001E-4</v>
      </c>
      <c r="Z139">
        <v>2.0000000000000001E-4</v>
      </c>
      <c r="AA139">
        <v>2.0000000000000001E-4</v>
      </c>
      <c r="AB139">
        <v>2.0000000000000001E-4</v>
      </c>
      <c r="AC139">
        <v>2.0000000000000001E-4</v>
      </c>
      <c r="AD139" t="s">
        <v>73</v>
      </c>
    </row>
    <row r="140" spans="1:30" x14ac:dyDescent="0.3">
      <c r="A140" t="s">
        <v>564</v>
      </c>
      <c r="B140" s="5" t="s">
        <v>565</v>
      </c>
      <c r="C140" t="s">
        <v>316</v>
      </c>
      <c r="D140" s="5" t="s">
        <v>317</v>
      </c>
      <c r="E140">
        <v>2.9062000000000001</v>
      </c>
      <c r="F140">
        <v>2.9255</v>
      </c>
      <c r="G140">
        <v>2.9626999999999999</v>
      </c>
      <c r="H140">
        <v>3.0217000000000001</v>
      </c>
      <c r="I140">
        <v>2.8851</v>
      </c>
      <c r="J140">
        <v>2.8506999999999998</v>
      </c>
      <c r="K140">
        <v>2.8902999999999999</v>
      </c>
      <c r="L140">
        <v>2.9790999999999999</v>
      </c>
      <c r="M140">
        <v>3.0569999999999999</v>
      </c>
      <c r="N140">
        <v>3.1162000000000001</v>
      </c>
      <c r="O140">
        <v>3.2322000000000002</v>
      </c>
      <c r="P140">
        <v>3.3746</v>
      </c>
      <c r="Q140">
        <v>3.6623000000000001</v>
      </c>
      <c r="R140">
        <v>3.9491000000000001</v>
      </c>
      <c r="S140">
        <v>3.8681999999999999</v>
      </c>
      <c r="T140">
        <v>3.9815</v>
      </c>
      <c r="U140">
        <v>4.0753000000000004</v>
      </c>
      <c r="V140">
        <v>4.1531000000000002</v>
      </c>
      <c r="W140">
        <v>4.3381999999999996</v>
      </c>
      <c r="X140">
        <v>4.4280999999999997</v>
      </c>
      <c r="Y140">
        <v>4.3044000000000002</v>
      </c>
      <c r="Z140">
        <v>4.5191999999999997</v>
      </c>
      <c r="AA140">
        <v>4.1193</v>
      </c>
      <c r="AB140">
        <v>3.4771000000000001</v>
      </c>
      <c r="AC140">
        <v>3.3327</v>
      </c>
      <c r="AD140" t="s">
        <v>73</v>
      </c>
    </row>
    <row r="141" spans="1:30" x14ac:dyDescent="0.3">
      <c r="A141" t="s">
        <v>564</v>
      </c>
      <c r="B141" s="5" t="s">
        <v>565</v>
      </c>
      <c r="C141" t="s">
        <v>30</v>
      </c>
      <c r="D141" s="5" t="s">
        <v>318</v>
      </c>
      <c r="E141">
        <v>6.3883999999999999</v>
      </c>
      <c r="F141">
        <v>6.3162000000000003</v>
      </c>
      <c r="G141">
        <v>6.1207000000000003</v>
      </c>
      <c r="H141">
        <v>5.9179000000000004</v>
      </c>
      <c r="I141">
        <v>5.8898000000000001</v>
      </c>
      <c r="J141">
        <v>5.8971</v>
      </c>
      <c r="K141">
        <v>5.8357999999999999</v>
      </c>
      <c r="L141">
        <v>5.9358000000000004</v>
      </c>
      <c r="M141">
        <v>5.9741999999999997</v>
      </c>
      <c r="N141">
        <v>5.9378000000000002</v>
      </c>
      <c r="O141">
        <v>5.9596999999999998</v>
      </c>
      <c r="P141">
        <v>5.7477999999999998</v>
      </c>
      <c r="Q141">
        <v>5.7236000000000002</v>
      </c>
      <c r="R141">
        <v>5.7685000000000004</v>
      </c>
      <c r="S141">
        <v>5.7911999999999999</v>
      </c>
      <c r="T141">
        <v>5.9950999999999999</v>
      </c>
      <c r="U141">
        <v>6.0137</v>
      </c>
      <c r="V141">
        <v>5.7838000000000003</v>
      </c>
      <c r="W141">
        <v>5.5022000000000002</v>
      </c>
      <c r="X141">
        <v>5.5884</v>
      </c>
      <c r="Y141">
        <v>5.6035000000000004</v>
      </c>
      <c r="Z141">
        <v>5.4314</v>
      </c>
      <c r="AA141">
        <v>5.4194000000000004</v>
      </c>
      <c r="AB141">
        <v>5.3590999999999998</v>
      </c>
      <c r="AC141">
        <v>5.3288000000000002</v>
      </c>
      <c r="AD141" t="s">
        <v>73</v>
      </c>
    </row>
    <row r="142" spans="1:30" x14ac:dyDescent="0.3">
      <c r="A142" t="s">
        <v>564</v>
      </c>
      <c r="B142" s="5" t="s">
        <v>565</v>
      </c>
      <c r="C142" t="s">
        <v>319</v>
      </c>
      <c r="D142" s="5" t="s">
        <v>320</v>
      </c>
      <c r="E142">
        <v>5.9299999999999999E-2</v>
      </c>
      <c r="F142">
        <v>5.8900000000000001E-2</v>
      </c>
      <c r="G142">
        <v>5.9499999999999997E-2</v>
      </c>
      <c r="H142">
        <v>6.0199999999999997E-2</v>
      </c>
      <c r="I142">
        <v>6.08E-2</v>
      </c>
      <c r="J142">
        <v>5.5E-2</v>
      </c>
      <c r="K142">
        <v>4.9700000000000001E-2</v>
      </c>
      <c r="L142">
        <v>5.1400000000000001E-2</v>
      </c>
      <c r="M142">
        <v>5.16E-2</v>
      </c>
      <c r="N142">
        <v>5.0999999999999997E-2</v>
      </c>
      <c r="O142">
        <v>5.1299999999999998E-2</v>
      </c>
      <c r="P142">
        <v>5.0799999999999998E-2</v>
      </c>
      <c r="Q142">
        <v>4.7500000000000001E-2</v>
      </c>
      <c r="R142">
        <v>5.0999999999999997E-2</v>
      </c>
      <c r="S142">
        <v>5.16E-2</v>
      </c>
      <c r="T142">
        <v>5.04E-2</v>
      </c>
      <c r="U142">
        <v>4.8599999999999997E-2</v>
      </c>
      <c r="V142">
        <v>4.7500000000000001E-2</v>
      </c>
      <c r="W142">
        <v>4.6800000000000001E-2</v>
      </c>
      <c r="X142">
        <v>4.7100000000000003E-2</v>
      </c>
      <c r="Y142">
        <v>4.6800000000000001E-2</v>
      </c>
      <c r="Z142">
        <v>4.6199999999999998E-2</v>
      </c>
      <c r="AA142">
        <v>4.5600000000000002E-2</v>
      </c>
      <c r="AB142">
        <v>4.5600000000000002E-2</v>
      </c>
      <c r="AC142">
        <v>4.5400000000000003E-2</v>
      </c>
      <c r="AD142" t="s">
        <v>73</v>
      </c>
    </row>
    <row r="143" spans="1:30" x14ac:dyDescent="0.3">
      <c r="A143" t="s">
        <v>564</v>
      </c>
      <c r="B143" s="5" t="s">
        <v>565</v>
      </c>
      <c r="C143" t="s">
        <v>51</v>
      </c>
      <c r="D143" s="5" t="s">
        <v>321</v>
      </c>
      <c r="E143">
        <v>9.2108000000000008</v>
      </c>
      <c r="F143">
        <v>9.4619</v>
      </c>
      <c r="G143">
        <v>9.9670000000000005</v>
      </c>
      <c r="H143">
        <v>10.149800000000001</v>
      </c>
      <c r="I143">
        <v>10.369</v>
      </c>
      <c r="J143">
        <v>9.9939999999999998</v>
      </c>
      <c r="K143">
        <v>10.0032</v>
      </c>
      <c r="L143">
        <v>10.092499999999999</v>
      </c>
      <c r="M143">
        <v>9.7025000000000006</v>
      </c>
      <c r="N143">
        <v>9.9628999999999994</v>
      </c>
      <c r="O143">
        <v>10.1609</v>
      </c>
      <c r="P143">
        <v>10.173500000000001</v>
      </c>
      <c r="Q143">
        <v>10.3347</v>
      </c>
      <c r="R143">
        <v>10.470800000000001</v>
      </c>
      <c r="S143">
        <v>10.6639</v>
      </c>
      <c r="T143">
        <v>10.437900000000001</v>
      </c>
      <c r="U143">
        <v>10.5137</v>
      </c>
      <c r="V143">
        <v>10.5541</v>
      </c>
      <c r="W143">
        <v>10.4697</v>
      </c>
      <c r="X143">
        <v>10.532299999999999</v>
      </c>
      <c r="Y143">
        <v>10.2897</v>
      </c>
      <c r="Z143">
        <v>10.0684</v>
      </c>
      <c r="AA143">
        <v>9.8148</v>
      </c>
      <c r="AB143">
        <v>9.4417000000000009</v>
      </c>
      <c r="AC143">
        <v>9.3277999999999999</v>
      </c>
      <c r="AD143" t="s">
        <v>73</v>
      </c>
    </row>
    <row r="144" spans="1:30" x14ac:dyDescent="0.3">
      <c r="A144" t="s">
        <v>564</v>
      </c>
      <c r="B144" s="5" t="s">
        <v>565</v>
      </c>
      <c r="C144" t="s">
        <v>322</v>
      </c>
      <c r="D144" s="5" t="s">
        <v>323</v>
      </c>
      <c r="E144">
        <v>1.347</v>
      </c>
      <c r="F144">
        <v>1.3434999999999999</v>
      </c>
      <c r="G144">
        <v>1.3752</v>
      </c>
      <c r="H144">
        <v>1.4751000000000001</v>
      </c>
      <c r="I144">
        <v>1.4496</v>
      </c>
      <c r="J144">
        <v>1.4462999999999999</v>
      </c>
      <c r="K144">
        <v>1.5871999999999999</v>
      </c>
      <c r="L144">
        <v>1.6612</v>
      </c>
      <c r="M144">
        <v>1.6348</v>
      </c>
      <c r="N144">
        <v>1.6583000000000001</v>
      </c>
      <c r="O144">
        <v>1.7506999999999999</v>
      </c>
      <c r="P144">
        <v>1.8105</v>
      </c>
      <c r="Q144">
        <v>1.972</v>
      </c>
      <c r="R144">
        <v>1.9419999999999999</v>
      </c>
      <c r="S144">
        <v>1.9912000000000001</v>
      </c>
      <c r="T144">
        <v>2.2244000000000002</v>
      </c>
      <c r="U144">
        <v>2.2121</v>
      </c>
      <c r="V144">
        <v>2.3184999999999998</v>
      </c>
      <c r="W144">
        <v>2.1044999999999998</v>
      </c>
      <c r="X144">
        <v>2.1934</v>
      </c>
      <c r="Y144">
        <v>2.3833000000000002</v>
      </c>
      <c r="Z144">
        <v>2.367</v>
      </c>
      <c r="AA144">
        <v>2.3643000000000001</v>
      </c>
      <c r="AB144">
        <v>2.3167</v>
      </c>
      <c r="AC144">
        <v>2.2999000000000001</v>
      </c>
      <c r="AD144" t="s">
        <v>73</v>
      </c>
    </row>
    <row r="145" spans="1:30" x14ac:dyDescent="0.3">
      <c r="A145" t="s">
        <v>564</v>
      </c>
      <c r="B145" s="5" t="s">
        <v>565</v>
      </c>
      <c r="C145" t="s">
        <v>324</v>
      </c>
      <c r="D145" s="5" t="s">
        <v>325</v>
      </c>
      <c r="E145">
        <v>3.5811000000000002</v>
      </c>
      <c r="F145">
        <v>3.7677999999999998</v>
      </c>
      <c r="G145">
        <v>3.9430999999999998</v>
      </c>
      <c r="H145">
        <v>4.1184000000000003</v>
      </c>
      <c r="I145">
        <v>4.2930000000000001</v>
      </c>
      <c r="J145">
        <v>4.5061</v>
      </c>
      <c r="K145">
        <v>4.6986999999999997</v>
      </c>
      <c r="L145">
        <v>4.9276</v>
      </c>
      <c r="M145">
        <v>5.1864999999999997</v>
      </c>
      <c r="N145">
        <v>5.4096000000000002</v>
      </c>
      <c r="O145">
        <v>5.2887000000000004</v>
      </c>
      <c r="P145">
        <v>5.5132000000000003</v>
      </c>
      <c r="Q145">
        <v>5.8019999999999996</v>
      </c>
      <c r="R145">
        <v>6.1121999999999996</v>
      </c>
      <c r="S145">
        <v>6.4192999999999998</v>
      </c>
      <c r="T145">
        <v>6.7125000000000004</v>
      </c>
      <c r="U145">
        <v>7.0594999999999999</v>
      </c>
      <c r="V145">
        <v>7.4227999999999996</v>
      </c>
      <c r="W145">
        <v>7.8013000000000003</v>
      </c>
      <c r="X145">
        <v>8.1843000000000004</v>
      </c>
      <c r="Y145">
        <v>8.6036999999999999</v>
      </c>
      <c r="Z145">
        <v>8.9728999999999992</v>
      </c>
      <c r="AA145">
        <v>9.4512</v>
      </c>
      <c r="AB145">
        <v>9.0660000000000007</v>
      </c>
      <c r="AC145">
        <v>9.3260000000000005</v>
      </c>
      <c r="AD145" t="s">
        <v>73</v>
      </c>
    </row>
    <row r="146" spans="1:30" x14ac:dyDescent="0.3">
      <c r="A146" t="s">
        <v>564</v>
      </c>
      <c r="B146" s="5" t="s">
        <v>565</v>
      </c>
      <c r="C146" t="s">
        <v>326</v>
      </c>
      <c r="D146" s="5" t="s">
        <v>327</v>
      </c>
      <c r="E146">
        <v>12.0877</v>
      </c>
      <c r="F146">
        <v>12.654299999999999</v>
      </c>
      <c r="G146">
        <v>12.6839</v>
      </c>
      <c r="H146">
        <v>13.012499999999999</v>
      </c>
      <c r="I146">
        <v>13.227399999999999</v>
      </c>
      <c r="J146">
        <v>13.676399999999999</v>
      </c>
      <c r="K146">
        <v>14.032999999999999</v>
      </c>
      <c r="L146">
        <v>14.1761</v>
      </c>
      <c r="M146">
        <v>15.5997</v>
      </c>
      <c r="N146">
        <v>15.417199999999999</v>
      </c>
      <c r="O146">
        <v>16.664000000000001</v>
      </c>
      <c r="P146">
        <v>17.330500000000001</v>
      </c>
      <c r="Q146">
        <v>17.3643</v>
      </c>
      <c r="R146">
        <v>18.547799999999999</v>
      </c>
      <c r="S146">
        <v>18.152699999999999</v>
      </c>
      <c r="T146">
        <v>18.0396</v>
      </c>
      <c r="U146">
        <v>18.7623</v>
      </c>
      <c r="V146">
        <v>20.072600000000001</v>
      </c>
      <c r="W146">
        <v>20.353100000000001</v>
      </c>
      <c r="X146">
        <v>20.5456</v>
      </c>
      <c r="Y146">
        <v>21.4802</v>
      </c>
      <c r="Z146">
        <v>22.884</v>
      </c>
      <c r="AA146">
        <v>22.247599999999998</v>
      </c>
      <c r="AB146">
        <v>22.488199999999999</v>
      </c>
      <c r="AC146">
        <v>22.9482</v>
      </c>
      <c r="AD146" t="s">
        <v>73</v>
      </c>
    </row>
    <row r="147" spans="1:30" x14ac:dyDescent="0.3">
      <c r="A147" t="s">
        <v>564</v>
      </c>
      <c r="B147" s="5" t="s">
        <v>565</v>
      </c>
      <c r="C147" t="s">
        <v>328</v>
      </c>
      <c r="D147" s="5" t="s">
        <v>329</v>
      </c>
      <c r="E147">
        <v>0.37569999999999998</v>
      </c>
      <c r="F147">
        <v>0.34310000000000002</v>
      </c>
      <c r="G147">
        <v>0.34960000000000002</v>
      </c>
      <c r="H147">
        <v>0.33</v>
      </c>
      <c r="I147">
        <v>0.36959999999999998</v>
      </c>
      <c r="J147">
        <v>0.35599999999999998</v>
      </c>
      <c r="K147">
        <v>0.3493</v>
      </c>
      <c r="L147">
        <v>0.3367</v>
      </c>
      <c r="M147">
        <v>0.3362</v>
      </c>
      <c r="N147">
        <v>0.30790000000000001</v>
      </c>
      <c r="O147">
        <v>0.32600000000000001</v>
      </c>
      <c r="P147">
        <v>0.3286</v>
      </c>
      <c r="Q147">
        <v>0.31140000000000001</v>
      </c>
      <c r="R147">
        <v>0.30059999999999998</v>
      </c>
      <c r="S147">
        <v>0.308</v>
      </c>
      <c r="T147">
        <v>0.29620000000000002</v>
      </c>
      <c r="U147">
        <v>0.30880000000000002</v>
      </c>
      <c r="V147">
        <v>0.30790000000000001</v>
      </c>
      <c r="W147">
        <v>0.29630000000000001</v>
      </c>
      <c r="X147">
        <v>0.27889999999999998</v>
      </c>
      <c r="Y147">
        <v>0.3075</v>
      </c>
      <c r="Z147">
        <v>0.25280000000000002</v>
      </c>
      <c r="AA147">
        <v>0.2402</v>
      </c>
      <c r="AB147">
        <v>0.2223</v>
      </c>
      <c r="AC147">
        <v>0.20799999999999999</v>
      </c>
      <c r="AD147" t="s">
        <v>73</v>
      </c>
    </row>
    <row r="148" spans="1:30" x14ac:dyDescent="0.3">
      <c r="A148" t="s">
        <v>564</v>
      </c>
      <c r="B148" s="5" t="s">
        <v>565</v>
      </c>
      <c r="C148" t="s">
        <v>330</v>
      </c>
      <c r="D148" s="5" t="s">
        <v>331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73</v>
      </c>
      <c r="AD148" t="s">
        <v>73</v>
      </c>
    </row>
    <row r="149" spans="1:30" x14ac:dyDescent="0.3">
      <c r="A149" t="s">
        <v>564</v>
      </c>
      <c r="B149" s="5" t="s">
        <v>565</v>
      </c>
      <c r="C149" t="s">
        <v>31</v>
      </c>
      <c r="D149" s="5" t="s">
        <v>332</v>
      </c>
      <c r="E149">
        <v>2.2551999999999999</v>
      </c>
      <c r="F149">
        <v>2.2168999999999999</v>
      </c>
      <c r="G149">
        <v>2.2345000000000002</v>
      </c>
      <c r="H149">
        <v>2.2648999999999999</v>
      </c>
      <c r="I149">
        <v>2.2825000000000002</v>
      </c>
      <c r="J149">
        <v>2.2675000000000001</v>
      </c>
      <c r="K149">
        <v>2.2742</v>
      </c>
      <c r="L149">
        <v>2.2900999999999998</v>
      </c>
      <c r="M149">
        <v>2.1385000000000001</v>
      </c>
      <c r="N149">
        <v>2.1389</v>
      </c>
      <c r="O149">
        <v>2.2273999999999998</v>
      </c>
      <c r="P149">
        <v>2.2061999999999999</v>
      </c>
      <c r="Q149">
        <v>2.2296999999999998</v>
      </c>
      <c r="R149">
        <v>2.2511000000000001</v>
      </c>
      <c r="S149">
        <v>2.2692999999999999</v>
      </c>
      <c r="T149">
        <v>2.2753999999999999</v>
      </c>
      <c r="U149">
        <v>2.2816000000000001</v>
      </c>
      <c r="V149">
        <v>2.2955999999999999</v>
      </c>
      <c r="W149">
        <v>2.2909999999999999</v>
      </c>
      <c r="X149">
        <v>2.2961999999999998</v>
      </c>
      <c r="Y149">
        <v>2.3008000000000002</v>
      </c>
      <c r="Z149">
        <v>2.2791999999999999</v>
      </c>
      <c r="AA149">
        <v>2.2747000000000002</v>
      </c>
      <c r="AB149">
        <v>2.2389000000000001</v>
      </c>
      <c r="AC149">
        <v>2.234</v>
      </c>
      <c r="AD149" t="s">
        <v>73</v>
      </c>
    </row>
    <row r="150" spans="1:30" x14ac:dyDescent="0.3">
      <c r="A150" t="s">
        <v>564</v>
      </c>
      <c r="B150" s="5" t="s">
        <v>565</v>
      </c>
      <c r="C150" t="s">
        <v>333</v>
      </c>
      <c r="D150" s="5" t="s">
        <v>334</v>
      </c>
      <c r="E150">
        <v>0.25140000000000001</v>
      </c>
      <c r="F150">
        <v>0.26029999999999998</v>
      </c>
      <c r="G150">
        <v>0.26479999999999998</v>
      </c>
      <c r="H150">
        <v>0.27539999999999998</v>
      </c>
      <c r="I150">
        <v>0.28249999999999997</v>
      </c>
      <c r="J150">
        <v>0.30630000000000002</v>
      </c>
      <c r="K150">
        <v>0.3125</v>
      </c>
      <c r="L150">
        <v>0.3196</v>
      </c>
      <c r="M150">
        <v>0.32450000000000001</v>
      </c>
      <c r="N150">
        <v>0.33110000000000001</v>
      </c>
      <c r="O150">
        <v>0.34300000000000003</v>
      </c>
      <c r="P150">
        <v>0.35020000000000001</v>
      </c>
      <c r="Q150">
        <v>0.35649999999999998</v>
      </c>
      <c r="R150">
        <v>0.41089999999999999</v>
      </c>
      <c r="S150">
        <v>0.41539999999999999</v>
      </c>
      <c r="T150">
        <v>0.42449999999999999</v>
      </c>
      <c r="U150">
        <v>0.43240000000000001</v>
      </c>
      <c r="V150">
        <v>0.44090000000000001</v>
      </c>
      <c r="W150">
        <v>0.44990000000000002</v>
      </c>
      <c r="X150">
        <v>0.4587</v>
      </c>
      <c r="Y150">
        <v>0.47149999999999997</v>
      </c>
      <c r="Z150">
        <v>0.47920000000000001</v>
      </c>
      <c r="AA150">
        <v>0.49080000000000001</v>
      </c>
      <c r="AB150">
        <v>0.50009999999999999</v>
      </c>
      <c r="AC150">
        <v>0.5101</v>
      </c>
      <c r="AD150" t="s">
        <v>73</v>
      </c>
    </row>
    <row r="151" spans="1:30" x14ac:dyDescent="0.3">
      <c r="A151" t="s">
        <v>564</v>
      </c>
      <c r="B151" s="5" t="s">
        <v>565</v>
      </c>
      <c r="C151" t="s">
        <v>335</v>
      </c>
      <c r="D151" s="5" t="s">
        <v>336</v>
      </c>
      <c r="E151">
        <v>26.956800000000001</v>
      </c>
      <c r="F151">
        <v>27.3582</v>
      </c>
      <c r="G151">
        <v>28.096499999999999</v>
      </c>
      <c r="H151">
        <v>29.4983</v>
      </c>
      <c r="I151">
        <v>31.243600000000001</v>
      </c>
      <c r="J151">
        <v>32.466500000000003</v>
      </c>
      <c r="K151">
        <v>32.190100000000001</v>
      </c>
      <c r="L151">
        <v>34.334600000000002</v>
      </c>
      <c r="M151">
        <v>35.464300000000001</v>
      </c>
      <c r="N151">
        <v>38.413699999999999</v>
      </c>
      <c r="O151">
        <v>36.908000000000001</v>
      </c>
      <c r="P151">
        <v>38.311300000000003</v>
      </c>
      <c r="Q151">
        <v>37.071399999999997</v>
      </c>
      <c r="R151">
        <v>39.447600000000001</v>
      </c>
      <c r="S151">
        <v>40.909399999999998</v>
      </c>
      <c r="T151">
        <v>38.303699999999999</v>
      </c>
      <c r="U151">
        <v>44.529000000000003</v>
      </c>
      <c r="V151">
        <v>43.9191</v>
      </c>
      <c r="W151">
        <v>44.639499999999998</v>
      </c>
      <c r="X151">
        <v>45.574399999999997</v>
      </c>
      <c r="Y151">
        <v>48.052500000000002</v>
      </c>
      <c r="Z151">
        <v>49.415799999999997</v>
      </c>
      <c r="AA151">
        <v>49.641300000000001</v>
      </c>
      <c r="AB151">
        <v>50.955500000000001</v>
      </c>
      <c r="AC151">
        <v>52.228200000000001</v>
      </c>
      <c r="AD151" t="s">
        <v>73</v>
      </c>
    </row>
    <row r="152" spans="1:30" x14ac:dyDescent="0.3">
      <c r="A152" t="s">
        <v>564</v>
      </c>
      <c r="B152" s="5" t="s">
        <v>565</v>
      </c>
      <c r="C152" t="s">
        <v>337</v>
      </c>
      <c r="D152" s="5" t="s">
        <v>338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73</v>
      </c>
      <c r="AD152" t="s">
        <v>73</v>
      </c>
    </row>
    <row r="153" spans="1:30" x14ac:dyDescent="0.3">
      <c r="A153" t="s">
        <v>564</v>
      </c>
      <c r="B153" s="5" t="s">
        <v>565</v>
      </c>
      <c r="C153" t="s">
        <v>339</v>
      </c>
      <c r="D153" s="5" t="s">
        <v>340</v>
      </c>
      <c r="E153">
        <v>0.65739999999999998</v>
      </c>
      <c r="F153">
        <v>0.72799999999999998</v>
      </c>
      <c r="G153">
        <v>0.73270000000000002</v>
      </c>
      <c r="H153">
        <v>0.7228</v>
      </c>
      <c r="I153">
        <v>0.71240000000000003</v>
      </c>
      <c r="J153">
        <v>0.74070000000000003</v>
      </c>
      <c r="K153">
        <v>0.73780000000000001</v>
      </c>
      <c r="L153">
        <v>0.73370000000000002</v>
      </c>
      <c r="M153">
        <v>0.76570000000000005</v>
      </c>
      <c r="N153">
        <v>0.76149999999999995</v>
      </c>
      <c r="O153">
        <v>0.77059999999999995</v>
      </c>
      <c r="P153">
        <v>0.81369999999999998</v>
      </c>
      <c r="Q153">
        <v>0.81459999999999999</v>
      </c>
      <c r="R153">
        <v>0.81689999999999996</v>
      </c>
      <c r="S153">
        <v>0.78890000000000005</v>
      </c>
      <c r="T153">
        <v>0.75970000000000004</v>
      </c>
      <c r="U153">
        <v>0.77100000000000002</v>
      </c>
      <c r="V153">
        <v>0.76380000000000003</v>
      </c>
      <c r="W153">
        <v>0.77470000000000006</v>
      </c>
      <c r="X153">
        <v>0.75429999999999997</v>
      </c>
      <c r="Y153">
        <v>0.75409999999999999</v>
      </c>
      <c r="Z153">
        <v>0.76500000000000001</v>
      </c>
      <c r="AA153">
        <v>0.77149999999999996</v>
      </c>
      <c r="AB153">
        <v>0.77349999999999997</v>
      </c>
      <c r="AC153">
        <v>0.77359999999999995</v>
      </c>
      <c r="AD153" t="s">
        <v>73</v>
      </c>
    </row>
    <row r="154" spans="1:30" x14ac:dyDescent="0.3">
      <c r="A154" t="s">
        <v>564</v>
      </c>
      <c r="B154" s="5" t="s">
        <v>565</v>
      </c>
      <c r="C154" t="s">
        <v>341</v>
      </c>
      <c r="D154" s="5" t="s">
        <v>342</v>
      </c>
      <c r="E154">
        <v>1.2393000000000001</v>
      </c>
      <c r="F154">
        <v>1.2625</v>
      </c>
      <c r="G154">
        <v>1.2787999999999999</v>
      </c>
      <c r="H154">
        <v>1.2727999999999999</v>
      </c>
      <c r="I154">
        <v>1.2775000000000001</v>
      </c>
      <c r="J154">
        <v>1.2685</v>
      </c>
      <c r="K154">
        <v>1.2591000000000001</v>
      </c>
      <c r="L154">
        <v>1.2558</v>
      </c>
      <c r="M154">
        <v>1.2370000000000001</v>
      </c>
      <c r="N154">
        <v>1.2335</v>
      </c>
      <c r="O154">
        <v>1.2343999999999999</v>
      </c>
      <c r="P154">
        <v>1.2381</v>
      </c>
      <c r="Q154">
        <v>1.2413000000000001</v>
      </c>
      <c r="R154">
        <v>1.2363999999999999</v>
      </c>
      <c r="S154">
        <v>1.2323</v>
      </c>
      <c r="T154">
        <v>1.2333000000000001</v>
      </c>
      <c r="U154">
        <v>1.2291000000000001</v>
      </c>
      <c r="V154">
        <v>1.2297</v>
      </c>
      <c r="W154">
        <v>1.2363</v>
      </c>
      <c r="X154">
        <v>1.248</v>
      </c>
      <c r="Y154">
        <v>1.2597</v>
      </c>
      <c r="Z154">
        <v>1.2685999999999999</v>
      </c>
      <c r="AA154">
        <v>1.2764</v>
      </c>
      <c r="AB154">
        <v>1.2779</v>
      </c>
      <c r="AC154">
        <v>1.2877000000000001</v>
      </c>
      <c r="AD154" t="s">
        <v>73</v>
      </c>
    </row>
    <row r="155" spans="1:30" x14ac:dyDescent="0.3">
      <c r="A155" t="s">
        <v>564</v>
      </c>
      <c r="B155" s="5" t="s">
        <v>565</v>
      </c>
      <c r="C155" t="s">
        <v>343</v>
      </c>
      <c r="D155" s="5" t="s">
        <v>344</v>
      </c>
      <c r="E155">
        <v>3.7187000000000001</v>
      </c>
      <c r="F155">
        <v>3.8189000000000002</v>
      </c>
      <c r="G155">
        <v>3.5514000000000001</v>
      </c>
      <c r="H155">
        <v>3.8917000000000002</v>
      </c>
      <c r="I155">
        <v>3.7463000000000002</v>
      </c>
      <c r="J155">
        <v>3.8068</v>
      </c>
      <c r="K155">
        <v>3.8506</v>
      </c>
      <c r="L155">
        <v>4.0879000000000003</v>
      </c>
      <c r="M155">
        <v>4.069</v>
      </c>
      <c r="N155">
        <v>4.5301999999999998</v>
      </c>
      <c r="O155">
        <v>4.9584999999999999</v>
      </c>
      <c r="P155">
        <v>5.1467999999999998</v>
      </c>
      <c r="Q155">
        <v>5.2972999999999999</v>
      </c>
      <c r="R155">
        <v>5.7446999999999999</v>
      </c>
      <c r="S155">
        <v>6.1717000000000004</v>
      </c>
      <c r="T155">
        <v>5.9781000000000004</v>
      </c>
      <c r="U155">
        <v>5.8093000000000004</v>
      </c>
      <c r="V155">
        <v>5.8634000000000004</v>
      </c>
      <c r="W155">
        <v>5.7934000000000001</v>
      </c>
      <c r="X155">
        <v>5.8040000000000003</v>
      </c>
      <c r="Y155">
        <v>6.0362999999999998</v>
      </c>
      <c r="Z155">
        <v>5.9908999999999999</v>
      </c>
      <c r="AA155">
        <v>5.4751000000000003</v>
      </c>
      <c r="AB155">
        <v>5.6143000000000001</v>
      </c>
      <c r="AC155">
        <v>5.6462000000000003</v>
      </c>
      <c r="AD155" t="s">
        <v>73</v>
      </c>
    </row>
    <row r="156" spans="1:30" x14ac:dyDescent="0.3">
      <c r="A156" t="s">
        <v>564</v>
      </c>
      <c r="B156" s="5" t="s">
        <v>565</v>
      </c>
      <c r="C156" t="s">
        <v>345</v>
      </c>
      <c r="D156" s="5" t="s">
        <v>346</v>
      </c>
      <c r="E156">
        <v>4.5072000000000001</v>
      </c>
      <c r="F156">
        <v>4.4911000000000003</v>
      </c>
      <c r="G156">
        <v>4.6768000000000001</v>
      </c>
      <c r="H156">
        <v>4.7693000000000003</v>
      </c>
      <c r="I156">
        <v>4.6966999999999999</v>
      </c>
      <c r="J156">
        <v>4.8185000000000002</v>
      </c>
      <c r="K156">
        <v>4.8765000000000001</v>
      </c>
      <c r="L156">
        <v>4.9504000000000001</v>
      </c>
      <c r="M156">
        <v>4.9469000000000003</v>
      </c>
      <c r="N156">
        <v>5.0254000000000003</v>
      </c>
      <c r="O156">
        <v>5.0632999999999999</v>
      </c>
      <c r="P156">
        <v>5.1631</v>
      </c>
      <c r="Q156">
        <v>5.1197999999999997</v>
      </c>
      <c r="R156">
        <v>5.8246000000000002</v>
      </c>
      <c r="S156">
        <v>5.6223000000000001</v>
      </c>
      <c r="T156">
        <v>5.8384</v>
      </c>
      <c r="U156">
        <v>5.4996999999999998</v>
      </c>
      <c r="V156">
        <v>5.7968999999999999</v>
      </c>
      <c r="W156">
        <v>5.4364999999999997</v>
      </c>
      <c r="X156">
        <v>6.2342000000000004</v>
      </c>
      <c r="Y156">
        <v>5.8738999999999999</v>
      </c>
      <c r="Z156">
        <v>6.4100999999999999</v>
      </c>
      <c r="AA156">
        <v>5.8806000000000003</v>
      </c>
      <c r="AB156">
        <v>5.8647999999999998</v>
      </c>
      <c r="AC156">
        <v>5.8799000000000001</v>
      </c>
      <c r="AD156" t="s">
        <v>73</v>
      </c>
    </row>
    <row r="157" spans="1:30" x14ac:dyDescent="0.3">
      <c r="A157" t="s">
        <v>564</v>
      </c>
      <c r="B157" s="5" t="s">
        <v>565</v>
      </c>
      <c r="C157" t="s">
        <v>347</v>
      </c>
      <c r="D157" s="5" t="s">
        <v>348</v>
      </c>
      <c r="E157">
        <v>7.4646999999999997</v>
      </c>
      <c r="F157">
        <v>7.6199000000000003</v>
      </c>
      <c r="G157">
        <v>7.5861000000000001</v>
      </c>
      <c r="H157">
        <v>7.7507000000000001</v>
      </c>
      <c r="I157">
        <v>7.9192999999999998</v>
      </c>
      <c r="J157">
        <v>7.9753999999999996</v>
      </c>
      <c r="K157">
        <v>7.6784999999999997</v>
      </c>
      <c r="L157">
        <v>8.0530000000000008</v>
      </c>
      <c r="M157">
        <v>7.7289000000000003</v>
      </c>
      <c r="N157">
        <v>7.8110999999999997</v>
      </c>
      <c r="O157">
        <v>7.5629</v>
      </c>
      <c r="P157">
        <v>7.5568999999999997</v>
      </c>
      <c r="Q157">
        <v>7.6281999999999996</v>
      </c>
      <c r="R157">
        <v>8.0271000000000008</v>
      </c>
      <c r="S157">
        <v>8.8919999999999995</v>
      </c>
      <c r="T157">
        <v>8.1974</v>
      </c>
      <c r="U157">
        <v>8.8405000000000005</v>
      </c>
      <c r="V157">
        <v>8.9884000000000004</v>
      </c>
      <c r="W157">
        <v>8.7181999999999995</v>
      </c>
      <c r="X157">
        <v>8.5190999999999999</v>
      </c>
      <c r="Y157">
        <v>9.1225000000000005</v>
      </c>
      <c r="Z157">
        <v>8.3041999999999998</v>
      </c>
      <c r="AA157">
        <v>8.1041000000000007</v>
      </c>
      <c r="AB157">
        <v>7.9763999999999999</v>
      </c>
      <c r="AC157">
        <v>7.8559000000000001</v>
      </c>
      <c r="AD157" t="s">
        <v>73</v>
      </c>
    </row>
    <row r="158" spans="1:30" x14ac:dyDescent="0.3">
      <c r="A158" t="s">
        <v>564</v>
      </c>
      <c r="B158" s="5" t="s">
        <v>565</v>
      </c>
      <c r="C158" t="s">
        <v>32</v>
      </c>
      <c r="D158" s="5" t="s">
        <v>349</v>
      </c>
      <c r="E158">
        <v>15.3927</v>
      </c>
      <c r="F158">
        <v>15.180099999999999</v>
      </c>
      <c r="G158">
        <v>15.7422</v>
      </c>
      <c r="H158">
        <v>15.8889</v>
      </c>
      <c r="I158">
        <v>15.4763</v>
      </c>
      <c r="J158">
        <v>15.9757</v>
      </c>
      <c r="K158">
        <v>16.222000000000001</v>
      </c>
      <c r="L158">
        <v>16.822800000000001</v>
      </c>
      <c r="M158">
        <v>16.152999999999999</v>
      </c>
      <c r="N158">
        <v>16.411999999999999</v>
      </c>
      <c r="O158">
        <v>16.5046</v>
      </c>
      <c r="P158">
        <v>16.283000000000001</v>
      </c>
      <c r="Q158">
        <v>16.645099999999999</v>
      </c>
      <c r="R158">
        <v>16.0489</v>
      </c>
      <c r="S158">
        <v>15.8362</v>
      </c>
      <c r="T158">
        <v>15.9922</v>
      </c>
      <c r="U158">
        <v>16.620799999999999</v>
      </c>
      <c r="V158">
        <v>16.988499999999998</v>
      </c>
      <c r="W158">
        <v>15.9369</v>
      </c>
      <c r="X158">
        <v>16.2438</v>
      </c>
      <c r="Y158">
        <v>16.590599999999998</v>
      </c>
      <c r="Z158">
        <v>15.775600000000001</v>
      </c>
      <c r="AA158">
        <v>15.4544</v>
      </c>
      <c r="AB158">
        <v>15.2333</v>
      </c>
      <c r="AC158">
        <v>14.959099999999999</v>
      </c>
      <c r="AD158" t="s">
        <v>73</v>
      </c>
    </row>
    <row r="159" spans="1:30" x14ac:dyDescent="0.3">
      <c r="A159" t="s">
        <v>564</v>
      </c>
      <c r="B159" s="5" t="s">
        <v>565</v>
      </c>
      <c r="C159" t="s">
        <v>33</v>
      </c>
      <c r="D159" s="5" t="s">
        <v>350</v>
      </c>
      <c r="E159">
        <v>2.3378000000000001</v>
      </c>
      <c r="F159">
        <v>2.1753999999999998</v>
      </c>
      <c r="G159">
        <v>2.1488999999999998</v>
      </c>
      <c r="H159">
        <v>2.1122999999999998</v>
      </c>
      <c r="I159">
        <v>2.1059000000000001</v>
      </c>
      <c r="J159">
        <v>2.0937000000000001</v>
      </c>
      <c r="K159">
        <v>2.0798999999999999</v>
      </c>
      <c r="L159">
        <v>2.0628000000000002</v>
      </c>
      <c r="M159">
        <v>2.0491000000000001</v>
      </c>
      <c r="N159">
        <v>2.0066999999999999</v>
      </c>
      <c r="O159">
        <v>1.972</v>
      </c>
      <c r="P159">
        <v>2.0009999999999999</v>
      </c>
      <c r="Q159">
        <v>2.0068000000000001</v>
      </c>
      <c r="R159">
        <v>1.9996</v>
      </c>
      <c r="S159">
        <v>2.0276999999999998</v>
      </c>
      <c r="T159">
        <v>2.0954999999999999</v>
      </c>
      <c r="U159">
        <v>2.0922999999999998</v>
      </c>
      <c r="V159">
        <v>2.1265000000000001</v>
      </c>
      <c r="W159">
        <v>2.1374</v>
      </c>
      <c r="X159">
        <v>2.2084999999999999</v>
      </c>
      <c r="Y159">
        <v>2.2179000000000002</v>
      </c>
      <c r="Z159">
        <v>2.0882000000000001</v>
      </c>
      <c r="AA159">
        <v>1.9003000000000001</v>
      </c>
      <c r="AB159">
        <v>1.8364</v>
      </c>
      <c r="AC159">
        <v>1.8131999999999999</v>
      </c>
      <c r="AD159" t="s">
        <v>73</v>
      </c>
    </row>
    <row r="160" spans="1:30" x14ac:dyDescent="0.3">
      <c r="A160" t="s">
        <v>564</v>
      </c>
      <c r="B160" s="5" t="s">
        <v>565</v>
      </c>
      <c r="C160" t="s">
        <v>351</v>
      </c>
      <c r="D160" s="5" t="s">
        <v>352</v>
      </c>
      <c r="E160">
        <v>0.2009</v>
      </c>
      <c r="F160">
        <v>0.19839999999999999</v>
      </c>
      <c r="G160">
        <v>0.1976</v>
      </c>
      <c r="H160">
        <v>0.1888</v>
      </c>
      <c r="I160">
        <v>0.17449999999999999</v>
      </c>
      <c r="J160">
        <v>0.1757</v>
      </c>
      <c r="K160">
        <v>0.16769999999999999</v>
      </c>
      <c r="L160">
        <v>0.16200000000000001</v>
      </c>
      <c r="M160">
        <v>0.15609999999999999</v>
      </c>
      <c r="N160">
        <v>0.15010000000000001</v>
      </c>
      <c r="O160">
        <v>0.14410000000000001</v>
      </c>
      <c r="P160">
        <v>0.13850000000000001</v>
      </c>
      <c r="Q160">
        <v>0.13139999999999999</v>
      </c>
      <c r="R160">
        <v>0.12989999999999999</v>
      </c>
      <c r="S160">
        <v>0.1273</v>
      </c>
      <c r="T160">
        <v>0.125</v>
      </c>
      <c r="U160">
        <v>0.1227</v>
      </c>
      <c r="V160">
        <v>0.1202</v>
      </c>
      <c r="W160">
        <v>0.1174</v>
      </c>
      <c r="X160">
        <v>0.1191</v>
      </c>
      <c r="Y160">
        <v>0.1192</v>
      </c>
      <c r="Z160">
        <v>0.11840000000000001</v>
      </c>
      <c r="AA160">
        <v>0.11840000000000001</v>
      </c>
      <c r="AB160">
        <v>0.11070000000000001</v>
      </c>
      <c r="AC160">
        <v>0.10920000000000001</v>
      </c>
      <c r="AD160" t="s">
        <v>73</v>
      </c>
    </row>
    <row r="161" spans="1:30" x14ac:dyDescent="0.3">
      <c r="A161" t="s">
        <v>564</v>
      </c>
      <c r="B161" s="5" t="s">
        <v>565</v>
      </c>
      <c r="C161" t="s">
        <v>353</v>
      </c>
      <c r="D161" s="5" t="s">
        <v>354</v>
      </c>
      <c r="E161">
        <v>5.04E-2</v>
      </c>
      <c r="F161">
        <v>4.0099999999999997E-2</v>
      </c>
      <c r="G161">
        <v>4.2200000000000001E-2</v>
      </c>
      <c r="H161">
        <v>4.2200000000000001E-2</v>
      </c>
      <c r="I161">
        <v>4.2999999999999997E-2</v>
      </c>
      <c r="J161">
        <v>3.5999999999999997E-2</v>
      </c>
      <c r="K161">
        <v>3.8399999999999997E-2</v>
      </c>
      <c r="L161">
        <v>4.1399999999999999E-2</v>
      </c>
      <c r="M161">
        <v>4.24E-2</v>
      </c>
      <c r="N161">
        <v>5.3100000000000001E-2</v>
      </c>
      <c r="O161">
        <v>5.5899999999999998E-2</v>
      </c>
      <c r="P161">
        <v>6.08E-2</v>
      </c>
      <c r="Q161">
        <v>6.7699999999999996E-2</v>
      </c>
      <c r="R161">
        <v>8.1900000000000001E-2</v>
      </c>
      <c r="S161">
        <v>8.4199999999999997E-2</v>
      </c>
      <c r="T161">
        <v>0.10489999999999999</v>
      </c>
      <c r="U161">
        <v>0.1321</v>
      </c>
      <c r="V161">
        <v>0.14149999999999999</v>
      </c>
      <c r="W161">
        <v>0.1696</v>
      </c>
      <c r="X161">
        <v>0.1779</v>
      </c>
      <c r="Y161">
        <v>0.18640000000000001</v>
      </c>
      <c r="Z161">
        <v>0.17580000000000001</v>
      </c>
      <c r="AA161">
        <v>0.16159999999999999</v>
      </c>
      <c r="AB161">
        <v>0.16639999999999999</v>
      </c>
      <c r="AC161">
        <v>0.16669999999999999</v>
      </c>
      <c r="AD161" t="s">
        <v>73</v>
      </c>
    </row>
    <row r="162" spans="1:30" x14ac:dyDescent="0.3">
      <c r="A162" t="s">
        <v>564</v>
      </c>
      <c r="B162" s="5" t="s">
        <v>565</v>
      </c>
      <c r="C162" t="s">
        <v>355</v>
      </c>
      <c r="D162" s="5" t="s">
        <v>356</v>
      </c>
      <c r="E162">
        <v>5.1573000000000002</v>
      </c>
      <c r="F162">
        <v>5.4565999999999999</v>
      </c>
      <c r="G162">
        <v>5.0087000000000002</v>
      </c>
      <c r="H162">
        <v>4.8971999999999998</v>
      </c>
      <c r="I162">
        <v>5.6109999999999998</v>
      </c>
      <c r="J162">
        <v>5.5349000000000004</v>
      </c>
      <c r="K162">
        <v>5.3948</v>
      </c>
      <c r="L162">
        <v>5.5945</v>
      </c>
      <c r="M162">
        <v>6.0651000000000002</v>
      </c>
      <c r="N162">
        <v>5.8910999999999998</v>
      </c>
      <c r="O162">
        <v>5.9806999999999997</v>
      </c>
      <c r="P162">
        <v>6.4995000000000003</v>
      </c>
      <c r="Q162">
        <v>6.1024000000000003</v>
      </c>
      <c r="R162">
        <v>6.4236000000000004</v>
      </c>
      <c r="S162">
        <v>6.5525000000000002</v>
      </c>
      <c r="T162">
        <v>6.9599000000000002</v>
      </c>
      <c r="U162">
        <v>7.2721999999999998</v>
      </c>
      <c r="V162">
        <v>7.6184000000000003</v>
      </c>
      <c r="W162">
        <v>7.5911</v>
      </c>
      <c r="X162">
        <v>7.3288000000000002</v>
      </c>
      <c r="Y162">
        <v>7.3547000000000002</v>
      </c>
      <c r="Z162">
        <v>7.5845000000000002</v>
      </c>
      <c r="AA162">
        <v>6.8773999999999997</v>
      </c>
      <c r="AB162">
        <v>6.9096000000000002</v>
      </c>
      <c r="AC162">
        <v>6.7560000000000002</v>
      </c>
      <c r="AD162" t="s">
        <v>73</v>
      </c>
    </row>
    <row r="163" spans="1:30" x14ac:dyDescent="0.3">
      <c r="A163" t="s">
        <v>564</v>
      </c>
      <c r="B163" s="5" t="s">
        <v>565</v>
      </c>
      <c r="C163" t="s">
        <v>35</v>
      </c>
      <c r="D163" s="5" t="s">
        <v>357</v>
      </c>
      <c r="E163">
        <v>35.5242</v>
      </c>
      <c r="F163">
        <v>36.739600000000003</v>
      </c>
      <c r="G163">
        <v>36.013300000000001</v>
      </c>
      <c r="H163">
        <v>34.566800000000001</v>
      </c>
      <c r="I163">
        <v>34.762599999999999</v>
      </c>
      <c r="J163">
        <v>33.899799999999999</v>
      </c>
      <c r="K163">
        <v>33.539000000000001</v>
      </c>
      <c r="L163">
        <v>35.049500000000002</v>
      </c>
      <c r="M163">
        <v>37.773699999999998</v>
      </c>
      <c r="N163">
        <v>37.255200000000002</v>
      </c>
      <c r="O163">
        <v>35.327500000000001</v>
      </c>
      <c r="P163">
        <v>37.279200000000003</v>
      </c>
      <c r="Q163">
        <v>36.331000000000003</v>
      </c>
      <c r="R163">
        <v>36.911000000000001</v>
      </c>
      <c r="S163">
        <v>37.533200000000001</v>
      </c>
      <c r="T163">
        <v>39.276699999999998</v>
      </c>
      <c r="U163">
        <v>41.67</v>
      </c>
      <c r="V163">
        <v>41.225700000000003</v>
      </c>
      <c r="W163">
        <v>41.8765</v>
      </c>
      <c r="X163">
        <v>43.861699999999999</v>
      </c>
      <c r="Y163">
        <v>47.314999999999998</v>
      </c>
      <c r="Z163">
        <v>44.603999999999999</v>
      </c>
      <c r="AA163">
        <v>50.590299999999999</v>
      </c>
      <c r="AB163">
        <v>51.469099999999997</v>
      </c>
      <c r="AC163">
        <v>52.5747</v>
      </c>
      <c r="AD163" t="s">
        <v>73</v>
      </c>
    </row>
    <row r="164" spans="1:30" x14ac:dyDescent="0.3">
      <c r="A164" t="s">
        <v>564</v>
      </c>
      <c r="B164" s="5" t="s">
        <v>565</v>
      </c>
      <c r="C164" t="s">
        <v>358</v>
      </c>
      <c r="D164" s="5" t="s">
        <v>359</v>
      </c>
      <c r="E164">
        <v>0.4834</v>
      </c>
      <c r="F164">
        <v>0.51759999999999995</v>
      </c>
      <c r="G164">
        <v>0.53369999999999995</v>
      </c>
      <c r="H164">
        <v>0.59489999999999998</v>
      </c>
      <c r="I164">
        <v>0.64749999999999996</v>
      </c>
      <c r="J164">
        <v>0.68479999999999996</v>
      </c>
      <c r="K164">
        <v>0.76400000000000001</v>
      </c>
      <c r="L164">
        <v>0.81269999999999998</v>
      </c>
      <c r="M164">
        <v>0.85940000000000005</v>
      </c>
      <c r="N164">
        <v>0.8871</v>
      </c>
      <c r="O164">
        <v>0.93989999999999996</v>
      </c>
      <c r="P164">
        <v>0.90029999999999999</v>
      </c>
      <c r="Q164">
        <v>0.92569999999999997</v>
      </c>
      <c r="R164">
        <v>0.93210000000000004</v>
      </c>
      <c r="S164">
        <v>0.91600000000000004</v>
      </c>
      <c r="T164">
        <v>1.0794999999999999</v>
      </c>
      <c r="U164">
        <v>1.0547</v>
      </c>
      <c r="V164">
        <v>1.0699000000000001</v>
      </c>
      <c r="W164">
        <v>1.0333000000000001</v>
      </c>
      <c r="X164">
        <v>1.0330999999999999</v>
      </c>
      <c r="Y164">
        <v>1.0518000000000001</v>
      </c>
      <c r="Z164">
        <v>0.9798</v>
      </c>
      <c r="AA164">
        <v>0.89319999999999999</v>
      </c>
      <c r="AB164">
        <v>0.87590000000000001</v>
      </c>
      <c r="AC164">
        <v>0.84289999999999998</v>
      </c>
      <c r="AD164" t="s">
        <v>73</v>
      </c>
    </row>
    <row r="165" spans="1:30" x14ac:dyDescent="0.3">
      <c r="A165" t="s">
        <v>564</v>
      </c>
      <c r="B165" s="5" t="s">
        <v>565</v>
      </c>
      <c r="C165" t="s">
        <v>360</v>
      </c>
      <c r="D165" s="5" t="s">
        <v>361</v>
      </c>
      <c r="E165">
        <v>2.7400000000000001E-2</v>
      </c>
      <c r="F165">
        <v>2.9700000000000001E-2</v>
      </c>
      <c r="G165">
        <v>2.98E-2</v>
      </c>
      <c r="H165">
        <v>3.0300000000000001E-2</v>
      </c>
      <c r="I165">
        <v>3.0700000000000002E-2</v>
      </c>
      <c r="J165">
        <v>3.0700000000000002E-2</v>
      </c>
      <c r="K165">
        <v>3.0499999999999999E-2</v>
      </c>
      <c r="L165">
        <v>2.92E-2</v>
      </c>
      <c r="M165">
        <v>2.87E-2</v>
      </c>
      <c r="N165">
        <v>3.0300000000000001E-2</v>
      </c>
      <c r="O165">
        <v>3.3300000000000003E-2</v>
      </c>
      <c r="P165">
        <v>3.49E-2</v>
      </c>
      <c r="Q165">
        <v>3.5900000000000001E-2</v>
      </c>
      <c r="R165">
        <v>3.6700000000000003E-2</v>
      </c>
      <c r="S165">
        <v>3.6799999999999999E-2</v>
      </c>
      <c r="T165">
        <v>3.9800000000000002E-2</v>
      </c>
      <c r="U165">
        <v>3.5499999999999997E-2</v>
      </c>
      <c r="V165">
        <v>3.3300000000000003E-2</v>
      </c>
      <c r="W165">
        <v>0.03</v>
      </c>
      <c r="X165">
        <v>2.5399999999999999E-2</v>
      </c>
      <c r="Y165">
        <v>2.3099999999999999E-2</v>
      </c>
      <c r="Z165">
        <v>2.9100000000000001E-2</v>
      </c>
      <c r="AA165">
        <v>2.8000000000000001E-2</v>
      </c>
      <c r="AB165">
        <v>2.6800000000000001E-2</v>
      </c>
      <c r="AC165">
        <v>2.6100000000000002E-2</v>
      </c>
      <c r="AD165" t="s">
        <v>73</v>
      </c>
    </row>
    <row r="166" spans="1:30" x14ac:dyDescent="0.3">
      <c r="A166" t="s">
        <v>564</v>
      </c>
      <c r="B166" s="5" t="s">
        <v>565</v>
      </c>
      <c r="C166" t="s">
        <v>362</v>
      </c>
      <c r="D166" s="5" t="s">
        <v>363</v>
      </c>
      <c r="E166" t="s">
        <v>73</v>
      </c>
      <c r="F166" t="s">
        <v>73</v>
      </c>
      <c r="G166" t="s">
        <v>73</v>
      </c>
      <c r="H166" t="s">
        <v>73</v>
      </c>
      <c r="I166" t="s">
        <v>73</v>
      </c>
      <c r="J166" t="s">
        <v>73</v>
      </c>
      <c r="K166" t="s">
        <v>73</v>
      </c>
      <c r="L166" t="s">
        <v>73</v>
      </c>
      <c r="M166" t="s">
        <v>73</v>
      </c>
      <c r="N166" t="s">
        <v>73</v>
      </c>
      <c r="O166" t="s">
        <v>73</v>
      </c>
      <c r="P166" t="s">
        <v>73</v>
      </c>
      <c r="Q166" t="s">
        <v>73</v>
      </c>
      <c r="R166" t="s">
        <v>73</v>
      </c>
      <c r="S166" t="s">
        <v>73</v>
      </c>
      <c r="T166" t="s">
        <v>73</v>
      </c>
      <c r="U166" t="s">
        <v>73</v>
      </c>
      <c r="V166" t="s">
        <v>73</v>
      </c>
      <c r="W166" t="s">
        <v>73</v>
      </c>
      <c r="X166" t="s">
        <v>73</v>
      </c>
      <c r="Y166" t="s">
        <v>73</v>
      </c>
      <c r="Z166" t="s">
        <v>73</v>
      </c>
      <c r="AA166" t="s">
        <v>73</v>
      </c>
      <c r="AB166" t="s">
        <v>73</v>
      </c>
      <c r="AC166" t="s">
        <v>73</v>
      </c>
      <c r="AD166" t="s">
        <v>73</v>
      </c>
    </row>
    <row r="167" spans="1:30" x14ac:dyDescent="0.3">
      <c r="A167" t="s">
        <v>564</v>
      </c>
      <c r="B167" s="5" t="s">
        <v>565</v>
      </c>
      <c r="C167" t="s">
        <v>364</v>
      </c>
      <c r="D167" s="5" t="s">
        <v>365</v>
      </c>
      <c r="E167">
        <v>3.3E-3</v>
      </c>
      <c r="F167">
        <v>3.7000000000000002E-3</v>
      </c>
      <c r="G167">
        <v>4.1000000000000003E-3</v>
      </c>
      <c r="H167">
        <v>4.4999999999999997E-3</v>
      </c>
      <c r="I167">
        <v>4.4999999999999997E-3</v>
      </c>
      <c r="J167">
        <v>4.5999999999999999E-3</v>
      </c>
      <c r="K167">
        <v>4.4999999999999997E-3</v>
      </c>
      <c r="L167">
        <v>4.8999999999999998E-3</v>
      </c>
      <c r="M167">
        <v>5.4000000000000003E-3</v>
      </c>
      <c r="N167">
        <v>5.8999999999999999E-3</v>
      </c>
      <c r="O167">
        <v>5.7999999999999996E-3</v>
      </c>
      <c r="P167">
        <v>6.1000000000000004E-3</v>
      </c>
      <c r="Q167">
        <v>6.4999999999999997E-3</v>
      </c>
      <c r="R167">
        <v>7.1000000000000004E-3</v>
      </c>
      <c r="S167">
        <v>7.4999999999999997E-3</v>
      </c>
      <c r="T167">
        <v>7.4999999999999997E-3</v>
      </c>
      <c r="U167">
        <v>7.6E-3</v>
      </c>
      <c r="V167">
        <v>8.3999999999999995E-3</v>
      </c>
      <c r="W167">
        <v>8.0000000000000002E-3</v>
      </c>
      <c r="X167">
        <v>8.0999999999999996E-3</v>
      </c>
      <c r="Y167">
        <v>8.2000000000000007E-3</v>
      </c>
      <c r="Z167">
        <v>8.0999999999999996E-3</v>
      </c>
      <c r="AA167">
        <v>9.4999999999999998E-3</v>
      </c>
      <c r="AB167">
        <v>9.4000000000000004E-3</v>
      </c>
      <c r="AC167">
        <v>9.5999999999999992E-3</v>
      </c>
      <c r="AD167" t="s">
        <v>73</v>
      </c>
    </row>
    <row r="168" spans="1:30" x14ac:dyDescent="0.3">
      <c r="A168" t="s">
        <v>564</v>
      </c>
      <c r="B168" s="5" t="s">
        <v>565</v>
      </c>
      <c r="C168" t="s">
        <v>50</v>
      </c>
      <c r="D168" s="5" t="s">
        <v>366</v>
      </c>
      <c r="E168">
        <v>2.3978000000000002</v>
      </c>
      <c r="F168">
        <v>2.5657999999999999</v>
      </c>
      <c r="G168">
        <v>2.5851999999999999</v>
      </c>
      <c r="H168">
        <v>2.6715</v>
      </c>
      <c r="I168">
        <v>2.7784</v>
      </c>
      <c r="J168">
        <v>2.5720000000000001</v>
      </c>
      <c r="K168">
        <v>2.5749</v>
      </c>
      <c r="L168">
        <v>2.7242000000000002</v>
      </c>
      <c r="M168">
        <v>2.2513000000000001</v>
      </c>
      <c r="N168">
        <v>2.0064000000000002</v>
      </c>
      <c r="O168">
        <v>2.1240999999999999</v>
      </c>
      <c r="P168">
        <v>2.4506999999999999</v>
      </c>
      <c r="Q168">
        <v>2.5899000000000001</v>
      </c>
      <c r="R168">
        <v>2.4557000000000002</v>
      </c>
      <c r="S168">
        <v>2.2976999999999999</v>
      </c>
      <c r="T168">
        <v>2.4952999999999999</v>
      </c>
      <c r="U168">
        <v>2.5485000000000002</v>
      </c>
      <c r="V168">
        <v>2.4529000000000001</v>
      </c>
      <c r="W168">
        <v>2.5122</v>
      </c>
      <c r="X168">
        <v>2.4489000000000001</v>
      </c>
      <c r="Y168">
        <v>2.94</v>
      </c>
      <c r="Z168">
        <v>3.2682000000000002</v>
      </c>
      <c r="AA168">
        <v>3.5767000000000002</v>
      </c>
      <c r="AB168">
        <v>3.3210999999999999</v>
      </c>
      <c r="AC168">
        <v>3.4929000000000001</v>
      </c>
      <c r="AD168" t="s">
        <v>73</v>
      </c>
    </row>
    <row r="169" spans="1:30" x14ac:dyDescent="0.3">
      <c r="A169" t="s">
        <v>564</v>
      </c>
      <c r="B169" s="5" t="s">
        <v>565</v>
      </c>
      <c r="C169" t="s">
        <v>367</v>
      </c>
      <c r="D169" s="5" t="s">
        <v>368</v>
      </c>
      <c r="E169">
        <v>1.9340999999999999</v>
      </c>
      <c r="F169">
        <v>1.9831000000000001</v>
      </c>
      <c r="G169">
        <v>1.9605999999999999</v>
      </c>
      <c r="H169">
        <v>1.9423999999999999</v>
      </c>
      <c r="I169">
        <v>1.9599</v>
      </c>
      <c r="J169">
        <v>2.0038</v>
      </c>
      <c r="K169">
        <v>2.0350000000000001</v>
      </c>
      <c r="L169">
        <v>2.0708000000000002</v>
      </c>
      <c r="M169">
        <v>2.1198999999999999</v>
      </c>
      <c r="N169">
        <v>2.1656</v>
      </c>
      <c r="O169">
        <v>2.3241000000000001</v>
      </c>
      <c r="P169">
        <v>2.3706</v>
      </c>
      <c r="Q169">
        <v>2.4253</v>
      </c>
      <c r="R169">
        <v>2.4676</v>
      </c>
      <c r="S169">
        <v>2.4456000000000002</v>
      </c>
      <c r="T169">
        <v>2.5274000000000001</v>
      </c>
      <c r="U169">
        <v>2.6032999999999999</v>
      </c>
      <c r="V169">
        <v>2.6703000000000001</v>
      </c>
      <c r="W169">
        <v>2.7149999999999999</v>
      </c>
      <c r="X169">
        <v>2.7261000000000002</v>
      </c>
      <c r="Y169">
        <v>2.8807</v>
      </c>
      <c r="Z169">
        <v>2.7202000000000002</v>
      </c>
      <c r="AA169">
        <v>2.927</v>
      </c>
      <c r="AB169">
        <v>2.9544999999999999</v>
      </c>
      <c r="AC169">
        <v>2.9939</v>
      </c>
      <c r="AD169" t="s">
        <v>73</v>
      </c>
    </row>
    <row r="170" spans="1:30" x14ac:dyDescent="0.3">
      <c r="A170" t="s">
        <v>564</v>
      </c>
      <c r="B170" s="5" t="s">
        <v>565</v>
      </c>
      <c r="C170" t="s">
        <v>369</v>
      </c>
      <c r="D170" s="5" t="s">
        <v>370</v>
      </c>
      <c r="E170" t="s">
        <v>73</v>
      </c>
      <c r="F170" t="s">
        <v>73</v>
      </c>
      <c r="G170" t="s">
        <v>73</v>
      </c>
      <c r="H170" t="s">
        <v>73</v>
      </c>
      <c r="I170" t="s">
        <v>73</v>
      </c>
      <c r="J170" t="s">
        <v>73</v>
      </c>
      <c r="K170" t="s">
        <v>73</v>
      </c>
      <c r="L170" t="s">
        <v>73</v>
      </c>
      <c r="M170" t="s">
        <v>73</v>
      </c>
      <c r="N170" t="s">
        <v>73</v>
      </c>
      <c r="O170" t="s">
        <v>73</v>
      </c>
      <c r="P170" t="s">
        <v>73</v>
      </c>
      <c r="Q170" t="s">
        <v>73</v>
      </c>
      <c r="R170" t="s">
        <v>73</v>
      </c>
      <c r="S170" t="s">
        <v>73</v>
      </c>
      <c r="T170" t="s">
        <v>73</v>
      </c>
      <c r="U170" t="s">
        <v>73</v>
      </c>
      <c r="V170" t="s">
        <v>73</v>
      </c>
      <c r="W170" t="s">
        <v>73</v>
      </c>
      <c r="X170" t="s">
        <v>73</v>
      </c>
      <c r="Y170" t="s">
        <v>73</v>
      </c>
      <c r="Z170" t="s">
        <v>73</v>
      </c>
      <c r="AA170" t="s">
        <v>73</v>
      </c>
      <c r="AB170" t="s">
        <v>73</v>
      </c>
      <c r="AC170" t="s">
        <v>73</v>
      </c>
      <c r="AD170" t="s">
        <v>73</v>
      </c>
    </row>
    <row r="171" spans="1:30" x14ac:dyDescent="0.3">
      <c r="A171" t="s">
        <v>564</v>
      </c>
      <c r="B171" s="5" t="s">
        <v>565</v>
      </c>
      <c r="C171" t="s">
        <v>371</v>
      </c>
      <c r="D171" s="5" t="s">
        <v>372</v>
      </c>
      <c r="E171">
        <v>3.5999999999999999E-3</v>
      </c>
      <c r="F171">
        <v>2.3999999999999998E-3</v>
      </c>
      <c r="G171">
        <v>2.5000000000000001E-3</v>
      </c>
      <c r="H171">
        <v>2.7000000000000001E-3</v>
      </c>
      <c r="I171">
        <v>2.3999999999999998E-3</v>
      </c>
      <c r="J171">
        <v>2.3999999999999998E-3</v>
      </c>
      <c r="K171">
        <v>2.3E-3</v>
      </c>
      <c r="L171">
        <v>2.5000000000000001E-3</v>
      </c>
      <c r="M171">
        <v>2.0999999999999999E-3</v>
      </c>
      <c r="N171">
        <v>1.6999999999999999E-3</v>
      </c>
      <c r="O171">
        <v>1.6000000000000001E-3</v>
      </c>
      <c r="P171">
        <v>1.6999999999999999E-3</v>
      </c>
      <c r="Q171">
        <v>1.6000000000000001E-3</v>
      </c>
      <c r="R171">
        <v>1.6000000000000001E-3</v>
      </c>
      <c r="S171">
        <v>1.6000000000000001E-3</v>
      </c>
      <c r="T171">
        <v>1.6000000000000001E-3</v>
      </c>
      <c r="U171">
        <v>1.6000000000000001E-3</v>
      </c>
      <c r="V171">
        <v>1.6000000000000001E-3</v>
      </c>
      <c r="W171">
        <v>1.6000000000000001E-3</v>
      </c>
      <c r="X171">
        <v>1.6000000000000001E-3</v>
      </c>
      <c r="Y171">
        <v>1.9E-3</v>
      </c>
      <c r="Z171">
        <v>2.2000000000000001E-3</v>
      </c>
      <c r="AA171">
        <v>2.3E-3</v>
      </c>
      <c r="AB171">
        <v>2.3E-3</v>
      </c>
      <c r="AC171">
        <v>2.3999999999999998E-3</v>
      </c>
      <c r="AD171" t="s">
        <v>73</v>
      </c>
    </row>
    <row r="172" spans="1:30" x14ac:dyDescent="0.3">
      <c r="A172" t="s">
        <v>564</v>
      </c>
      <c r="B172" s="5" t="s">
        <v>565</v>
      </c>
      <c r="C172" t="s">
        <v>373</v>
      </c>
      <c r="D172" s="5" t="s">
        <v>374</v>
      </c>
      <c r="E172">
        <v>0.18729999999999999</v>
      </c>
      <c r="F172">
        <v>0.16450000000000001</v>
      </c>
      <c r="G172">
        <v>0.17580000000000001</v>
      </c>
      <c r="H172">
        <v>0.19869999999999999</v>
      </c>
      <c r="I172">
        <v>0.2218</v>
      </c>
      <c r="J172">
        <v>0.24709999999999999</v>
      </c>
      <c r="K172">
        <v>0.29959999999999998</v>
      </c>
      <c r="L172">
        <v>0.28760000000000002</v>
      </c>
      <c r="M172">
        <v>0.32500000000000001</v>
      </c>
      <c r="N172">
        <v>0.38179999999999997</v>
      </c>
      <c r="O172">
        <v>0.41360000000000002</v>
      </c>
      <c r="P172">
        <v>0.44629999999999997</v>
      </c>
      <c r="Q172">
        <v>0.46650000000000003</v>
      </c>
      <c r="R172">
        <v>0.49299999999999999</v>
      </c>
      <c r="S172">
        <v>0.50260000000000005</v>
      </c>
      <c r="T172">
        <v>0.47760000000000002</v>
      </c>
      <c r="U172">
        <v>0.4602</v>
      </c>
      <c r="V172">
        <v>0.46899999999999997</v>
      </c>
      <c r="W172">
        <v>0.50039999999999996</v>
      </c>
      <c r="X172">
        <v>0.48770000000000002</v>
      </c>
      <c r="Y172">
        <v>0.5071</v>
      </c>
      <c r="Z172">
        <v>0.5645</v>
      </c>
      <c r="AA172">
        <v>0.52159999999999995</v>
      </c>
      <c r="AB172">
        <v>0.54369999999999996</v>
      </c>
      <c r="AC172">
        <v>0.55869999999999997</v>
      </c>
      <c r="AD172" t="s">
        <v>73</v>
      </c>
    </row>
    <row r="173" spans="1:30" x14ac:dyDescent="0.3">
      <c r="A173" t="s">
        <v>564</v>
      </c>
      <c r="B173" s="5" t="s">
        <v>565</v>
      </c>
      <c r="C173" t="s">
        <v>375</v>
      </c>
      <c r="D173" s="5" t="s">
        <v>376</v>
      </c>
      <c r="E173">
        <v>4.7999999999999996E-3</v>
      </c>
      <c r="F173">
        <v>5.1000000000000004E-3</v>
      </c>
      <c r="G173">
        <v>6.3E-3</v>
      </c>
      <c r="H173">
        <v>6.7000000000000002E-3</v>
      </c>
      <c r="I173">
        <v>6.4999999999999997E-3</v>
      </c>
      <c r="J173">
        <v>6.4000000000000003E-3</v>
      </c>
      <c r="K173">
        <v>6.4000000000000003E-3</v>
      </c>
      <c r="L173">
        <v>7.0000000000000001E-3</v>
      </c>
      <c r="M173">
        <v>7.0000000000000001E-3</v>
      </c>
      <c r="N173">
        <v>7.4000000000000003E-3</v>
      </c>
      <c r="O173">
        <v>7.6E-3</v>
      </c>
      <c r="P173">
        <v>7.4999999999999997E-3</v>
      </c>
      <c r="Q173">
        <v>7.9000000000000008E-3</v>
      </c>
      <c r="R173">
        <v>7.9000000000000008E-3</v>
      </c>
      <c r="S173">
        <v>7.9000000000000008E-3</v>
      </c>
      <c r="T173">
        <v>7.9000000000000008E-3</v>
      </c>
      <c r="U173">
        <v>8.0999999999999996E-3</v>
      </c>
      <c r="V173">
        <v>8.3999999999999995E-3</v>
      </c>
      <c r="W173">
        <v>8.5000000000000006E-3</v>
      </c>
      <c r="X173">
        <v>8.8000000000000005E-3</v>
      </c>
      <c r="Y173">
        <v>8.8000000000000005E-3</v>
      </c>
      <c r="Z173">
        <v>9.2999999999999992E-3</v>
      </c>
      <c r="AA173">
        <v>6.1000000000000004E-3</v>
      </c>
      <c r="AB173">
        <v>6.1000000000000004E-3</v>
      </c>
      <c r="AC173">
        <v>5.7000000000000002E-3</v>
      </c>
      <c r="AD173" t="s">
        <v>73</v>
      </c>
    </row>
    <row r="174" spans="1:30" x14ac:dyDescent="0.3">
      <c r="A174" t="s">
        <v>564</v>
      </c>
      <c r="B174" s="5" t="s">
        <v>565</v>
      </c>
      <c r="C174" t="s">
        <v>377</v>
      </c>
      <c r="D174" s="5" t="s">
        <v>378</v>
      </c>
      <c r="E174" t="s">
        <v>73</v>
      </c>
      <c r="F174" t="s">
        <v>73</v>
      </c>
      <c r="G174" t="s">
        <v>73</v>
      </c>
      <c r="H174" t="s">
        <v>73</v>
      </c>
      <c r="I174" t="s">
        <v>73</v>
      </c>
      <c r="J174" t="s">
        <v>73</v>
      </c>
      <c r="K174" t="s">
        <v>73</v>
      </c>
      <c r="L174" t="s">
        <v>73</v>
      </c>
      <c r="M174" t="s">
        <v>73</v>
      </c>
      <c r="N174" t="s">
        <v>73</v>
      </c>
      <c r="O174" t="s">
        <v>73</v>
      </c>
      <c r="P174" t="s">
        <v>73</v>
      </c>
      <c r="Q174" t="s">
        <v>73</v>
      </c>
      <c r="R174" t="s">
        <v>73</v>
      </c>
      <c r="S174" t="s">
        <v>73</v>
      </c>
      <c r="T174" t="s">
        <v>73</v>
      </c>
      <c r="U174" t="s">
        <v>73</v>
      </c>
      <c r="V174" t="s">
        <v>73</v>
      </c>
      <c r="W174" t="s">
        <v>73</v>
      </c>
      <c r="X174" t="s">
        <v>73</v>
      </c>
      <c r="Y174" t="s">
        <v>73</v>
      </c>
      <c r="Z174" t="s">
        <v>73</v>
      </c>
      <c r="AA174" t="s">
        <v>73</v>
      </c>
      <c r="AB174" t="s">
        <v>73</v>
      </c>
      <c r="AC174" t="s">
        <v>73</v>
      </c>
      <c r="AD174" t="s">
        <v>73</v>
      </c>
    </row>
    <row r="175" spans="1:30" x14ac:dyDescent="0.3">
      <c r="A175" t="s">
        <v>564</v>
      </c>
      <c r="B175" s="5" t="s">
        <v>565</v>
      </c>
      <c r="C175" t="s">
        <v>36</v>
      </c>
      <c r="D175" s="5" t="s">
        <v>379</v>
      </c>
      <c r="E175">
        <v>1.0484</v>
      </c>
      <c r="F175">
        <v>1.1032999999999999</v>
      </c>
      <c r="G175">
        <v>1.0765</v>
      </c>
      <c r="H175">
        <v>1.0968</v>
      </c>
      <c r="I175">
        <v>1.1212</v>
      </c>
      <c r="J175">
        <v>1.0637000000000001</v>
      </c>
      <c r="K175">
        <v>1.0788</v>
      </c>
      <c r="L175">
        <v>1.0886</v>
      </c>
      <c r="M175">
        <v>1.0665</v>
      </c>
      <c r="N175">
        <v>0.95020000000000004</v>
      </c>
      <c r="O175">
        <v>0.98409999999999997</v>
      </c>
      <c r="P175">
        <v>1.1133</v>
      </c>
      <c r="Q175">
        <v>1.0581</v>
      </c>
      <c r="R175">
        <v>1.1168</v>
      </c>
      <c r="S175">
        <v>1.1812</v>
      </c>
      <c r="T175">
        <v>1.2223999999999999</v>
      </c>
      <c r="U175">
        <v>1.3030999999999999</v>
      </c>
      <c r="V175">
        <v>1.1427</v>
      </c>
      <c r="W175">
        <v>1.3272999999999999</v>
      </c>
      <c r="X175">
        <v>1.2384999999999999</v>
      </c>
      <c r="Y175">
        <v>1.3130999999999999</v>
      </c>
      <c r="Z175">
        <v>1.3503000000000001</v>
      </c>
      <c r="AA175">
        <v>1.2243999999999999</v>
      </c>
      <c r="AB175">
        <v>1.2849999999999999</v>
      </c>
      <c r="AC175">
        <v>1.2863</v>
      </c>
      <c r="AD175" t="s">
        <v>73</v>
      </c>
    </row>
    <row r="176" spans="1:30" x14ac:dyDescent="0.3">
      <c r="A176" t="s">
        <v>564</v>
      </c>
      <c r="B176" s="5" t="s">
        <v>565</v>
      </c>
      <c r="C176" t="s">
        <v>37</v>
      </c>
      <c r="D176" s="5" t="s">
        <v>380</v>
      </c>
      <c r="E176">
        <v>0.67030000000000001</v>
      </c>
      <c r="F176">
        <v>0.65190000000000003</v>
      </c>
      <c r="G176">
        <v>0.67390000000000005</v>
      </c>
      <c r="H176">
        <v>0.65029999999999999</v>
      </c>
      <c r="I176">
        <v>0.66120000000000001</v>
      </c>
      <c r="J176">
        <v>0.6623</v>
      </c>
      <c r="K176">
        <v>0.59570000000000001</v>
      </c>
      <c r="L176">
        <v>0.53349999999999997</v>
      </c>
      <c r="M176">
        <v>0.44669999999999999</v>
      </c>
      <c r="N176">
        <v>0.4647</v>
      </c>
      <c r="O176">
        <v>0.42259999999999998</v>
      </c>
      <c r="P176">
        <v>0.41589999999999999</v>
      </c>
      <c r="Q176">
        <v>0.42680000000000001</v>
      </c>
      <c r="R176">
        <v>0.42730000000000001</v>
      </c>
      <c r="S176">
        <v>0.44479999999999997</v>
      </c>
      <c r="T176">
        <v>0.44309999999999999</v>
      </c>
      <c r="U176">
        <v>0.44590000000000002</v>
      </c>
      <c r="V176">
        <v>0.43809999999999999</v>
      </c>
      <c r="W176">
        <v>0.41839999999999999</v>
      </c>
      <c r="X176">
        <v>0.42209999999999998</v>
      </c>
      <c r="Y176">
        <v>0.43530000000000002</v>
      </c>
      <c r="Z176">
        <v>0.45929999999999999</v>
      </c>
      <c r="AA176">
        <v>0.43890000000000001</v>
      </c>
      <c r="AB176">
        <v>0.4325</v>
      </c>
      <c r="AC176">
        <v>0.42699999999999999</v>
      </c>
      <c r="AD176" t="s">
        <v>73</v>
      </c>
    </row>
    <row r="177" spans="1:30" x14ac:dyDescent="0.3">
      <c r="A177" t="s">
        <v>564</v>
      </c>
      <c r="B177" s="5" t="s">
        <v>565</v>
      </c>
      <c r="C177" t="s">
        <v>381</v>
      </c>
      <c r="D177" s="5" t="s">
        <v>382</v>
      </c>
      <c r="E177">
        <v>1.24E-2</v>
      </c>
      <c r="F177">
        <v>1.2500000000000001E-2</v>
      </c>
      <c r="G177">
        <v>1.26E-2</v>
      </c>
      <c r="H177">
        <v>1.2699999999999999E-2</v>
      </c>
      <c r="I177">
        <v>1.3100000000000001E-2</v>
      </c>
      <c r="J177">
        <v>1.32E-2</v>
      </c>
      <c r="K177">
        <v>1.34E-2</v>
      </c>
      <c r="L177">
        <v>1.38E-2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1.4200000000000001E-2</v>
      </c>
      <c r="R177">
        <v>1.44E-2</v>
      </c>
      <c r="S177">
        <v>1.4500000000000001E-2</v>
      </c>
      <c r="T177">
        <v>1.4500000000000001E-2</v>
      </c>
      <c r="U177">
        <v>1.4500000000000001E-2</v>
      </c>
      <c r="V177">
        <v>1.46E-2</v>
      </c>
      <c r="W177">
        <v>1.46E-2</v>
      </c>
      <c r="X177">
        <v>1.47E-2</v>
      </c>
      <c r="Y177">
        <v>1.47E-2</v>
      </c>
      <c r="Z177">
        <v>1.47E-2</v>
      </c>
      <c r="AA177">
        <v>1.47E-2</v>
      </c>
      <c r="AB177">
        <v>1.4800000000000001E-2</v>
      </c>
      <c r="AC177">
        <v>1.49E-2</v>
      </c>
      <c r="AD177" t="s">
        <v>73</v>
      </c>
    </row>
    <row r="178" spans="1:30" x14ac:dyDescent="0.3">
      <c r="A178" t="s">
        <v>564</v>
      </c>
      <c r="B178" s="5" t="s">
        <v>565</v>
      </c>
      <c r="C178" t="s">
        <v>383</v>
      </c>
      <c r="D178" s="5" t="s">
        <v>384</v>
      </c>
      <c r="E178">
        <v>4.5410000000000004</v>
      </c>
      <c r="F178">
        <v>4.6677</v>
      </c>
      <c r="G178">
        <v>4.7038000000000002</v>
      </c>
      <c r="H178">
        <v>4.6894</v>
      </c>
      <c r="I178">
        <v>4.7667999999999999</v>
      </c>
      <c r="J178">
        <v>4.8658999999999999</v>
      </c>
      <c r="K178">
        <v>4.5648999999999997</v>
      </c>
      <c r="L178">
        <v>4.2507999999999999</v>
      </c>
      <c r="M178">
        <v>4.2419000000000002</v>
      </c>
      <c r="N178">
        <v>4.2348999999999997</v>
      </c>
      <c r="O178">
        <v>4.2628000000000004</v>
      </c>
      <c r="P178">
        <v>4.2934000000000001</v>
      </c>
      <c r="Q178">
        <v>4.3231000000000002</v>
      </c>
      <c r="R178">
        <v>4.3273999999999999</v>
      </c>
      <c r="S178">
        <v>4.3498000000000001</v>
      </c>
      <c r="T178">
        <v>4.3383000000000003</v>
      </c>
      <c r="U178">
        <v>4.3139000000000003</v>
      </c>
      <c r="V178">
        <v>4.2638999999999996</v>
      </c>
      <c r="W178">
        <v>4.2788000000000004</v>
      </c>
      <c r="X178">
        <v>4.2614999999999998</v>
      </c>
      <c r="Y178">
        <v>4.2762000000000002</v>
      </c>
      <c r="Z178">
        <v>4.2012999999999998</v>
      </c>
      <c r="AA178">
        <v>4.1394000000000002</v>
      </c>
      <c r="AB178">
        <v>4.1727999999999996</v>
      </c>
      <c r="AC178">
        <v>4.1536999999999997</v>
      </c>
      <c r="AD178" t="s">
        <v>73</v>
      </c>
    </row>
    <row r="179" spans="1:30" x14ac:dyDescent="0.3">
      <c r="A179" t="s">
        <v>564</v>
      </c>
      <c r="B179" s="5" t="s">
        <v>565</v>
      </c>
      <c r="C179" t="s">
        <v>38</v>
      </c>
      <c r="D179" s="5" t="s">
        <v>385</v>
      </c>
      <c r="E179">
        <v>11.6502</v>
      </c>
      <c r="F179">
        <v>11.550599999999999</v>
      </c>
      <c r="G179">
        <v>12.0761</v>
      </c>
      <c r="H179">
        <v>11.819599999999999</v>
      </c>
      <c r="I179">
        <v>11.943300000000001</v>
      </c>
      <c r="J179">
        <v>11.8512</v>
      </c>
      <c r="K179">
        <v>12.0046</v>
      </c>
      <c r="L179">
        <v>12.274699999999999</v>
      </c>
      <c r="M179">
        <v>12.326000000000001</v>
      </c>
      <c r="N179">
        <v>12.211</v>
      </c>
      <c r="O179">
        <v>12.079700000000001</v>
      </c>
      <c r="P179">
        <v>12.1343</v>
      </c>
      <c r="Q179">
        <v>12.346399999999999</v>
      </c>
      <c r="R179">
        <v>12.351800000000001</v>
      </c>
      <c r="S179">
        <v>12.9612</v>
      </c>
      <c r="T179">
        <v>12.084199999999999</v>
      </c>
      <c r="U179">
        <v>12.343</v>
      </c>
      <c r="V179">
        <v>13.2087</v>
      </c>
      <c r="W179">
        <v>12.077299999999999</v>
      </c>
      <c r="X179">
        <v>11.5242</v>
      </c>
      <c r="Y179">
        <v>12.1174</v>
      </c>
      <c r="Z179">
        <v>13.4293</v>
      </c>
      <c r="AA179">
        <v>12.7117</v>
      </c>
      <c r="AB179">
        <v>12.7475</v>
      </c>
      <c r="AC179">
        <v>12.815099999999999</v>
      </c>
      <c r="AD179" t="s">
        <v>73</v>
      </c>
    </row>
    <row r="180" spans="1:30" x14ac:dyDescent="0.3">
      <c r="A180" t="s">
        <v>564</v>
      </c>
      <c r="B180" s="5" t="s">
        <v>565</v>
      </c>
      <c r="C180" t="s">
        <v>386</v>
      </c>
      <c r="D180" s="5" t="s">
        <v>387</v>
      </c>
      <c r="E180" t="s">
        <v>73</v>
      </c>
      <c r="F180" t="s">
        <v>73</v>
      </c>
      <c r="G180" t="s">
        <v>73</v>
      </c>
      <c r="H180" t="s">
        <v>73</v>
      </c>
      <c r="I180" t="s">
        <v>73</v>
      </c>
      <c r="J180" t="s">
        <v>73</v>
      </c>
      <c r="K180" t="s">
        <v>73</v>
      </c>
      <c r="L180" t="s">
        <v>73</v>
      </c>
      <c r="M180" t="s">
        <v>73</v>
      </c>
      <c r="N180" t="s">
        <v>73</v>
      </c>
      <c r="O180" t="s">
        <v>73</v>
      </c>
      <c r="P180" t="s">
        <v>73</v>
      </c>
      <c r="Q180" t="s">
        <v>73</v>
      </c>
      <c r="R180" t="s">
        <v>73</v>
      </c>
      <c r="S180" t="s">
        <v>73</v>
      </c>
      <c r="T180" t="s">
        <v>73</v>
      </c>
      <c r="U180" t="s">
        <v>73</v>
      </c>
      <c r="V180" t="s">
        <v>73</v>
      </c>
      <c r="W180" t="s">
        <v>73</v>
      </c>
      <c r="X180" t="s">
        <v>73</v>
      </c>
      <c r="Y180" t="s">
        <v>73</v>
      </c>
      <c r="Z180" t="s">
        <v>73</v>
      </c>
      <c r="AA180" t="s">
        <v>73</v>
      </c>
      <c r="AB180" t="s">
        <v>73</v>
      </c>
      <c r="AC180" t="s">
        <v>73</v>
      </c>
      <c r="AD180" t="s">
        <v>73</v>
      </c>
    </row>
    <row r="181" spans="1:30" x14ac:dyDescent="0.3">
      <c r="A181" t="s">
        <v>564</v>
      </c>
      <c r="B181" s="5" t="s">
        <v>565</v>
      </c>
      <c r="C181" t="s">
        <v>39</v>
      </c>
      <c r="D181" s="5" t="s">
        <v>388</v>
      </c>
      <c r="E181">
        <v>15.0943</v>
      </c>
      <c r="F181">
        <v>14.8576</v>
      </c>
      <c r="G181">
        <v>15.0329</v>
      </c>
      <c r="H181">
        <v>15.5229</v>
      </c>
      <c r="I181">
        <v>15.0525</v>
      </c>
      <c r="J181">
        <v>14.0914</v>
      </c>
      <c r="K181">
        <v>14.1554</v>
      </c>
      <c r="L181">
        <v>14.7844</v>
      </c>
      <c r="M181">
        <v>13.0343</v>
      </c>
      <c r="N181">
        <v>13.2691</v>
      </c>
      <c r="O181">
        <v>14.106199999999999</v>
      </c>
      <c r="P181">
        <v>13.199299999999999</v>
      </c>
      <c r="Q181">
        <v>13.6257</v>
      </c>
      <c r="R181">
        <v>14.295299999999999</v>
      </c>
      <c r="S181">
        <v>14.241400000000001</v>
      </c>
      <c r="T181">
        <v>14.428100000000001</v>
      </c>
      <c r="U181">
        <v>14.8773</v>
      </c>
      <c r="V181">
        <v>15.129799999999999</v>
      </c>
      <c r="W181">
        <v>15.328099999999999</v>
      </c>
      <c r="X181">
        <v>15.021800000000001</v>
      </c>
      <c r="Y181">
        <v>15.3492</v>
      </c>
      <c r="Z181">
        <v>14.443</v>
      </c>
      <c r="AA181">
        <v>13.829599999999999</v>
      </c>
      <c r="AB181">
        <v>13.0749</v>
      </c>
      <c r="AC181">
        <v>13.347200000000001</v>
      </c>
      <c r="AD181" t="s">
        <v>73</v>
      </c>
    </row>
    <row r="182" spans="1:30" x14ac:dyDescent="0.3">
      <c r="A182" t="s">
        <v>564</v>
      </c>
      <c r="B182" s="5" t="s">
        <v>565</v>
      </c>
      <c r="C182" t="s">
        <v>389</v>
      </c>
      <c r="D182" s="5" t="s">
        <v>390</v>
      </c>
      <c r="E182">
        <v>1.2236</v>
      </c>
      <c r="F182">
        <v>1.2261</v>
      </c>
      <c r="G182">
        <v>1.2315</v>
      </c>
      <c r="H182">
        <v>1.1608000000000001</v>
      </c>
      <c r="I182">
        <v>1.1888000000000001</v>
      </c>
      <c r="J182">
        <v>1.1258999999999999</v>
      </c>
      <c r="K182">
        <v>1.1507000000000001</v>
      </c>
      <c r="L182">
        <v>1.1305000000000001</v>
      </c>
      <c r="M182">
        <v>1.2879</v>
      </c>
      <c r="N182">
        <v>1.3137000000000001</v>
      </c>
      <c r="O182">
        <v>1.3579000000000001</v>
      </c>
      <c r="P182">
        <v>1.3773</v>
      </c>
      <c r="Q182">
        <v>1.3459000000000001</v>
      </c>
      <c r="R182">
        <v>1.3895999999999999</v>
      </c>
      <c r="S182">
        <v>1.4654</v>
      </c>
      <c r="T182">
        <v>1.7019</v>
      </c>
      <c r="U182">
        <v>1.1679999999999999</v>
      </c>
      <c r="V182">
        <v>1.0268999999999999</v>
      </c>
      <c r="W182">
        <v>1.1532</v>
      </c>
      <c r="X182">
        <v>0.95509999999999995</v>
      </c>
      <c r="Y182">
        <v>1.3441000000000001</v>
      </c>
      <c r="Z182">
        <v>0.92820000000000003</v>
      </c>
      <c r="AA182">
        <v>1.244</v>
      </c>
      <c r="AB182">
        <v>1.2765</v>
      </c>
      <c r="AC182">
        <v>1.3167</v>
      </c>
      <c r="AD182" t="s">
        <v>73</v>
      </c>
    </row>
    <row r="183" spans="1:30" x14ac:dyDescent="0.3">
      <c r="A183" t="s">
        <v>564</v>
      </c>
      <c r="B183" s="5" t="s">
        <v>565</v>
      </c>
      <c r="C183" t="s">
        <v>391</v>
      </c>
      <c r="D183" s="5" t="s">
        <v>392</v>
      </c>
      <c r="E183">
        <v>4.7999999999999996E-3</v>
      </c>
      <c r="F183">
        <v>4.7999999999999996E-3</v>
      </c>
      <c r="G183">
        <v>4.7999999999999996E-3</v>
      </c>
      <c r="H183">
        <v>4.7999999999999996E-3</v>
      </c>
      <c r="I183">
        <v>5.1000000000000004E-3</v>
      </c>
      <c r="J183">
        <v>4.7999999999999996E-3</v>
      </c>
      <c r="K183">
        <v>4.1999999999999997E-3</v>
      </c>
      <c r="L183">
        <v>4.5999999999999999E-3</v>
      </c>
      <c r="M183">
        <v>4.7999999999999996E-3</v>
      </c>
      <c r="N183">
        <v>4.7999999999999996E-3</v>
      </c>
      <c r="O183">
        <v>4.7999999999999996E-3</v>
      </c>
      <c r="P183">
        <v>4.7999999999999996E-3</v>
      </c>
      <c r="Q183">
        <v>2.3999999999999998E-3</v>
      </c>
      <c r="R183">
        <v>2.3E-3</v>
      </c>
      <c r="S183">
        <v>2E-3</v>
      </c>
      <c r="T183">
        <v>2.2000000000000001E-3</v>
      </c>
      <c r="U183">
        <v>2E-3</v>
      </c>
      <c r="V183">
        <v>1.9E-3</v>
      </c>
      <c r="W183">
        <v>2.2000000000000001E-3</v>
      </c>
      <c r="X183">
        <v>2.2000000000000001E-3</v>
      </c>
      <c r="Y183">
        <v>2.0999999999999999E-3</v>
      </c>
      <c r="Z183">
        <v>3.2000000000000002E-3</v>
      </c>
      <c r="AA183">
        <v>4.4000000000000003E-3</v>
      </c>
      <c r="AB183">
        <v>3.7000000000000002E-3</v>
      </c>
      <c r="AC183">
        <v>4.0000000000000001E-3</v>
      </c>
      <c r="AD183" t="s">
        <v>73</v>
      </c>
    </row>
    <row r="184" spans="1:30" x14ac:dyDescent="0.3">
      <c r="A184" t="s">
        <v>564</v>
      </c>
      <c r="B184" s="5" t="s">
        <v>565</v>
      </c>
      <c r="C184" t="s">
        <v>393</v>
      </c>
      <c r="D184" s="5" t="s">
        <v>394</v>
      </c>
      <c r="E184">
        <v>8.3999999999999995E-3</v>
      </c>
      <c r="F184">
        <v>8.3999999999999995E-3</v>
      </c>
      <c r="G184">
        <v>8.3999999999999995E-3</v>
      </c>
      <c r="H184">
        <v>8.6999999999999994E-3</v>
      </c>
      <c r="I184">
        <v>8.8000000000000005E-3</v>
      </c>
      <c r="J184">
        <v>8.9999999999999993E-3</v>
      </c>
      <c r="K184">
        <v>8.6999999999999994E-3</v>
      </c>
      <c r="L184">
        <v>9.5999999999999992E-3</v>
      </c>
      <c r="M184">
        <v>8.9999999999999993E-3</v>
      </c>
      <c r="N184">
        <v>8.9999999999999993E-3</v>
      </c>
      <c r="O184">
        <v>8.8000000000000005E-3</v>
      </c>
      <c r="P184">
        <v>8.8000000000000005E-3</v>
      </c>
      <c r="Q184">
        <v>8.6999999999999994E-3</v>
      </c>
      <c r="R184">
        <v>8.3000000000000001E-3</v>
      </c>
      <c r="S184">
        <v>8.8000000000000005E-3</v>
      </c>
      <c r="T184">
        <v>9.1000000000000004E-3</v>
      </c>
      <c r="U184">
        <v>9.1000000000000004E-3</v>
      </c>
      <c r="V184">
        <v>9.4000000000000004E-3</v>
      </c>
      <c r="W184">
        <v>9.2999999999999992E-3</v>
      </c>
      <c r="X184">
        <v>9.1000000000000004E-3</v>
      </c>
      <c r="Y184">
        <v>8.8999999999999999E-3</v>
      </c>
      <c r="Z184">
        <v>8.3000000000000001E-3</v>
      </c>
      <c r="AA184">
        <v>8.5000000000000006E-3</v>
      </c>
      <c r="AB184">
        <v>8.3000000000000001E-3</v>
      </c>
      <c r="AC184">
        <v>8.2000000000000007E-3</v>
      </c>
      <c r="AD184" t="s">
        <v>73</v>
      </c>
    </row>
    <row r="185" spans="1:30" x14ac:dyDescent="0.3">
      <c r="A185" t="s">
        <v>564</v>
      </c>
      <c r="B185" s="5" t="s">
        <v>565</v>
      </c>
      <c r="C185" t="s">
        <v>395</v>
      </c>
      <c r="D185" s="5" t="s">
        <v>396</v>
      </c>
      <c r="E185" t="s">
        <v>73</v>
      </c>
      <c r="F185" t="s">
        <v>73</v>
      </c>
      <c r="G185" t="s">
        <v>73</v>
      </c>
      <c r="H185" t="s">
        <v>73</v>
      </c>
      <c r="I185" t="s">
        <v>73</v>
      </c>
      <c r="J185" t="s">
        <v>73</v>
      </c>
      <c r="K185" t="s">
        <v>73</v>
      </c>
      <c r="L185" t="s">
        <v>73</v>
      </c>
      <c r="M185" t="s">
        <v>73</v>
      </c>
      <c r="N185" t="s">
        <v>73</v>
      </c>
      <c r="O185" t="s">
        <v>73</v>
      </c>
      <c r="P185" t="s">
        <v>73</v>
      </c>
      <c r="Q185" t="s">
        <v>73</v>
      </c>
      <c r="R185" t="s">
        <v>73</v>
      </c>
      <c r="S185" t="s">
        <v>73</v>
      </c>
      <c r="T185" t="s">
        <v>73</v>
      </c>
      <c r="U185" t="s">
        <v>73</v>
      </c>
      <c r="V185" t="s">
        <v>73</v>
      </c>
      <c r="W185" t="s">
        <v>73</v>
      </c>
      <c r="X185" t="s">
        <v>73</v>
      </c>
      <c r="Y185" t="s">
        <v>73</v>
      </c>
      <c r="Z185" t="s">
        <v>73</v>
      </c>
      <c r="AA185" t="s">
        <v>73</v>
      </c>
      <c r="AB185" t="s">
        <v>73</v>
      </c>
      <c r="AC185" t="s">
        <v>73</v>
      </c>
      <c r="AD185" t="s">
        <v>73</v>
      </c>
    </row>
    <row r="186" spans="1:30" x14ac:dyDescent="0.3">
      <c r="A186" t="s">
        <v>564</v>
      </c>
      <c r="B186" s="5" t="s">
        <v>565</v>
      </c>
      <c r="C186" t="s">
        <v>397</v>
      </c>
      <c r="D186" s="5" t="s">
        <v>398</v>
      </c>
      <c r="E186">
        <v>6.0000000000000001E-3</v>
      </c>
      <c r="F186">
        <v>6.0000000000000001E-3</v>
      </c>
      <c r="G186">
        <v>5.8999999999999999E-3</v>
      </c>
      <c r="H186">
        <v>5.5999999999999999E-3</v>
      </c>
      <c r="I186">
        <v>5.7000000000000002E-3</v>
      </c>
      <c r="J186">
        <v>5.7999999999999996E-3</v>
      </c>
      <c r="K186">
        <v>5.8999999999999999E-3</v>
      </c>
      <c r="L186">
        <v>6.1999999999999998E-3</v>
      </c>
      <c r="M186">
        <v>6.1000000000000004E-3</v>
      </c>
      <c r="N186">
        <v>6.1999999999999998E-3</v>
      </c>
      <c r="O186">
        <v>6.0000000000000001E-3</v>
      </c>
      <c r="P186">
        <v>5.8999999999999999E-3</v>
      </c>
      <c r="Q186">
        <v>5.4999999999999997E-3</v>
      </c>
      <c r="R186">
        <v>5.3E-3</v>
      </c>
      <c r="S186">
        <v>5.1999999999999998E-3</v>
      </c>
      <c r="T186">
        <v>5.1000000000000004E-3</v>
      </c>
      <c r="U186">
        <v>4.8999999999999998E-3</v>
      </c>
      <c r="V186">
        <v>4.7999999999999996E-3</v>
      </c>
      <c r="W186">
        <v>4.7999999999999996E-3</v>
      </c>
      <c r="X186">
        <v>4.7000000000000002E-3</v>
      </c>
      <c r="Y186">
        <v>4.5999999999999999E-3</v>
      </c>
      <c r="Z186">
        <v>4.4999999999999997E-3</v>
      </c>
      <c r="AA186">
        <v>4.4000000000000003E-3</v>
      </c>
      <c r="AB186">
        <v>4.4000000000000003E-3</v>
      </c>
      <c r="AC186">
        <v>4.3E-3</v>
      </c>
      <c r="AD186" t="s">
        <v>73</v>
      </c>
    </row>
    <row r="187" spans="1:30" x14ac:dyDescent="0.3">
      <c r="A187" t="s">
        <v>564</v>
      </c>
      <c r="B187" s="5" t="s">
        <v>565</v>
      </c>
      <c r="C187" t="s">
        <v>399</v>
      </c>
      <c r="D187" s="5" t="s">
        <v>400</v>
      </c>
      <c r="E187">
        <v>19.9299</v>
      </c>
      <c r="F187">
        <v>21.005199999999999</v>
      </c>
      <c r="G187">
        <v>21.189</v>
      </c>
      <c r="H187">
        <v>22.128299999999999</v>
      </c>
      <c r="I187">
        <v>22.428699999999999</v>
      </c>
      <c r="J187">
        <v>23.093599999999999</v>
      </c>
      <c r="K187">
        <v>23.189699999999998</v>
      </c>
      <c r="L187">
        <v>23.349900000000002</v>
      </c>
      <c r="M187">
        <v>23.4742</v>
      </c>
      <c r="N187">
        <v>23.609100000000002</v>
      </c>
      <c r="O187">
        <v>23.771699999999999</v>
      </c>
      <c r="P187">
        <v>22.929500000000001</v>
      </c>
      <c r="Q187">
        <v>23.997</v>
      </c>
      <c r="R187">
        <v>24.3904</v>
      </c>
      <c r="S187">
        <v>24.693100000000001</v>
      </c>
      <c r="T187">
        <v>24.696899999999999</v>
      </c>
      <c r="U187">
        <v>25.311599999999999</v>
      </c>
      <c r="V187">
        <v>24.662199999999999</v>
      </c>
      <c r="W187">
        <v>25.890799999999999</v>
      </c>
      <c r="X187">
        <v>26.042200000000001</v>
      </c>
      <c r="Y187">
        <v>25.778199999999998</v>
      </c>
      <c r="Z187">
        <v>25.847100000000001</v>
      </c>
      <c r="AA187">
        <v>26.520499999999998</v>
      </c>
      <c r="AB187">
        <v>26.149000000000001</v>
      </c>
      <c r="AC187">
        <v>26.291</v>
      </c>
      <c r="AD187" t="s">
        <v>73</v>
      </c>
    </row>
    <row r="188" spans="1:30" x14ac:dyDescent="0.3">
      <c r="A188" t="s">
        <v>564</v>
      </c>
      <c r="B188" s="5" t="s">
        <v>565</v>
      </c>
      <c r="C188" t="s">
        <v>401</v>
      </c>
      <c r="D188" s="5" t="s">
        <v>402</v>
      </c>
      <c r="E188">
        <v>7.1199999999999999E-2</v>
      </c>
      <c r="F188">
        <v>6.8500000000000005E-2</v>
      </c>
      <c r="G188">
        <v>5.4600000000000003E-2</v>
      </c>
      <c r="H188">
        <v>5.5E-2</v>
      </c>
      <c r="I188">
        <v>6.5000000000000002E-2</v>
      </c>
      <c r="J188">
        <v>6.4000000000000001E-2</v>
      </c>
      <c r="K188">
        <v>6.5000000000000002E-2</v>
      </c>
      <c r="L188">
        <v>6.88E-2</v>
      </c>
      <c r="M188">
        <v>6.6000000000000003E-2</v>
      </c>
      <c r="N188">
        <v>7.2400000000000006E-2</v>
      </c>
      <c r="O188">
        <v>7.4899999999999994E-2</v>
      </c>
      <c r="P188">
        <v>7.3599999999999999E-2</v>
      </c>
      <c r="Q188">
        <v>7.46E-2</v>
      </c>
      <c r="R188">
        <v>7.0199999999999999E-2</v>
      </c>
      <c r="S188">
        <v>6.9000000000000006E-2</v>
      </c>
      <c r="T188">
        <v>6.9400000000000003E-2</v>
      </c>
      <c r="U188">
        <v>6.93E-2</v>
      </c>
      <c r="V188">
        <v>7.1199999999999999E-2</v>
      </c>
      <c r="W188">
        <v>7.0400000000000004E-2</v>
      </c>
      <c r="X188">
        <v>7.0800000000000002E-2</v>
      </c>
      <c r="Y188">
        <v>6.9800000000000001E-2</v>
      </c>
      <c r="Z188">
        <v>7.2099999999999997E-2</v>
      </c>
      <c r="AA188">
        <v>7.0400000000000004E-2</v>
      </c>
      <c r="AB188">
        <v>6.9099999999999995E-2</v>
      </c>
      <c r="AC188">
        <v>6.9400000000000003E-2</v>
      </c>
      <c r="AD188" t="s">
        <v>73</v>
      </c>
    </row>
    <row r="189" spans="1:30" x14ac:dyDescent="0.3">
      <c r="A189" t="s">
        <v>564</v>
      </c>
      <c r="B189" s="5" t="s">
        <v>565</v>
      </c>
      <c r="C189" t="s">
        <v>40</v>
      </c>
      <c r="D189" s="5" t="s">
        <v>403</v>
      </c>
      <c r="E189">
        <v>3.9169</v>
      </c>
      <c r="F189">
        <v>3.8835999999999999</v>
      </c>
      <c r="G189">
        <v>3.8614999999999999</v>
      </c>
      <c r="H189">
        <v>3.8285</v>
      </c>
      <c r="I189">
        <v>3.8081999999999998</v>
      </c>
      <c r="J189">
        <v>3.8668</v>
      </c>
      <c r="K189">
        <v>3.8193999999999999</v>
      </c>
      <c r="L189">
        <v>3.9582999999999999</v>
      </c>
      <c r="M189">
        <v>3.7833000000000001</v>
      </c>
      <c r="N189">
        <v>3.8879000000000001</v>
      </c>
      <c r="O189">
        <v>3.8942999999999999</v>
      </c>
      <c r="P189">
        <v>3.8780000000000001</v>
      </c>
      <c r="Q189">
        <v>3.9022999999999999</v>
      </c>
      <c r="R189">
        <v>3.9041999999999999</v>
      </c>
      <c r="S189">
        <v>4.04</v>
      </c>
      <c r="T189">
        <v>4.1116999999999999</v>
      </c>
      <c r="U189">
        <v>4.1736000000000004</v>
      </c>
      <c r="V189">
        <v>4.1619000000000002</v>
      </c>
      <c r="W189">
        <v>4.0763999999999996</v>
      </c>
      <c r="X189">
        <v>4.2839999999999998</v>
      </c>
      <c r="Y189">
        <v>4.3308999999999997</v>
      </c>
      <c r="Z189">
        <v>4.1547000000000001</v>
      </c>
      <c r="AA189">
        <v>4.1551</v>
      </c>
      <c r="AB189">
        <v>4.0551000000000004</v>
      </c>
      <c r="AC189">
        <v>4.0853000000000002</v>
      </c>
      <c r="AD189" t="s">
        <v>73</v>
      </c>
    </row>
    <row r="190" spans="1:30" x14ac:dyDescent="0.3">
      <c r="A190" t="s">
        <v>564</v>
      </c>
      <c r="B190" s="5" t="s">
        <v>565</v>
      </c>
      <c r="C190" t="s">
        <v>41</v>
      </c>
      <c r="D190" s="5" t="s">
        <v>404</v>
      </c>
      <c r="E190">
        <v>1.5648</v>
      </c>
      <c r="F190">
        <v>1.5682</v>
      </c>
      <c r="G190">
        <v>1.5258</v>
      </c>
      <c r="H190">
        <v>1.5173000000000001</v>
      </c>
      <c r="I190">
        <v>1.5135000000000001</v>
      </c>
      <c r="J190">
        <v>1.5298</v>
      </c>
      <c r="K190">
        <v>1.5142</v>
      </c>
      <c r="L190">
        <v>1.4714</v>
      </c>
      <c r="M190">
        <v>1.4671000000000001</v>
      </c>
      <c r="N190">
        <v>1.4516</v>
      </c>
      <c r="O190">
        <v>1.4410000000000001</v>
      </c>
      <c r="P190">
        <v>1.488</v>
      </c>
      <c r="Q190">
        <v>1.4036</v>
      </c>
      <c r="R190">
        <v>1.391</v>
      </c>
      <c r="S190">
        <v>1.3856999999999999</v>
      </c>
      <c r="T190">
        <v>1.3547</v>
      </c>
      <c r="U190">
        <v>1.3393999999999999</v>
      </c>
      <c r="V190">
        <v>1.3951</v>
      </c>
      <c r="W190">
        <v>1.3955</v>
      </c>
      <c r="X190">
        <v>1.3902000000000001</v>
      </c>
      <c r="Y190">
        <v>1.4830000000000001</v>
      </c>
      <c r="Z190">
        <v>1.4773000000000001</v>
      </c>
      <c r="AA190">
        <v>1.4398</v>
      </c>
      <c r="AB190">
        <v>1.4482999999999999</v>
      </c>
      <c r="AC190">
        <v>1.4686999999999999</v>
      </c>
      <c r="AD190" t="s">
        <v>73</v>
      </c>
    </row>
    <row r="191" spans="1:30" x14ac:dyDescent="0.3">
      <c r="A191" t="s">
        <v>564</v>
      </c>
      <c r="B191" s="5" t="s">
        <v>565</v>
      </c>
      <c r="C191" t="s">
        <v>405</v>
      </c>
      <c r="D191" s="5" t="s">
        <v>406</v>
      </c>
      <c r="E191">
        <v>2.8660000000000001</v>
      </c>
      <c r="F191">
        <v>2.5771999999999999</v>
      </c>
      <c r="G191">
        <v>2.8006000000000002</v>
      </c>
      <c r="H191">
        <v>2.9617</v>
      </c>
      <c r="I191">
        <v>3.4377</v>
      </c>
      <c r="J191">
        <v>3.62</v>
      </c>
      <c r="K191">
        <v>3.3805000000000001</v>
      </c>
      <c r="L191">
        <v>3.5164</v>
      </c>
      <c r="M191">
        <v>3.0038</v>
      </c>
      <c r="N191">
        <v>3.0516999999999999</v>
      </c>
      <c r="O191">
        <v>2.8725000000000001</v>
      </c>
      <c r="P191">
        <v>3.1103000000000001</v>
      </c>
      <c r="Q191">
        <v>2.8315999999999999</v>
      </c>
      <c r="R191">
        <v>2.218</v>
      </c>
      <c r="S191">
        <v>2.1453000000000002</v>
      </c>
      <c r="T191">
        <v>1.982</v>
      </c>
      <c r="U191">
        <v>1.8442000000000001</v>
      </c>
      <c r="V191">
        <v>1.8132999999999999</v>
      </c>
      <c r="W191">
        <v>1.6603000000000001</v>
      </c>
      <c r="X191">
        <v>1.9127000000000001</v>
      </c>
      <c r="Y191">
        <v>2.1175000000000002</v>
      </c>
      <c r="Z191">
        <v>1.9280999999999999</v>
      </c>
      <c r="AA191">
        <v>2.0013999999999998</v>
      </c>
      <c r="AB191">
        <v>2.1549</v>
      </c>
      <c r="AC191">
        <v>2.2393000000000001</v>
      </c>
      <c r="AD191" t="s">
        <v>73</v>
      </c>
    </row>
    <row r="192" spans="1:30" x14ac:dyDescent="0.3">
      <c r="A192" t="s">
        <v>564</v>
      </c>
      <c r="B192" s="5" t="s">
        <v>565</v>
      </c>
      <c r="C192" t="s">
        <v>407</v>
      </c>
      <c r="D192" s="5" t="s">
        <v>408</v>
      </c>
      <c r="E192">
        <v>0.77439999999999998</v>
      </c>
      <c r="F192">
        <v>0.75760000000000005</v>
      </c>
      <c r="G192">
        <v>0.87109999999999999</v>
      </c>
      <c r="H192">
        <v>0.89890000000000003</v>
      </c>
      <c r="I192">
        <v>0.93689999999999996</v>
      </c>
      <c r="J192">
        <v>0.98280000000000001</v>
      </c>
      <c r="K192">
        <v>1.0041</v>
      </c>
      <c r="L192">
        <v>1.0187999999999999</v>
      </c>
      <c r="M192">
        <v>1.1887000000000001</v>
      </c>
      <c r="N192">
        <v>1.2666999999999999</v>
      </c>
      <c r="O192">
        <v>1.2831999999999999</v>
      </c>
      <c r="P192">
        <v>1.3109</v>
      </c>
      <c r="Q192">
        <v>1.3564000000000001</v>
      </c>
      <c r="R192">
        <v>1.4338</v>
      </c>
      <c r="S192">
        <v>1.4782999999999999</v>
      </c>
      <c r="T192">
        <v>1.5275000000000001</v>
      </c>
      <c r="U192">
        <v>1.5381</v>
      </c>
      <c r="V192">
        <v>1.8188</v>
      </c>
      <c r="W192">
        <v>1.8042</v>
      </c>
      <c r="X192">
        <v>1.7678</v>
      </c>
      <c r="Y192">
        <v>1.8940999999999999</v>
      </c>
      <c r="Z192">
        <v>1.8086</v>
      </c>
      <c r="AA192">
        <v>1.8686</v>
      </c>
      <c r="AB192">
        <v>1.8573</v>
      </c>
      <c r="AC192">
        <v>1.8492</v>
      </c>
      <c r="AD192" t="s">
        <v>73</v>
      </c>
    </row>
    <row r="193" spans="1:30" x14ac:dyDescent="0.3">
      <c r="A193" t="s">
        <v>564</v>
      </c>
      <c r="B193" s="5" t="s">
        <v>565</v>
      </c>
      <c r="C193" t="s">
        <v>409</v>
      </c>
      <c r="D193" s="5" t="s">
        <v>410</v>
      </c>
      <c r="E193">
        <v>7.3916000000000004</v>
      </c>
      <c r="F193">
        <v>7.5757000000000003</v>
      </c>
      <c r="G193">
        <v>7.8582000000000001</v>
      </c>
      <c r="H193">
        <v>8.1042000000000005</v>
      </c>
      <c r="I193">
        <v>8.2791999999999994</v>
      </c>
      <c r="J193">
        <v>8.3207000000000004</v>
      </c>
      <c r="K193">
        <v>8.7293000000000003</v>
      </c>
      <c r="L193">
        <v>8.7765000000000004</v>
      </c>
      <c r="M193">
        <v>9.0028000000000006</v>
      </c>
      <c r="N193">
        <v>9.1988000000000003</v>
      </c>
      <c r="O193">
        <v>9.4625000000000004</v>
      </c>
      <c r="P193">
        <v>10.183999999999999</v>
      </c>
      <c r="Q193">
        <v>10.7895</v>
      </c>
      <c r="R193">
        <v>11.6614</v>
      </c>
      <c r="S193">
        <v>12.043900000000001</v>
      </c>
      <c r="T193">
        <v>12.1332</v>
      </c>
      <c r="U193">
        <v>12.469799999999999</v>
      </c>
      <c r="V193">
        <v>12.624599999999999</v>
      </c>
      <c r="W193">
        <v>12.9725</v>
      </c>
      <c r="X193">
        <v>13.1412</v>
      </c>
      <c r="Y193">
        <v>14.084899999999999</v>
      </c>
      <c r="Z193">
        <v>14.028499999999999</v>
      </c>
      <c r="AA193">
        <v>14.6715</v>
      </c>
      <c r="AB193">
        <v>17.302399999999999</v>
      </c>
      <c r="AC193">
        <v>18.2088</v>
      </c>
      <c r="AD193" t="s">
        <v>73</v>
      </c>
    </row>
    <row r="194" spans="1:30" x14ac:dyDescent="0.3">
      <c r="A194" t="s">
        <v>564</v>
      </c>
      <c r="B194" s="5" t="s">
        <v>565</v>
      </c>
      <c r="C194" t="s">
        <v>411</v>
      </c>
      <c r="D194" s="5" t="s">
        <v>412</v>
      </c>
      <c r="E194">
        <v>10.7059</v>
      </c>
      <c r="F194">
        <v>11.0131</v>
      </c>
      <c r="G194">
        <v>11.2835</v>
      </c>
      <c r="H194">
        <v>11.72</v>
      </c>
      <c r="I194">
        <v>11.4221</v>
      </c>
      <c r="J194">
        <v>11.351100000000001</v>
      </c>
      <c r="K194">
        <v>10.966200000000001</v>
      </c>
      <c r="L194">
        <v>11.8162</v>
      </c>
      <c r="M194">
        <v>11.340199999999999</v>
      </c>
      <c r="N194">
        <v>12.9726</v>
      </c>
      <c r="O194">
        <v>13.4748</v>
      </c>
      <c r="P194">
        <v>13.7715</v>
      </c>
      <c r="Q194">
        <v>13.578099999999999</v>
      </c>
      <c r="R194">
        <v>14.1867</v>
      </c>
      <c r="S194">
        <v>13.233599999999999</v>
      </c>
      <c r="T194">
        <v>12.215</v>
      </c>
      <c r="U194">
        <v>13.1113</v>
      </c>
      <c r="V194">
        <v>13.958399999999999</v>
      </c>
      <c r="W194">
        <v>14.0106</v>
      </c>
      <c r="X194">
        <v>12.6035</v>
      </c>
      <c r="Y194">
        <v>12.925000000000001</v>
      </c>
      <c r="Z194">
        <v>12.328799999999999</v>
      </c>
      <c r="AA194">
        <v>11.841699999999999</v>
      </c>
      <c r="AB194">
        <v>11.4872</v>
      </c>
      <c r="AC194">
        <v>11.0823</v>
      </c>
      <c r="AD194" t="s">
        <v>73</v>
      </c>
    </row>
    <row r="195" spans="1:30" x14ac:dyDescent="0.3">
      <c r="A195" t="s">
        <v>564</v>
      </c>
      <c r="B195" s="5" t="s">
        <v>565</v>
      </c>
      <c r="C195" t="s">
        <v>413</v>
      </c>
      <c r="D195" s="5" t="s">
        <v>414</v>
      </c>
      <c r="E195">
        <v>0.1263</v>
      </c>
      <c r="F195">
        <v>0.1484</v>
      </c>
      <c r="G195">
        <v>0.14899999999999999</v>
      </c>
      <c r="H195">
        <v>0.14399999999999999</v>
      </c>
      <c r="I195">
        <v>0.13769999999999999</v>
      </c>
      <c r="J195">
        <v>0.1452</v>
      </c>
      <c r="K195">
        <v>0.14860000000000001</v>
      </c>
      <c r="L195">
        <v>0.14990000000000001</v>
      </c>
      <c r="M195">
        <v>0.1542</v>
      </c>
      <c r="N195">
        <v>0.15840000000000001</v>
      </c>
      <c r="O195">
        <v>0.15529999999999999</v>
      </c>
      <c r="P195">
        <v>0.15629999999999999</v>
      </c>
      <c r="Q195">
        <v>0.16270000000000001</v>
      </c>
      <c r="R195">
        <v>0.16739999999999999</v>
      </c>
      <c r="S195">
        <v>0.16880000000000001</v>
      </c>
      <c r="T195">
        <v>0.19120000000000001</v>
      </c>
      <c r="U195">
        <v>0.1903</v>
      </c>
      <c r="V195">
        <v>0.18770000000000001</v>
      </c>
      <c r="W195">
        <v>0.18920000000000001</v>
      </c>
      <c r="X195">
        <v>0.21060000000000001</v>
      </c>
      <c r="Y195">
        <v>0.19359999999999999</v>
      </c>
      <c r="Z195">
        <v>0.18129999999999999</v>
      </c>
      <c r="AA195">
        <v>0.19339999999999999</v>
      </c>
      <c r="AB195">
        <v>0.1991</v>
      </c>
      <c r="AC195">
        <v>0.20100000000000001</v>
      </c>
      <c r="AD195" t="s">
        <v>73</v>
      </c>
    </row>
    <row r="196" spans="1:30" x14ac:dyDescent="0.3">
      <c r="A196" t="s">
        <v>564</v>
      </c>
      <c r="B196" s="5" t="s">
        <v>565</v>
      </c>
      <c r="C196" t="s">
        <v>415</v>
      </c>
      <c r="D196" s="5" t="s">
        <v>416</v>
      </c>
      <c r="E196">
        <v>0.38129999999999997</v>
      </c>
      <c r="F196">
        <v>0.38969999999999999</v>
      </c>
      <c r="G196">
        <v>0.40200000000000002</v>
      </c>
      <c r="H196">
        <v>0.4123</v>
      </c>
      <c r="I196">
        <v>0.41520000000000001</v>
      </c>
      <c r="J196">
        <v>0.4451</v>
      </c>
      <c r="K196">
        <v>0.4607</v>
      </c>
      <c r="L196">
        <v>0.46929999999999999</v>
      </c>
      <c r="M196">
        <v>0.47239999999999999</v>
      </c>
      <c r="N196">
        <v>0.49299999999999999</v>
      </c>
      <c r="O196">
        <v>0.50060000000000004</v>
      </c>
      <c r="P196">
        <v>0.50700000000000001</v>
      </c>
      <c r="Q196">
        <v>0.62270000000000003</v>
      </c>
      <c r="R196">
        <v>0.66839999999999999</v>
      </c>
      <c r="S196">
        <v>0.65710000000000002</v>
      </c>
      <c r="T196">
        <v>0.68049999999999999</v>
      </c>
      <c r="U196">
        <v>0.71120000000000005</v>
      </c>
      <c r="V196">
        <v>0.74250000000000005</v>
      </c>
      <c r="W196">
        <v>0.77539999999999998</v>
      </c>
      <c r="X196">
        <v>0.81369999999999998</v>
      </c>
      <c r="Y196">
        <v>0.85099999999999998</v>
      </c>
      <c r="Z196">
        <v>0.89419999999999999</v>
      </c>
      <c r="AA196">
        <v>0.93789999999999996</v>
      </c>
      <c r="AB196">
        <v>0.97760000000000002</v>
      </c>
      <c r="AC196">
        <v>1.0155000000000001</v>
      </c>
      <c r="AD196" t="s">
        <v>73</v>
      </c>
    </row>
    <row r="197" spans="1:30" x14ac:dyDescent="0.3">
      <c r="A197" t="s">
        <v>564</v>
      </c>
      <c r="B197" s="5" t="s">
        <v>565</v>
      </c>
      <c r="C197" t="s">
        <v>417</v>
      </c>
      <c r="D197" s="5" t="s">
        <v>418</v>
      </c>
      <c r="E197">
        <v>1.8200000000000001E-2</v>
      </c>
      <c r="F197">
        <v>1.8100000000000002E-2</v>
      </c>
      <c r="G197">
        <v>1.83E-2</v>
      </c>
      <c r="H197">
        <v>1.84E-2</v>
      </c>
      <c r="I197">
        <v>1.84E-2</v>
      </c>
      <c r="J197">
        <v>1.84E-2</v>
      </c>
      <c r="K197">
        <v>1.84E-2</v>
      </c>
      <c r="L197">
        <v>1.8599999999999998E-2</v>
      </c>
      <c r="M197">
        <v>1.8599999999999998E-2</v>
      </c>
      <c r="N197">
        <v>1.8499999999999999E-2</v>
      </c>
      <c r="O197">
        <v>1.8499999999999999E-2</v>
      </c>
      <c r="P197">
        <v>1.8499999999999999E-2</v>
      </c>
      <c r="Q197">
        <v>1.8700000000000001E-2</v>
      </c>
      <c r="R197">
        <v>1.8800000000000001E-2</v>
      </c>
      <c r="S197">
        <v>1.89E-2</v>
      </c>
      <c r="T197">
        <v>1.9099999999999999E-2</v>
      </c>
      <c r="U197">
        <v>1.9300000000000001E-2</v>
      </c>
      <c r="V197">
        <v>1.9400000000000001E-2</v>
      </c>
      <c r="W197">
        <v>1.9400000000000001E-2</v>
      </c>
      <c r="X197">
        <v>1.95E-2</v>
      </c>
      <c r="Y197">
        <v>1.9599999999999999E-2</v>
      </c>
      <c r="Z197">
        <v>1.9599999999999999E-2</v>
      </c>
      <c r="AA197">
        <v>1.9599999999999999E-2</v>
      </c>
      <c r="AB197">
        <v>1.9699999999999999E-2</v>
      </c>
      <c r="AC197">
        <v>1.9800000000000002E-2</v>
      </c>
      <c r="AD197" t="s">
        <v>73</v>
      </c>
    </row>
    <row r="198" spans="1:30" x14ac:dyDescent="0.3">
      <c r="A198" t="s">
        <v>564</v>
      </c>
      <c r="B198" s="5" t="s">
        <v>565</v>
      </c>
      <c r="C198" t="s">
        <v>419</v>
      </c>
      <c r="D198" s="5" t="s">
        <v>420</v>
      </c>
      <c r="E198">
        <v>9.7600000000000006E-2</v>
      </c>
      <c r="F198">
        <v>0.1076</v>
      </c>
      <c r="G198">
        <v>0.1101</v>
      </c>
      <c r="H198">
        <v>0.10009999999999999</v>
      </c>
      <c r="I198">
        <v>0.11650000000000001</v>
      </c>
      <c r="J198">
        <v>0.1163</v>
      </c>
      <c r="K198">
        <v>0.1172</v>
      </c>
      <c r="L198">
        <v>0.1171</v>
      </c>
      <c r="M198">
        <v>0.11409999999999999</v>
      </c>
      <c r="N198">
        <v>0.11899999999999999</v>
      </c>
      <c r="O198">
        <v>0.11940000000000001</v>
      </c>
      <c r="P198">
        <v>0.12089999999999999</v>
      </c>
      <c r="Q198">
        <v>0.12740000000000001</v>
      </c>
      <c r="R198">
        <v>0.13270000000000001</v>
      </c>
      <c r="S198">
        <v>0.1308</v>
      </c>
      <c r="T198">
        <v>0.13150000000000001</v>
      </c>
      <c r="U198">
        <v>0.13200000000000001</v>
      </c>
      <c r="V198">
        <v>0.1366</v>
      </c>
      <c r="W198">
        <v>0.13719999999999999</v>
      </c>
      <c r="X198">
        <v>0.1401</v>
      </c>
      <c r="Y198">
        <v>0.14280000000000001</v>
      </c>
      <c r="Z198">
        <v>0.1429</v>
      </c>
      <c r="AA198">
        <v>0.14380000000000001</v>
      </c>
      <c r="AB198">
        <v>0.14510000000000001</v>
      </c>
      <c r="AC198">
        <v>0.1467</v>
      </c>
      <c r="AD198" t="s">
        <v>73</v>
      </c>
    </row>
    <row r="199" spans="1:30" x14ac:dyDescent="0.3">
      <c r="A199" t="s">
        <v>564</v>
      </c>
      <c r="B199" s="5" t="s">
        <v>565</v>
      </c>
      <c r="C199" t="s">
        <v>421</v>
      </c>
      <c r="D199" s="5" t="s">
        <v>422</v>
      </c>
      <c r="E199">
        <v>1.2875000000000001</v>
      </c>
      <c r="F199">
        <v>1.2572000000000001</v>
      </c>
      <c r="G199">
        <v>1.2410000000000001</v>
      </c>
      <c r="H199">
        <v>1.2309000000000001</v>
      </c>
      <c r="I199">
        <v>1.2774000000000001</v>
      </c>
      <c r="J199">
        <v>1.3288</v>
      </c>
      <c r="K199">
        <v>1.3389</v>
      </c>
      <c r="L199">
        <v>1.3767</v>
      </c>
      <c r="M199">
        <v>1.3391</v>
      </c>
      <c r="N199">
        <v>1.3703000000000001</v>
      </c>
      <c r="O199">
        <v>1.3493999999999999</v>
      </c>
      <c r="P199">
        <v>1.3521000000000001</v>
      </c>
      <c r="Q199">
        <v>1.3682000000000001</v>
      </c>
      <c r="R199">
        <v>1.244</v>
      </c>
      <c r="S199">
        <v>1.298</v>
      </c>
      <c r="T199">
        <v>1.3210999999999999</v>
      </c>
      <c r="U199">
        <v>1.4040999999999999</v>
      </c>
      <c r="V199">
        <v>1.3041</v>
      </c>
      <c r="W199">
        <v>1.3399000000000001</v>
      </c>
      <c r="X199">
        <v>1.3051999999999999</v>
      </c>
      <c r="Y199">
        <v>1.2019</v>
      </c>
      <c r="Z199">
        <v>1.2925</v>
      </c>
      <c r="AA199">
        <v>1.3931</v>
      </c>
      <c r="AB199">
        <v>1.4029</v>
      </c>
      <c r="AC199">
        <v>1.4356</v>
      </c>
      <c r="AD199" t="s">
        <v>73</v>
      </c>
    </row>
    <row r="200" spans="1:30" x14ac:dyDescent="0.3">
      <c r="A200" t="s">
        <v>564</v>
      </c>
      <c r="B200" s="5" t="s">
        <v>565</v>
      </c>
      <c r="C200" t="s">
        <v>423</v>
      </c>
      <c r="D200" s="5" t="s">
        <v>424</v>
      </c>
      <c r="E200">
        <v>15.022399999999999</v>
      </c>
      <c r="F200">
        <v>13.881</v>
      </c>
      <c r="G200">
        <v>14.1129</v>
      </c>
      <c r="H200">
        <v>14.5732</v>
      </c>
      <c r="I200">
        <v>14.827500000000001</v>
      </c>
      <c r="J200">
        <v>15.073</v>
      </c>
      <c r="K200">
        <v>15.3628</v>
      </c>
      <c r="L200">
        <v>14.8226</v>
      </c>
      <c r="M200">
        <v>13.5786</v>
      </c>
      <c r="N200">
        <v>14.982100000000001</v>
      </c>
      <c r="O200">
        <v>14.543799999999999</v>
      </c>
      <c r="P200">
        <v>14.5787</v>
      </c>
      <c r="Q200">
        <v>15.9991</v>
      </c>
      <c r="R200">
        <v>17.6876</v>
      </c>
      <c r="S200">
        <v>17.409300000000002</v>
      </c>
      <c r="T200">
        <v>17.772600000000001</v>
      </c>
      <c r="U200">
        <v>19.863700000000001</v>
      </c>
      <c r="V200">
        <v>19.5701</v>
      </c>
      <c r="W200">
        <v>19.459299999999999</v>
      </c>
      <c r="X200">
        <v>20.5307</v>
      </c>
      <c r="Y200">
        <v>23.033899999999999</v>
      </c>
      <c r="Z200">
        <v>21.5853</v>
      </c>
      <c r="AA200">
        <v>20.200099999999999</v>
      </c>
      <c r="AB200">
        <v>19.721</v>
      </c>
      <c r="AC200">
        <v>19.401700000000002</v>
      </c>
      <c r="AD200" t="s">
        <v>73</v>
      </c>
    </row>
    <row r="201" spans="1:30" x14ac:dyDescent="0.3">
      <c r="A201" t="s">
        <v>564</v>
      </c>
      <c r="B201" s="5" t="s">
        <v>565</v>
      </c>
      <c r="C201" t="s">
        <v>425</v>
      </c>
      <c r="D201" s="5" t="s">
        <v>426</v>
      </c>
      <c r="E201">
        <v>1.7556</v>
      </c>
      <c r="F201">
        <v>1.9756</v>
      </c>
      <c r="G201">
        <v>2.2094999999999998</v>
      </c>
      <c r="H201">
        <v>2.5005999999999999</v>
      </c>
      <c r="I201">
        <v>2.6736</v>
      </c>
      <c r="J201">
        <v>3.0609999999999999</v>
      </c>
      <c r="K201">
        <v>3.5611999999999999</v>
      </c>
      <c r="L201">
        <v>3.4297</v>
      </c>
      <c r="M201">
        <v>3.6638000000000002</v>
      </c>
      <c r="N201">
        <v>3.5724</v>
      </c>
      <c r="O201">
        <v>3.6030000000000002</v>
      </c>
      <c r="P201">
        <v>3.5636000000000001</v>
      </c>
      <c r="Q201">
        <v>3.6345999999999998</v>
      </c>
      <c r="R201">
        <v>4.3098999999999998</v>
      </c>
      <c r="S201">
        <v>4.4633000000000003</v>
      </c>
      <c r="T201">
        <v>4.8411</v>
      </c>
      <c r="U201">
        <v>4.5608000000000004</v>
      </c>
      <c r="V201">
        <v>4.5366</v>
      </c>
      <c r="W201">
        <v>4.5157999999999996</v>
      </c>
      <c r="X201">
        <v>4.5762999999999998</v>
      </c>
      <c r="Y201">
        <v>4.7313999999999998</v>
      </c>
      <c r="Z201">
        <v>4.7138</v>
      </c>
      <c r="AA201">
        <v>4.7098000000000004</v>
      </c>
      <c r="AB201">
        <v>4.7247000000000003</v>
      </c>
      <c r="AC201">
        <v>4.7743000000000002</v>
      </c>
      <c r="AD201" t="s">
        <v>73</v>
      </c>
    </row>
    <row r="202" spans="1:30" x14ac:dyDescent="0.3">
      <c r="A202" t="s">
        <v>564</v>
      </c>
      <c r="B202" s="5" t="s">
        <v>565</v>
      </c>
      <c r="C202" t="s">
        <v>427</v>
      </c>
      <c r="D202" s="5" t="s">
        <v>428</v>
      </c>
      <c r="E202" t="s">
        <v>73</v>
      </c>
      <c r="F202" t="s">
        <v>73</v>
      </c>
      <c r="G202" t="s">
        <v>73</v>
      </c>
      <c r="H202" t="s">
        <v>73</v>
      </c>
      <c r="I202" t="s">
        <v>73</v>
      </c>
      <c r="J202" t="s">
        <v>73</v>
      </c>
      <c r="K202" t="s">
        <v>73</v>
      </c>
      <c r="L202" t="s">
        <v>73</v>
      </c>
      <c r="M202" t="s">
        <v>73</v>
      </c>
      <c r="N202" t="s">
        <v>73</v>
      </c>
      <c r="O202" t="s">
        <v>73</v>
      </c>
      <c r="P202" t="s">
        <v>73</v>
      </c>
      <c r="Q202" t="s">
        <v>73</v>
      </c>
      <c r="R202" t="s">
        <v>73</v>
      </c>
      <c r="S202" t="s">
        <v>73</v>
      </c>
      <c r="T202" t="s">
        <v>73</v>
      </c>
      <c r="U202" t="s">
        <v>73</v>
      </c>
      <c r="V202" t="s">
        <v>73</v>
      </c>
      <c r="W202" t="s">
        <v>73</v>
      </c>
      <c r="X202" t="s">
        <v>73</v>
      </c>
      <c r="Y202" t="s">
        <v>73</v>
      </c>
      <c r="Z202" t="s">
        <v>73</v>
      </c>
      <c r="AA202" t="s">
        <v>73</v>
      </c>
      <c r="AB202" t="s">
        <v>73</v>
      </c>
      <c r="AC202" t="s">
        <v>73</v>
      </c>
      <c r="AD202" t="s">
        <v>73</v>
      </c>
    </row>
    <row r="203" spans="1:30" x14ac:dyDescent="0.3">
      <c r="A203" t="s">
        <v>564</v>
      </c>
      <c r="B203" s="5" t="s">
        <v>565</v>
      </c>
      <c r="C203" t="s">
        <v>429</v>
      </c>
      <c r="D203" s="5" t="s">
        <v>430</v>
      </c>
      <c r="E203">
        <v>1.1000000000000001E-3</v>
      </c>
      <c r="F203">
        <v>1.1000000000000001E-3</v>
      </c>
      <c r="G203">
        <v>1.1000000000000001E-3</v>
      </c>
      <c r="H203">
        <v>1.1000000000000001E-3</v>
      </c>
      <c r="I203">
        <v>1.1000000000000001E-3</v>
      </c>
      <c r="J203">
        <v>1.1000000000000001E-3</v>
      </c>
      <c r="K203">
        <v>1.1000000000000001E-3</v>
      </c>
      <c r="L203">
        <v>1.1000000000000001E-3</v>
      </c>
      <c r="M203">
        <v>1.1000000000000001E-3</v>
      </c>
      <c r="N203">
        <v>1.1999999999999999E-3</v>
      </c>
      <c r="O203">
        <v>1.1999999999999999E-3</v>
      </c>
      <c r="P203">
        <v>1.1999999999999999E-3</v>
      </c>
      <c r="Q203">
        <v>1.1999999999999999E-3</v>
      </c>
      <c r="R203">
        <v>1.1999999999999999E-3</v>
      </c>
      <c r="S203">
        <v>1.1999999999999999E-3</v>
      </c>
      <c r="T203">
        <v>1.1999999999999999E-3</v>
      </c>
      <c r="U203">
        <v>1.1999999999999999E-3</v>
      </c>
      <c r="V203">
        <v>1.1999999999999999E-3</v>
      </c>
      <c r="W203">
        <v>1.1999999999999999E-3</v>
      </c>
      <c r="X203">
        <v>1.1999999999999999E-3</v>
      </c>
      <c r="Y203">
        <v>1.1999999999999999E-3</v>
      </c>
      <c r="Z203">
        <v>1.1999999999999999E-3</v>
      </c>
      <c r="AA203">
        <v>1.1999999999999999E-3</v>
      </c>
      <c r="AB203">
        <v>1.2999999999999999E-3</v>
      </c>
      <c r="AC203">
        <v>1.2999999999999999E-3</v>
      </c>
      <c r="AD203" t="s">
        <v>73</v>
      </c>
    </row>
    <row r="204" spans="1:30" x14ac:dyDescent="0.3">
      <c r="A204" t="s">
        <v>564</v>
      </c>
      <c r="B204" s="5" t="s">
        <v>565</v>
      </c>
      <c r="C204" t="s">
        <v>431</v>
      </c>
      <c r="D204" s="5" t="s">
        <v>432</v>
      </c>
      <c r="E204">
        <v>3.5657000000000001</v>
      </c>
      <c r="F204">
        <v>3.6749000000000001</v>
      </c>
      <c r="G204">
        <v>3.8371</v>
      </c>
      <c r="H204">
        <v>4.0317999999999996</v>
      </c>
      <c r="I204">
        <v>4.1398000000000001</v>
      </c>
      <c r="J204">
        <v>4.2613000000000003</v>
      </c>
      <c r="K204">
        <v>4.3628999999999998</v>
      </c>
      <c r="L204">
        <v>4.4889000000000001</v>
      </c>
      <c r="M204">
        <v>6.3761000000000001</v>
      </c>
      <c r="N204">
        <v>6.5580999999999996</v>
      </c>
      <c r="O204">
        <v>6.7500999999999998</v>
      </c>
      <c r="P204">
        <v>6.9359000000000002</v>
      </c>
      <c r="Q204">
        <v>7.1265000000000001</v>
      </c>
      <c r="R204">
        <v>7.2404000000000002</v>
      </c>
      <c r="S204">
        <v>7.4356999999999998</v>
      </c>
      <c r="T204">
        <v>7.6388999999999996</v>
      </c>
      <c r="U204">
        <v>7.8615000000000004</v>
      </c>
      <c r="V204">
        <v>7.8598999999999997</v>
      </c>
      <c r="W204">
        <v>8.0774000000000008</v>
      </c>
      <c r="X204">
        <v>8.0643999999999991</v>
      </c>
      <c r="Y204">
        <v>8.0227000000000004</v>
      </c>
      <c r="Z204">
        <v>8.1021999999999998</v>
      </c>
      <c r="AA204">
        <v>8.1646000000000001</v>
      </c>
      <c r="AB204">
        <v>8.7225999999999999</v>
      </c>
      <c r="AC204">
        <v>8.8567999999999998</v>
      </c>
      <c r="AD204" t="s">
        <v>73</v>
      </c>
    </row>
    <row r="205" spans="1:30" x14ac:dyDescent="0.3">
      <c r="A205" t="s">
        <v>564</v>
      </c>
      <c r="B205" s="5" t="s">
        <v>565</v>
      </c>
      <c r="C205" t="s">
        <v>433</v>
      </c>
      <c r="D205" s="5" t="s">
        <v>434</v>
      </c>
      <c r="E205">
        <v>14.321899999999999</v>
      </c>
      <c r="F205">
        <v>14.582100000000001</v>
      </c>
      <c r="G205">
        <v>14.3744</v>
      </c>
      <c r="H205">
        <v>13.882300000000001</v>
      </c>
      <c r="I205">
        <v>13.7463</v>
      </c>
      <c r="J205">
        <v>13.230399999999999</v>
      </c>
      <c r="K205">
        <v>13.008800000000001</v>
      </c>
      <c r="L205">
        <v>13.0566</v>
      </c>
      <c r="M205">
        <v>14.232699999999999</v>
      </c>
      <c r="N205">
        <v>13.6167</v>
      </c>
      <c r="O205">
        <v>13.5205</v>
      </c>
      <c r="P205">
        <v>16.880400000000002</v>
      </c>
      <c r="Q205">
        <v>16.738099999999999</v>
      </c>
      <c r="R205">
        <v>16.8995</v>
      </c>
      <c r="S205">
        <v>17.094000000000001</v>
      </c>
      <c r="T205">
        <v>16.612100000000002</v>
      </c>
      <c r="U205">
        <v>18.6797</v>
      </c>
      <c r="V205">
        <v>20.122499999999999</v>
      </c>
      <c r="W205">
        <v>18.990200000000002</v>
      </c>
      <c r="X205">
        <v>20.080200000000001</v>
      </c>
      <c r="Y205">
        <v>20.056799999999999</v>
      </c>
      <c r="Z205">
        <v>21.177099999999999</v>
      </c>
      <c r="AA205">
        <v>12.9718</v>
      </c>
      <c r="AB205">
        <v>12.151</v>
      </c>
      <c r="AC205">
        <v>11.2784</v>
      </c>
      <c r="AD205" t="s">
        <v>73</v>
      </c>
    </row>
    <row r="206" spans="1:30" x14ac:dyDescent="0.3">
      <c r="A206" t="s">
        <v>564</v>
      </c>
      <c r="B206" s="5" t="s">
        <v>565</v>
      </c>
      <c r="C206" t="s">
        <v>43</v>
      </c>
      <c r="D206" s="5" t="s">
        <v>435</v>
      </c>
      <c r="E206">
        <v>0.2361</v>
      </c>
      <c r="F206">
        <v>0.2487</v>
      </c>
      <c r="G206">
        <v>0.26250000000000001</v>
      </c>
      <c r="H206">
        <v>0.27900000000000003</v>
      </c>
      <c r="I206">
        <v>0.27560000000000001</v>
      </c>
      <c r="J206">
        <v>0.29289999999999999</v>
      </c>
      <c r="K206">
        <v>0.30420000000000003</v>
      </c>
      <c r="L206">
        <v>0.317</v>
      </c>
      <c r="M206">
        <v>0.33760000000000001</v>
      </c>
      <c r="N206">
        <v>0.39900000000000002</v>
      </c>
      <c r="O206">
        <v>0.37180000000000002</v>
      </c>
      <c r="P206">
        <v>0.36969999999999997</v>
      </c>
      <c r="Q206">
        <v>0.36580000000000001</v>
      </c>
      <c r="R206">
        <v>0.41049999999999998</v>
      </c>
      <c r="S206">
        <v>0.44429999999999997</v>
      </c>
      <c r="T206">
        <v>0.46660000000000001</v>
      </c>
      <c r="U206">
        <v>0.46929999999999999</v>
      </c>
      <c r="V206">
        <v>0.47789999999999999</v>
      </c>
      <c r="W206">
        <v>0.48199999999999998</v>
      </c>
      <c r="X206">
        <v>0.4778</v>
      </c>
      <c r="Y206">
        <v>0.4839</v>
      </c>
      <c r="Z206">
        <v>0.48799999999999999</v>
      </c>
      <c r="AA206">
        <v>0.52070000000000005</v>
      </c>
      <c r="AB206">
        <v>0.49709999999999999</v>
      </c>
      <c r="AC206">
        <v>0.5</v>
      </c>
      <c r="AD206" t="s">
        <v>73</v>
      </c>
    </row>
    <row r="207" spans="1:30" x14ac:dyDescent="0.3">
      <c r="A207" t="s">
        <v>564</v>
      </c>
      <c r="B207" s="5" t="s">
        <v>565</v>
      </c>
      <c r="C207" t="s">
        <v>436</v>
      </c>
      <c r="D207" s="5" t="s">
        <v>437</v>
      </c>
      <c r="E207">
        <v>22.853100000000001</v>
      </c>
      <c r="F207">
        <v>22.043500000000002</v>
      </c>
      <c r="G207">
        <v>21.700199999999999</v>
      </c>
      <c r="H207">
        <v>21.582699999999999</v>
      </c>
      <c r="I207">
        <v>21.307099999999998</v>
      </c>
      <c r="J207">
        <v>20.906400000000001</v>
      </c>
      <c r="K207">
        <v>20.7867</v>
      </c>
      <c r="L207">
        <v>20.412199999999999</v>
      </c>
      <c r="M207">
        <v>20.240400000000001</v>
      </c>
      <c r="N207">
        <v>20.247800000000002</v>
      </c>
      <c r="O207">
        <v>20.215499999999999</v>
      </c>
      <c r="P207">
        <v>20.0824</v>
      </c>
      <c r="Q207">
        <v>19.972999999999999</v>
      </c>
      <c r="R207">
        <v>20.345400000000001</v>
      </c>
      <c r="S207">
        <v>20.6661</v>
      </c>
      <c r="T207">
        <v>20.601500000000001</v>
      </c>
      <c r="U207">
        <v>20.646599999999999</v>
      </c>
      <c r="V207">
        <v>20.767800000000001</v>
      </c>
      <c r="W207">
        <v>20.563099999999999</v>
      </c>
      <c r="X207">
        <v>20.326899999999998</v>
      </c>
      <c r="Y207">
        <v>20.087399999999999</v>
      </c>
      <c r="Z207">
        <v>19.583300000000001</v>
      </c>
      <c r="AA207">
        <v>19.7898</v>
      </c>
      <c r="AB207">
        <v>19.418600000000001</v>
      </c>
      <c r="AC207">
        <v>19.2256</v>
      </c>
      <c r="AD207" t="s">
        <v>73</v>
      </c>
    </row>
    <row r="208" spans="1:30" x14ac:dyDescent="0.3">
      <c r="A208" t="s">
        <v>564</v>
      </c>
      <c r="B208" s="5" t="s">
        <v>565</v>
      </c>
      <c r="C208" t="s">
        <v>45</v>
      </c>
      <c r="D208" s="5" t="s">
        <v>438</v>
      </c>
      <c r="E208">
        <v>125.7071</v>
      </c>
      <c r="F208">
        <v>127.19370000000001</v>
      </c>
      <c r="G208">
        <v>126.5157</v>
      </c>
      <c r="H208">
        <v>132.60910000000001</v>
      </c>
      <c r="I208">
        <v>131.31989999999999</v>
      </c>
      <c r="J208">
        <v>129.64760000000001</v>
      </c>
      <c r="K208">
        <v>134.667</v>
      </c>
      <c r="L208">
        <v>133.83930000000001</v>
      </c>
      <c r="M208">
        <v>129.3931</v>
      </c>
      <c r="N208">
        <v>132.85679999999999</v>
      </c>
      <c r="O208">
        <v>135.2525</v>
      </c>
      <c r="P208">
        <v>136.28970000000001</v>
      </c>
      <c r="Q208">
        <v>134.94980000000001</v>
      </c>
      <c r="R208">
        <v>136.16470000000001</v>
      </c>
      <c r="S208">
        <v>135.68989999999999</v>
      </c>
      <c r="T208">
        <v>135.22139999999999</v>
      </c>
      <c r="U208">
        <v>139.75370000000001</v>
      </c>
      <c r="V208">
        <v>138.71879999999999</v>
      </c>
      <c r="W208">
        <v>138.14349999999999</v>
      </c>
      <c r="X208">
        <v>138.41210000000001</v>
      </c>
      <c r="Y208">
        <v>138.86369999999999</v>
      </c>
      <c r="Z208">
        <v>135.85419999999999</v>
      </c>
      <c r="AA208">
        <v>137.64099999999999</v>
      </c>
      <c r="AB208">
        <v>137.6557</v>
      </c>
      <c r="AC208">
        <v>137.65979999999999</v>
      </c>
      <c r="AD208" t="s">
        <v>73</v>
      </c>
    </row>
    <row r="209" spans="1:30" x14ac:dyDescent="0.3">
      <c r="A209" t="s">
        <v>564</v>
      </c>
      <c r="B209" s="5" t="s">
        <v>565</v>
      </c>
      <c r="C209" t="s">
        <v>439</v>
      </c>
      <c r="D209" s="5" t="s">
        <v>440</v>
      </c>
      <c r="E209">
        <v>4.9820000000000002</v>
      </c>
      <c r="F209">
        <v>5.0382999999999996</v>
      </c>
      <c r="G209">
        <v>5.1379999999999999</v>
      </c>
      <c r="H209">
        <v>5.3520000000000003</v>
      </c>
      <c r="I209">
        <v>5.4085000000000001</v>
      </c>
      <c r="J209">
        <v>5.4466999999999999</v>
      </c>
      <c r="K209">
        <v>5.6653000000000002</v>
      </c>
      <c r="L209">
        <v>5.6295000000000002</v>
      </c>
      <c r="M209">
        <v>5.6608999999999998</v>
      </c>
      <c r="N209">
        <v>5.6222000000000003</v>
      </c>
      <c r="O209">
        <v>5.3968999999999996</v>
      </c>
      <c r="P209">
        <v>5.4062999999999999</v>
      </c>
      <c r="Q209">
        <v>5.8380000000000001</v>
      </c>
      <c r="R209">
        <v>5.8376999999999999</v>
      </c>
      <c r="S209">
        <v>5.6821000000000002</v>
      </c>
      <c r="T209">
        <v>5.7538999999999998</v>
      </c>
      <c r="U209">
        <v>5.7388000000000003</v>
      </c>
      <c r="V209">
        <v>5.6002000000000001</v>
      </c>
      <c r="W209">
        <v>5.4603999999999999</v>
      </c>
      <c r="X209">
        <v>5.7611999999999997</v>
      </c>
      <c r="Y209">
        <v>5.5972999999999997</v>
      </c>
      <c r="Z209">
        <v>6.4424000000000001</v>
      </c>
      <c r="AA209">
        <v>6.3059000000000003</v>
      </c>
      <c r="AB209">
        <v>6.4836</v>
      </c>
      <c r="AC209">
        <v>6.8234000000000004</v>
      </c>
      <c r="AD209" t="s">
        <v>73</v>
      </c>
    </row>
    <row r="210" spans="1:30" x14ac:dyDescent="0.3">
      <c r="A210" t="s">
        <v>564</v>
      </c>
      <c r="B210" s="5" t="s">
        <v>565</v>
      </c>
      <c r="C210" t="s">
        <v>441</v>
      </c>
      <c r="D210" s="5" t="s">
        <v>442</v>
      </c>
      <c r="E210">
        <v>4.6651999999999996</v>
      </c>
      <c r="F210">
        <v>4.4688999999999997</v>
      </c>
      <c r="G210">
        <v>4.6836000000000002</v>
      </c>
      <c r="H210">
        <v>4.8449</v>
      </c>
      <c r="I210">
        <v>5.0814000000000004</v>
      </c>
      <c r="J210">
        <v>5.3958000000000004</v>
      </c>
      <c r="K210">
        <v>6.0130999999999997</v>
      </c>
      <c r="L210">
        <v>6.5696000000000003</v>
      </c>
      <c r="M210">
        <v>7.0076999999999998</v>
      </c>
      <c r="N210">
        <v>7.2351000000000001</v>
      </c>
      <c r="O210">
        <v>8.1417999999999999</v>
      </c>
      <c r="P210">
        <v>8.4915000000000003</v>
      </c>
      <c r="Q210">
        <v>9.0465999999999998</v>
      </c>
      <c r="R210">
        <v>9.9170999999999996</v>
      </c>
      <c r="S210">
        <v>10.468299999999999</v>
      </c>
      <c r="T210">
        <v>10.8261</v>
      </c>
      <c r="U210">
        <v>11.821099999999999</v>
      </c>
      <c r="V210">
        <v>10.9064</v>
      </c>
      <c r="W210">
        <v>11.709199999999999</v>
      </c>
      <c r="X210">
        <v>12.0054</v>
      </c>
      <c r="Y210">
        <v>12.263500000000001</v>
      </c>
      <c r="Z210">
        <v>12.33</v>
      </c>
      <c r="AA210">
        <v>12.6181</v>
      </c>
      <c r="AB210">
        <v>12.4795</v>
      </c>
      <c r="AC210">
        <v>12.691599999999999</v>
      </c>
      <c r="AD210" t="s">
        <v>73</v>
      </c>
    </row>
    <row r="211" spans="1:30" x14ac:dyDescent="0.3">
      <c r="A211" t="s">
        <v>564</v>
      </c>
      <c r="B211" s="5" t="s">
        <v>565</v>
      </c>
      <c r="C211" t="s">
        <v>443</v>
      </c>
      <c r="D211" s="5" t="s">
        <v>444</v>
      </c>
      <c r="E211">
        <v>8.7999999999999995E-2</v>
      </c>
      <c r="F211">
        <v>8.1900000000000001E-2</v>
      </c>
      <c r="G211">
        <v>8.1500000000000003E-2</v>
      </c>
      <c r="H211">
        <v>8.3900000000000002E-2</v>
      </c>
      <c r="I211">
        <v>8.48E-2</v>
      </c>
      <c r="J211">
        <v>8.5400000000000004E-2</v>
      </c>
      <c r="K211">
        <v>8.7300000000000003E-2</v>
      </c>
      <c r="L211">
        <v>0.1038</v>
      </c>
      <c r="M211">
        <v>0.1053</v>
      </c>
      <c r="N211">
        <v>9.8199999999999996E-2</v>
      </c>
      <c r="O211">
        <v>0.1004</v>
      </c>
      <c r="P211">
        <v>0.10349999999999999</v>
      </c>
      <c r="Q211">
        <v>0.1046</v>
      </c>
      <c r="R211">
        <v>0.10539999999999999</v>
      </c>
      <c r="S211">
        <v>0.1065</v>
      </c>
      <c r="T211">
        <v>9.5000000000000001E-2</v>
      </c>
      <c r="U211">
        <v>7.5800000000000006E-2</v>
      </c>
      <c r="V211">
        <v>6.7799999999999999E-2</v>
      </c>
      <c r="W211">
        <v>6.8199999999999997E-2</v>
      </c>
      <c r="X211">
        <v>6.7900000000000002E-2</v>
      </c>
      <c r="Y211">
        <v>6.7599999999999993E-2</v>
      </c>
      <c r="Z211">
        <v>6.7400000000000002E-2</v>
      </c>
      <c r="AA211">
        <v>6.7400000000000002E-2</v>
      </c>
      <c r="AB211">
        <v>6.0999999999999999E-2</v>
      </c>
      <c r="AC211">
        <v>5.9400000000000001E-2</v>
      </c>
      <c r="AD211" t="s">
        <v>73</v>
      </c>
    </row>
    <row r="212" spans="1:30" x14ac:dyDescent="0.3">
      <c r="A212" t="s">
        <v>564</v>
      </c>
      <c r="B212" s="5" t="s">
        <v>565</v>
      </c>
      <c r="C212" t="s">
        <v>445</v>
      </c>
      <c r="D212" s="5" t="s">
        <v>446</v>
      </c>
      <c r="E212">
        <v>7.4166999999999996</v>
      </c>
      <c r="F212">
        <v>7.6264000000000003</v>
      </c>
      <c r="G212">
        <v>7.9854000000000003</v>
      </c>
      <c r="H212">
        <v>8.0478000000000005</v>
      </c>
      <c r="I212">
        <v>8.2698999999999998</v>
      </c>
      <c r="J212">
        <v>8.5624000000000002</v>
      </c>
      <c r="K212">
        <v>8.3836999999999993</v>
      </c>
      <c r="L212">
        <v>8.6062999999999992</v>
      </c>
      <c r="M212">
        <v>8.6750000000000007</v>
      </c>
      <c r="N212">
        <v>8.7050000000000001</v>
      </c>
      <c r="O212">
        <v>7.7312000000000003</v>
      </c>
      <c r="P212">
        <v>8.0484000000000009</v>
      </c>
      <c r="Q212">
        <v>9.0698000000000008</v>
      </c>
      <c r="R212">
        <v>9.2368000000000006</v>
      </c>
      <c r="S212">
        <v>9.2843</v>
      </c>
      <c r="T212">
        <v>9.0373000000000001</v>
      </c>
      <c r="U212">
        <v>8.5439000000000007</v>
      </c>
      <c r="V212">
        <v>8.4215</v>
      </c>
      <c r="W212">
        <v>7.6513</v>
      </c>
      <c r="X212">
        <v>7.8335999999999997</v>
      </c>
      <c r="Y212">
        <v>7.91</v>
      </c>
      <c r="Z212">
        <v>7.7923</v>
      </c>
      <c r="AA212">
        <v>7.84</v>
      </c>
      <c r="AB212">
        <v>7.6029999999999998</v>
      </c>
      <c r="AC212">
        <v>7.5058999999999996</v>
      </c>
      <c r="AD212" t="s">
        <v>73</v>
      </c>
    </row>
    <row r="213" spans="1:30" x14ac:dyDescent="0.3">
      <c r="A213" t="s">
        <v>564</v>
      </c>
      <c r="B213" s="5" t="s">
        <v>565</v>
      </c>
      <c r="C213" t="s">
        <v>447</v>
      </c>
      <c r="D213" s="5" t="s">
        <v>448</v>
      </c>
      <c r="E213">
        <v>13.4817</v>
      </c>
      <c r="F213">
        <v>12.3482</v>
      </c>
      <c r="G213">
        <v>13.5145</v>
      </c>
      <c r="H213">
        <v>14.1959</v>
      </c>
      <c r="I213">
        <v>14.832800000000001</v>
      </c>
      <c r="J213">
        <v>13.715999999999999</v>
      </c>
      <c r="K213">
        <v>13.8896</v>
      </c>
      <c r="L213">
        <v>13.9763</v>
      </c>
      <c r="M213">
        <v>13.144600000000001</v>
      </c>
      <c r="N213">
        <v>14.2925</v>
      </c>
      <c r="O213">
        <v>14.4969</v>
      </c>
      <c r="P213">
        <v>14.6975</v>
      </c>
      <c r="Q213">
        <v>15.0837</v>
      </c>
      <c r="R213">
        <v>15.928000000000001</v>
      </c>
      <c r="S213">
        <v>15.257899999999999</v>
      </c>
      <c r="T213">
        <v>17.572099999999999</v>
      </c>
      <c r="U213">
        <v>15.7783</v>
      </c>
      <c r="V213">
        <v>16.0381</v>
      </c>
      <c r="W213">
        <v>16.019600000000001</v>
      </c>
      <c r="X213">
        <v>16.4146</v>
      </c>
      <c r="Y213">
        <v>14.3108</v>
      </c>
      <c r="Z213">
        <v>16.260100000000001</v>
      </c>
      <c r="AA213">
        <v>15.018599999999999</v>
      </c>
      <c r="AB213">
        <v>14.856400000000001</v>
      </c>
      <c r="AC213">
        <v>14.7319</v>
      </c>
      <c r="AD213" t="s">
        <v>73</v>
      </c>
    </row>
    <row r="214" spans="1:30" x14ac:dyDescent="0.3">
      <c r="A214" t="s">
        <v>564</v>
      </c>
      <c r="B214" s="5" t="s">
        <v>565</v>
      </c>
      <c r="C214" t="s">
        <v>449</v>
      </c>
      <c r="D214" s="5" t="s">
        <v>450</v>
      </c>
      <c r="E214">
        <v>3.8999999999999998E-3</v>
      </c>
      <c r="F214">
        <v>3.8999999999999998E-3</v>
      </c>
      <c r="G214">
        <v>3.8999999999999998E-3</v>
      </c>
      <c r="H214">
        <v>3.8999999999999998E-3</v>
      </c>
      <c r="I214">
        <v>3.8999999999999998E-3</v>
      </c>
      <c r="J214">
        <v>4.0000000000000001E-3</v>
      </c>
      <c r="K214">
        <v>4.0000000000000001E-3</v>
      </c>
      <c r="L214">
        <v>4.0000000000000001E-3</v>
      </c>
      <c r="M214">
        <v>4.0000000000000001E-3</v>
      </c>
      <c r="N214">
        <v>4.0000000000000001E-3</v>
      </c>
      <c r="O214">
        <v>4.0000000000000001E-3</v>
      </c>
      <c r="P214">
        <v>4.0000000000000001E-3</v>
      </c>
      <c r="Q214">
        <v>4.0000000000000001E-3</v>
      </c>
      <c r="R214">
        <v>4.0000000000000001E-3</v>
      </c>
      <c r="S214">
        <v>4.0000000000000001E-3</v>
      </c>
      <c r="T214">
        <v>4.0000000000000001E-3</v>
      </c>
      <c r="U214">
        <v>4.0000000000000001E-3</v>
      </c>
      <c r="V214">
        <v>4.0000000000000001E-3</v>
      </c>
      <c r="W214">
        <v>4.0000000000000001E-3</v>
      </c>
      <c r="X214">
        <v>4.0000000000000001E-3</v>
      </c>
      <c r="Y214">
        <v>4.0000000000000001E-3</v>
      </c>
      <c r="Z214">
        <v>4.0000000000000001E-3</v>
      </c>
      <c r="AA214">
        <v>4.0000000000000001E-3</v>
      </c>
      <c r="AB214">
        <v>4.1000000000000003E-3</v>
      </c>
      <c r="AC214">
        <v>4.1000000000000003E-3</v>
      </c>
      <c r="AD214" t="s">
        <v>73</v>
      </c>
    </row>
    <row r="215" spans="1:30" x14ac:dyDescent="0.3">
      <c r="A215" t="s">
        <v>564</v>
      </c>
      <c r="B215" s="5" t="s">
        <v>565</v>
      </c>
      <c r="C215" t="s">
        <v>451</v>
      </c>
      <c r="D215" s="5" t="s">
        <v>452</v>
      </c>
      <c r="E215" t="s">
        <v>73</v>
      </c>
      <c r="F215" t="s">
        <v>73</v>
      </c>
      <c r="G215" t="s">
        <v>73</v>
      </c>
      <c r="H215" t="s">
        <v>73</v>
      </c>
      <c r="I215" t="s">
        <v>73</v>
      </c>
      <c r="J215" t="s">
        <v>73</v>
      </c>
      <c r="K215" t="s">
        <v>73</v>
      </c>
      <c r="L215" t="s">
        <v>73</v>
      </c>
      <c r="M215" t="s">
        <v>73</v>
      </c>
      <c r="N215" t="s">
        <v>73</v>
      </c>
      <c r="O215" t="s">
        <v>73</v>
      </c>
      <c r="P215" t="s">
        <v>73</v>
      </c>
      <c r="Q215" t="s">
        <v>73</v>
      </c>
      <c r="R215" t="s">
        <v>73</v>
      </c>
      <c r="S215" t="s">
        <v>73</v>
      </c>
      <c r="T215" t="s">
        <v>73</v>
      </c>
      <c r="U215" t="s">
        <v>73</v>
      </c>
      <c r="V215" t="s">
        <v>73</v>
      </c>
      <c r="W215" t="s">
        <v>73</v>
      </c>
      <c r="X215" t="s">
        <v>73</v>
      </c>
      <c r="Y215" t="s">
        <v>73</v>
      </c>
      <c r="Z215" t="s">
        <v>73</v>
      </c>
      <c r="AA215" t="s">
        <v>73</v>
      </c>
      <c r="AB215" t="s">
        <v>73</v>
      </c>
      <c r="AC215" t="s">
        <v>73</v>
      </c>
      <c r="AD215" t="s">
        <v>73</v>
      </c>
    </row>
    <row r="216" spans="1:30" x14ac:dyDescent="0.3">
      <c r="A216" t="s">
        <v>564</v>
      </c>
      <c r="B216" s="5" t="s">
        <v>565</v>
      </c>
      <c r="C216" t="s">
        <v>453</v>
      </c>
      <c r="D216" s="5" t="s">
        <v>454</v>
      </c>
      <c r="E216">
        <v>1.5690999999999999</v>
      </c>
      <c r="F216">
        <v>1.6520999999999999</v>
      </c>
      <c r="G216">
        <v>1.6641999999999999</v>
      </c>
      <c r="H216">
        <v>1.8260000000000001</v>
      </c>
      <c r="I216">
        <v>1.8555999999999999</v>
      </c>
      <c r="J216">
        <v>1.8814</v>
      </c>
      <c r="K216">
        <v>1.9333</v>
      </c>
      <c r="L216">
        <v>2.0261999999999998</v>
      </c>
      <c r="M216">
        <v>2.0773000000000001</v>
      </c>
      <c r="N216">
        <v>2.1225999999999998</v>
      </c>
      <c r="O216">
        <v>2.1555</v>
      </c>
      <c r="P216">
        <v>2.1844999999999999</v>
      </c>
      <c r="Q216">
        <v>2.2118000000000002</v>
      </c>
      <c r="R216">
        <v>2.2435</v>
      </c>
      <c r="S216">
        <v>2.2722000000000002</v>
      </c>
      <c r="T216">
        <v>2.2357999999999998</v>
      </c>
      <c r="U216">
        <v>2.1678999999999999</v>
      </c>
      <c r="V216">
        <v>2.1562000000000001</v>
      </c>
      <c r="W216">
        <v>2.0406</v>
      </c>
      <c r="X216">
        <v>2.2866</v>
      </c>
      <c r="Y216">
        <v>2.3229000000000002</v>
      </c>
      <c r="Z216">
        <v>2.4097</v>
      </c>
      <c r="AA216">
        <v>2.4152999999999998</v>
      </c>
      <c r="AB216">
        <v>2.3938999999999999</v>
      </c>
      <c r="AC216">
        <v>2.4643999999999999</v>
      </c>
      <c r="AD216" t="s">
        <v>73</v>
      </c>
    </row>
    <row r="217" spans="1:30" x14ac:dyDescent="0.3">
      <c r="A217" t="s">
        <v>564</v>
      </c>
      <c r="B217" s="5" t="s">
        <v>565</v>
      </c>
      <c r="C217" t="s">
        <v>455</v>
      </c>
      <c r="D217" s="5" t="s">
        <v>456</v>
      </c>
      <c r="E217">
        <v>2.0512999999999999</v>
      </c>
      <c r="F217">
        <v>2.1097999999999999</v>
      </c>
      <c r="G217">
        <v>2.0811000000000002</v>
      </c>
      <c r="H217">
        <v>2.0562999999999998</v>
      </c>
      <c r="I217">
        <v>2.0219999999999998</v>
      </c>
      <c r="J217">
        <v>2.1029</v>
      </c>
      <c r="K217">
        <v>2.2547000000000001</v>
      </c>
      <c r="L217">
        <v>2.1259000000000001</v>
      </c>
      <c r="M217">
        <v>2.1383999999999999</v>
      </c>
      <c r="N217">
        <v>2.5097999999999998</v>
      </c>
      <c r="O217">
        <v>2.8912</v>
      </c>
      <c r="P217">
        <v>2.806</v>
      </c>
      <c r="Q217">
        <v>3.3401000000000001</v>
      </c>
      <c r="R217">
        <v>3.621</v>
      </c>
      <c r="S217">
        <v>3.6198000000000001</v>
      </c>
      <c r="T217">
        <v>3.4464000000000001</v>
      </c>
      <c r="U217">
        <v>3.4716</v>
      </c>
      <c r="V217">
        <v>3.5333999999999999</v>
      </c>
      <c r="W217">
        <v>3.4885999999999999</v>
      </c>
      <c r="X217">
        <v>3.8201999999999998</v>
      </c>
      <c r="Y217">
        <v>3.8077999999999999</v>
      </c>
      <c r="Z217">
        <v>3.9889000000000001</v>
      </c>
      <c r="AA217">
        <v>4.0791000000000004</v>
      </c>
      <c r="AB217">
        <v>4.1401000000000003</v>
      </c>
      <c r="AC217">
        <v>4.2801</v>
      </c>
      <c r="AD217" t="s">
        <v>73</v>
      </c>
    </row>
    <row r="218" spans="1:30" x14ac:dyDescent="0.3">
      <c r="A218" t="s">
        <v>564</v>
      </c>
      <c r="B218" s="5" t="s">
        <v>565</v>
      </c>
      <c r="C218" t="s">
        <v>457</v>
      </c>
      <c r="D218" s="5" t="s">
        <v>458</v>
      </c>
      <c r="E218">
        <v>3.8847999999999998</v>
      </c>
      <c r="F218">
        <v>3.9377</v>
      </c>
      <c r="G218">
        <v>3.4935999999999998</v>
      </c>
      <c r="H218">
        <v>3.1741999999999999</v>
      </c>
      <c r="I218">
        <v>3.1181999999999999</v>
      </c>
      <c r="J218">
        <v>3.0958999999999999</v>
      </c>
      <c r="K218">
        <v>3.0024000000000002</v>
      </c>
      <c r="L218">
        <v>3.0583</v>
      </c>
      <c r="M218">
        <v>2.9933999999999998</v>
      </c>
      <c r="N218">
        <v>3.2488999999999999</v>
      </c>
      <c r="O218">
        <v>3.5756000000000001</v>
      </c>
      <c r="P218">
        <v>3.7240000000000002</v>
      </c>
      <c r="Q218">
        <v>3.762</v>
      </c>
      <c r="R218">
        <v>3.8344</v>
      </c>
      <c r="S218">
        <v>3.1128999999999998</v>
      </c>
      <c r="T218">
        <v>3.4060999999999999</v>
      </c>
      <c r="U218">
        <v>3.4443000000000001</v>
      </c>
      <c r="V218">
        <v>3.3159000000000001</v>
      </c>
      <c r="W218">
        <v>3.3559000000000001</v>
      </c>
      <c r="X218">
        <v>3.1861999999999999</v>
      </c>
      <c r="Y218">
        <v>3.3714</v>
      </c>
      <c r="Z218">
        <v>3.5105</v>
      </c>
      <c r="AA218">
        <v>3.4159000000000002</v>
      </c>
      <c r="AB218">
        <v>3.6781999999999999</v>
      </c>
      <c r="AC218">
        <v>3.7334999999999998</v>
      </c>
      <c r="AD218" t="s">
        <v>73</v>
      </c>
    </row>
    <row r="219" spans="1:30" x14ac:dyDescent="0.3">
      <c r="A219" t="s">
        <v>564</v>
      </c>
      <c r="B219" s="5" t="s">
        <v>565</v>
      </c>
      <c r="C219" t="s">
        <v>459</v>
      </c>
      <c r="D219" s="5" t="s">
        <v>460</v>
      </c>
      <c r="E219">
        <v>88.5762</v>
      </c>
      <c r="F219">
        <v>90.379600000000011</v>
      </c>
      <c r="G219">
        <v>92.277900000000017</v>
      </c>
      <c r="H219">
        <v>93.007999999999981</v>
      </c>
      <c r="I219">
        <v>95.071700000000021</v>
      </c>
      <c r="J219">
        <v>97.962700000000012</v>
      </c>
      <c r="K219">
        <v>99.187399999999968</v>
      </c>
      <c r="L219">
        <v>105.852</v>
      </c>
      <c r="M219">
        <v>109.749</v>
      </c>
      <c r="N219">
        <v>111.80879999999999</v>
      </c>
      <c r="O219">
        <v>115.1151</v>
      </c>
      <c r="P219">
        <v>115.5119</v>
      </c>
      <c r="Q219">
        <v>119.61240000000002</v>
      </c>
      <c r="R219">
        <v>122.31800000000001</v>
      </c>
      <c r="S219">
        <v>124.64049999999999</v>
      </c>
      <c r="T219">
        <v>125.15289999999999</v>
      </c>
      <c r="U219">
        <v>128.78130000000002</v>
      </c>
      <c r="V219">
        <v>129.267</v>
      </c>
      <c r="W219">
        <v>130.60989999999998</v>
      </c>
      <c r="X219">
        <v>135.2627</v>
      </c>
      <c r="Y219">
        <v>140.8279</v>
      </c>
      <c r="Z219">
        <v>138.8777</v>
      </c>
      <c r="AA219">
        <v>141.85249999999999</v>
      </c>
      <c r="AB219">
        <v>146.47039999999998</v>
      </c>
      <c r="AC219">
        <v>149.69330000000002</v>
      </c>
      <c r="AD219" t="s">
        <v>73</v>
      </c>
    </row>
    <row r="220" spans="1:30" x14ac:dyDescent="0.3">
      <c r="A220" t="s">
        <v>564</v>
      </c>
      <c r="B220" s="5" t="s">
        <v>565</v>
      </c>
      <c r="C220" t="s">
        <v>461</v>
      </c>
      <c r="D220" s="5" t="s">
        <v>462</v>
      </c>
      <c r="E220">
        <v>41.333999999999996</v>
      </c>
      <c r="F220">
        <v>42.858400000000003</v>
      </c>
      <c r="G220">
        <v>44.045400000000008</v>
      </c>
      <c r="H220">
        <v>46.202200000000012</v>
      </c>
      <c r="I220">
        <v>47.478399999999993</v>
      </c>
      <c r="J220">
        <v>49.103799999999993</v>
      </c>
      <c r="K220">
        <v>50.684600000000003</v>
      </c>
      <c r="L220">
        <v>52.209399999999995</v>
      </c>
      <c r="M220">
        <v>54.5655</v>
      </c>
      <c r="N220">
        <v>55.957500000000003</v>
      </c>
      <c r="O220">
        <v>58.635300000000008</v>
      </c>
      <c r="P220">
        <v>60.929600000000001</v>
      </c>
      <c r="Q220">
        <v>62.879400000000004</v>
      </c>
      <c r="R220">
        <v>66.131299999999982</v>
      </c>
      <c r="S220">
        <v>67.507499999999993</v>
      </c>
      <c r="T220">
        <v>69.650000000000006</v>
      </c>
      <c r="U220">
        <v>72.691400000000002</v>
      </c>
      <c r="V220">
        <v>76.403899999999979</v>
      </c>
      <c r="W220">
        <v>78.566199999999995</v>
      </c>
      <c r="X220">
        <v>81.179900000000004</v>
      </c>
      <c r="Y220">
        <v>82.754099999999994</v>
      </c>
      <c r="Z220">
        <v>87.1815</v>
      </c>
      <c r="AA220">
        <v>88.733800000000002</v>
      </c>
      <c r="AB220">
        <v>90.584000000000003</v>
      </c>
      <c r="AC220">
        <v>92.950500000000005</v>
      </c>
      <c r="AD220" t="s">
        <v>73</v>
      </c>
    </row>
    <row r="221" spans="1:30" x14ac:dyDescent="0.3">
      <c r="A221" t="s">
        <v>564</v>
      </c>
      <c r="B221" s="5" t="s">
        <v>565</v>
      </c>
      <c r="C221" t="s">
        <v>463</v>
      </c>
      <c r="D221" s="5" t="s">
        <v>464</v>
      </c>
      <c r="E221">
        <v>54.9831</v>
      </c>
      <c r="F221">
        <v>57.267299999999985</v>
      </c>
      <c r="G221">
        <v>59.101900000000008</v>
      </c>
      <c r="H221">
        <v>58.550600000000003</v>
      </c>
      <c r="I221">
        <v>60.379699999999993</v>
      </c>
      <c r="J221">
        <v>61.737999999999992</v>
      </c>
      <c r="K221">
        <v>61.455399999999997</v>
      </c>
      <c r="L221">
        <v>61.106499999999997</v>
      </c>
      <c r="M221">
        <v>60.426899999999996</v>
      </c>
      <c r="N221">
        <v>61.507699999999986</v>
      </c>
      <c r="O221">
        <v>61.837800000000001</v>
      </c>
      <c r="P221">
        <v>62.458800000000011</v>
      </c>
      <c r="Q221">
        <v>63.460799999999999</v>
      </c>
      <c r="R221">
        <v>63.675299999999993</v>
      </c>
      <c r="S221">
        <v>64.534400000000005</v>
      </c>
      <c r="T221">
        <v>64.517399999999995</v>
      </c>
      <c r="U221">
        <v>65.56</v>
      </c>
      <c r="V221">
        <v>64.419599999999988</v>
      </c>
      <c r="W221">
        <v>65.669300000000007</v>
      </c>
      <c r="X221">
        <v>64.098000000000013</v>
      </c>
      <c r="Y221">
        <v>64.251799999999989</v>
      </c>
      <c r="Z221">
        <v>64.099499999999992</v>
      </c>
      <c r="AA221">
        <v>65.442899999999995</v>
      </c>
      <c r="AB221">
        <v>64.964399999999998</v>
      </c>
      <c r="AC221">
        <v>65.20389999999999</v>
      </c>
      <c r="AD221" t="s">
        <v>73</v>
      </c>
    </row>
    <row r="222" spans="1:30" x14ac:dyDescent="0.3">
      <c r="A222" t="s">
        <v>564</v>
      </c>
      <c r="B222" s="5" t="s">
        <v>565</v>
      </c>
      <c r="C222" t="s">
        <v>465</v>
      </c>
      <c r="D222" s="5" t="s">
        <v>466</v>
      </c>
      <c r="E222">
        <v>0.501</v>
      </c>
      <c r="F222">
        <v>0.5131</v>
      </c>
      <c r="G222">
        <v>0.50670000000000004</v>
      </c>
      <c r="H222">
        <v>0.51350000000000007</v>
      </c>
      <c r="I222">
        <v>0.55990000000000006</v>
      </c>
      <c r="J222">
        <v>0.55060000000000009</v>
      </c>
      <c r="K222">
        <v>0.55110000000000003</v>
      </c>
      <c r="L222">
        <v>0.56850000000000001</v>
      </c>
      <c r="M222">
        <v>0.56120000000000003</v>
      </c>
      <c r="N222">
        <v>0.58760000000000001</v>
      </c>
      <c r="O222">
        <v>0.58450000000000002</v>
      </c>
      <c r="P222">
        <v>0.5927</v>
      </c>
      <c r="Q222">
        <v>0.60829999999999995</v>
      </c>
      <c r="R222">
        <v>0.61599999999999999</v>
      </c>
      <c r="S222">
        <v>0.61129999999999995</v>
      </c>
      <c r="T222">
        <v>0.61649999999999994</v>
      </c>
      <c r="U222">
        <v>0.61150000000000004</v>
      </c>
      <c r="V222">
        <v>0.62550000000000006</v>
      </c>
      <c r="W222">
        <v>0.62429999999999997</v>
      </c>
      <c r="X222">
        <v>0.62950000000000006</v>
      </c>
      <c r="Y222">
        <v>0.63280000000000003</v>
      </c>
      <c r="Z222">
        <v>0.63649999999999984</v>
      </c>
      <c r="AA222">
        <v>0.64429999999999998</v>
      </c>
      <c r="AB222">
        <v>0.64779999999999993</v>
      </c>
      <c r="AC222">
        <v>0.65139999999999998</v>
      </c>
      <c r="AD222" t="s">
        <v>73</v>
      </c>
    </row>
    <row r="223" spans="1:30" x14ac:dyDescent="0.3">
      <c r="A223" t="s">
        <v>564</v>
      </c>
      <c r="B223" s="5" t="s">
        <v>565</v>
      </c>
      <c r="C223" t="s">
        <v>467</v>
      </c>
      <c r="D223" s="5" t="s">
        <v>468</v>
      </c>
      <c r="E223">
        <v>38.1614</v>
      </c>
      <c r="F223">
        <v>38.757900000000006</v>
      </c>
      <c r="G223">
        <v>38.455000000000005</v>
      </c>
      <c r="H223">
        <v>38.245000000000005</v>
      </c>
      <c r="I223">
        <v>39.375599999999999</v>
      </c>
      <c r="J223">
        <v>39.287599999999998</v>
      </c>
      <c r="K223">
        <v>39.300200000000004</v>
      </c>
      <c r="L223">
        <v>39.989099999999993</v>
      </c>
      <c r="M223">
        <v>40.013500000000008</v>
      </c>
      <c r="N223">
        <v>39.659200000000006</v>
      </c>
      <c r="O223">
        <v>39.893900000000009</v>
      </c>
      <c r="P223">
        <v>40.959699999999998</v>
      </c>
      <c r="Q223">
        <v>41.234099999999998</v>
      </c>
      <c r="R223">
        <v>41.803800000000003</v>
      </c>
      <c r="S223">
        <v>42.689900000000002</v>
      </c>
      <c r="T223">
        <v>43.470299999999995</v>
      </c>
      <c r="U223">
        <v>44.837899999999998</v>
      </c>
      <c r="V223">
        <v>45.384899999999995</v>
      </c>
      <c r="W223">
        <v>44.196699999999993</v>
      </c>
      <c r="X223">
        <v>44.4482</v>
      </c>
      <c r="Y223">
        <v>45.337699999999998</v>
      </c>
      <c r="Z223">
        <v>44.381499999999988</v>
      </c>
      <c r="AA223">
        <v>41.849199999999996</v>
      </c>
      <c r="AB223">
        <v>41.694799999999987</v>
      </c>
      <c r="AC223">
        <v>41.091300000000004</v>
      </c>
      <c r="AD223" t="s">
        <v>73</v>
      </c>
    </row>
    <row r="224" spans="1:30" x14ac:dyDescent="0.3">
      <c r="A224" t="s">
        <v>564</v>
      </c>
      <c r="B224" s="5" t="s">
        <v>565</v>
      </c>
      <c r="C224" t="s">
        <v>469</v>
      </c>
      <c r="D224" s="5" t="s">
        <v>470</v>
      </c>
      <c r="E224">
        <v>393.56850000000003</v>
      </c>
      <c r="F224">
        <v>399.58539999999994</v>
      </c>
      <c r="G224">
        <v>401.73050000000018</v>
      </c>
      <c r="H224">
        <v>412.52100000000002</v>
      </c>
      <c r="I224">
        <v>426.30110000000002</v>
      </c>
      <c r="J224">
        <v>437.02609999999999</v>
      </c>
      <c r="K224">
        <v>449.58499999999987</v>
      </c>
      <c r="L224">
        <v>466.02870000000013</v>
      </c>
      <c r="M224">
        <v>469.99289999999996</v>
      </c>
      <c r="N224">
        <v>480.89200000000005</v>
      </c>
      <c r="O224">
        <v>488.80450000000008</v>
      </c>
      <c r="P224">
        <v>496.68229999999994</v>
      </c>
      <c r="Q224">
        <v>500.59419999999989</v>
      </c>
      <c r="R224">
        <v>509.49900000000008</v>
      </c>
      <c r="S224">
        <v>517.56649999999991</v>
      </c>
      <c r="T224">
        <v>519.99069999999995</v>
      </c>
      <c r="U224">
        <v>533.6704000000002</v>
      </c>
      <c r="V224">
        <v>543.38929999999993</v>
      </c>
      <c r="W224">
        <v>544.05830000000003</v>
      </c>
      <c r="X224">
        <v>556.34419999999989</v>
      </c>
      <c r="Y224">
        <v>577.6374999999997</v>
      </c>
      <c r="Z224">
        <v>573.49099999999987</v>
      </c>
      <c r="AA224">
        <v>575.08789999999965</v>
      </c>
      <c r="AB224">
        <v>580.3574000000001</v>
      </c>
      <c r="AC224">
        <v>587.85799999999995</v>
      </c>
      <c r="AD224" t="s">
        <v>73</v>
      </c>
    </row>
    <row r="225" spans="1:30" x14ac:dyDescent="0.3">
      <c r="A225" t="s">
        <v>564</v>
      </c>
      <c r="B225" s="5" t="s">
        <v>565</v>
      </c>
      <c r="C225" t="s">
        <v>471</v>
      </c>
      <c r="D225" s="5" t="s">
        <v>472</v>
      </c>
      <c r="E225">
        <v>384.26350000000002</v>
      </c>
      <c r="F225">
        <v>380.97</v>
      </c>
      <c r="G225">
        <v>400.92970000000008</v>
      </c>
      <c r="H225">
        <v>393.56610000000001</v>
      </c>
      <c r="I225">
        <v>411.0847</v>
      </c>
      <c r="J225">
        <v>411.65159999999997</v>
      </c>
      <c r="K225">
        <v>424.84379999999987</v>
      </c>
      <c r="L225">
        <v>417.93840000000006</v>
      </c>
      <c r="M225">
        <v>410.72009999999995</v>
      </c>
      <c r="N225">
        <v>435.19600000000003</v>
      </c>
      <c r="O225">
        <v>418.17419999999993</v>
      </c>
      <c r="P225">
        <v>434.00659999999993</v>
      </c>
      <c r="Q225">
        <v>440.58490000000012</v>
      </c>
      <c r="R225">
        <v>447.46600000000001</v>
      </c>
      <c r="S225">
        <v>427.95330000000001</v>
      </c>
      <c r="T225">
        <v>438.71410000000003</v>
      </c>
      <c r="U225">
        <v>423.44560000000018</v>
      </c>
      <c r="V225">
        <v>414.87489999999997</v>
      </c>
      <c r="W225">
        <v>406.791</v>
      </c>
      <c r="X225">
        <v>407.91419999999994</v>
      </c>
      <c r="Y225">
        <v>403.43680000000001</v>
      </c>
      <c r="Z225">
        <v>405.60170000000005</v>
      </c>
      <c r="AA225">
        <v>414.63249999999999</v>
      </c>
      <c r="AB225">
        <v>422.73209999999995</v>
      </c>
      <c r="AC225">
        <v>423.87170000000003</v>
      </c>
      <c r="AD225" t="s">
        <v>73</v>
      </c>
    </row>
    <row r="226" spans="1:30" x14ac:dyDescent="0.3">
      <c r="A226" t="s">
        <v>564</v>
      </c>
      <c r="B226" s="5" t="s">
        <v>565</v>
      </c>
      <c r="C226" t="s">
        <v>473</v>
      </c>
      <c r="D226" s="5" t="s">
        <v>474</v>
      </c>
      <c r="E226">
        <v>329.2677000000001</v>
      </c>
      <c r="F226">
        <v>326.16120000000006</v>
      </c>
      <c r="G226">
        <v>346.09850000000017</v>
      </c>
      <c r="H226">
        <v>341.06450000000001</v>
      </c>
      <c r="I226">
        <v>355.24650000000003</v>
      </c>
      <c r="J226">
        <v>356.91589999999991</v>
      </c>
      <c r="K226">
        <v>371.38439999999997</v>
      </c>
      <c r="L226">
        <v>365.80219999999997</v>
      </c>
      <c r="M226">
        <v>360.13319999999999</v>
      </c>
      <c r="N226">
        <v>384.04060000000004</v>
      </c>
      <c r="O226">
        <v>366.79049999999995</v>
      </c>
      <c r="P226">
        <v>380.53639999999984</v>
      </c>
      <c r="Q226">
        <v>386.49050000000005</v>
      </c>
      <c r="R226">
        <v>391.18179999999984</v>
      </c>
      <c r="S226">
        <v>371.55799999999994</v>
      </c>
      <c r="T226">
        <v>383.75619999999998</v>
      </c>
      <c r="U226">
        <v>369.02640000000014</v>
      </c>
      <c r="V226">
        <v>357.21249999999992</v>
      </c>
      <c r="W226">
        <v>353.74740000000003</v>
      </c>
      <c r="X226">
        <v>356.1794999999999</v>
      </c>
      <c r="Y226">
        <v>351.61000000000007</v>
      </c>
      <c r="Z226">
        <v>349.55150000000003</v>
      </c>
      <c r="AA226">
        <v>359.79060000000004</v>
      </c>
      <c r="AB226">
        <v>365.28430000000003</v>
      </c>
      <c r="AC226">
        <v>366.12980000000005</v>
      </c>
      <c r="AD226" t="s">
        <v>73</v>
      </c>
    </row>
    <row r="227" spans="1:30" x14ac:dyDescent="0.3">
      <c r="A227" t="s">
        <v>564</v>
      </c>
      <c r="B227" s="5" t="s">
        <v>565</v>
      </c>
      <c r="C227" t="s">
        <v>475</v>
      </c>
      <c r="D227" s="5" t="s">
        <v>476</v>
      </c>
      <c r="E227">
        <v>327.63679999999999</v>
      </c>
      <c r="F227">
        <v>324.44310000000002</v>
      </c>
      <c r="G227">
        <v>344.44230000000005</v>
      </c>
      <c r="H227">
        <v>339.39659999999998</v>
      </c>
      <c r="I227">
        <v>353.49450000000002</v>
      </c>
      <c r="J227">
        <v>355.21520000000004</v>
      </c>
      <c r="K227">
        <v>369.63370000000003</v>
      </c>
      <c r="L227">
        <v>364.04160000000002</v>
      </c>
      <c r="M227">
        <v>358.45359999999999</v>
      </c>
      <c r="N227">
        <v>382.37130000000002</v>
      </c>
      <c r="O227">
        <v>364.99069999999989</v>
      </c>
      <c r="P227">
        <v>378.72260000000006</v>
      </c>
      <c r="Q227">
        <v>384.62290000000002</v>
      </c>
      <c r="R227">
        <v>389.32669999999996</v>
      </c>
      <c r="S227">
        <v>369.8809</v>
      </c>
      <c r="T227">
        <v>382.21080000000001</v>
      </c>
      <c r="U227">
        <v>367.27080000000001</v>
      </c>
      <c r="V227">
        <v>355.51499999999999</v>
      </c>
      <c r="W227">
        <v>351.7568</v>
      </c>
      <c r="X227">
        <v>354.76410000000004</v>
      </c>
      <c r="Y227">
        <v>350.59710000000001</v>
      </c>
      <c r="Z227">
        <v>348.49250000000006</v>
      </c>
      <c r="AA227">
        <v>358.79430000000008</v>
      </c>
      <c r="AB227">
        <v>364.30509999999998</v>
      </c>
      <c r="AC227">
        <v>365.1601</v>
      </c>
      <c r="AD227" t="s">
        <v>73</v>
      </c>
    </row>
    <row r="228" spans="1:30" x14ac:dyDescent="0.3">
      <c r="A228" t="s">
        <v>564</v>
      </c>
      <c r="B228" s="5" t="s">
        <v>565</v>
      </c>
      <c r="C228" t="s">
        <v>477</v>
      </c>
      <c r="D228" s="5" t="s">
        <v>478</v>
      </c>
      <c r="E228">
        <v>121.35300000000001</v>
      </c>
      <c r="F228">
        <v>119.79990000000001</v>
      </c>
      <c r="G228">
        <v>119.26520000000001</v>
      </c>
      <c r="H228">
        <v>117.78019999999999</v>
      </c>
      <c r="I228">
        <v>117.55229999999999</v>
      </c>
      <c r="J228">
        <v>114.834</v>
      </c>
      <c r="K228">
        <v>113.31699999999999</v>
      </c>
      <c r="L228">
        <v>116.0476</v>
      </c>
      <c r="M228">
        <v>112.22239999999999</v>
      </c>
      <c r="N228">
        <v>112.0508</v>
      </c>
      <c r="O228">
        <v>114.88319999999999</v>
      </c>
      <c r="P228">
        <v>110.64399999999999</v>
      </c>
      <c r="Q228">
        <v>112.72269999999999</v>
      </c>
      <c r="R228">
        <v>114.28169999999999</v>
      </c>
      <c r="S228">
        <v>115.63579999999999</v>
      </c>
      <c r="T228">
        <v>116.1698</v>
      </c>
      <c r="U228">
        <v>115.922</v>
      </c>
      <c r="V228">
        <v>115.27740000000001</v>
      </c>
      <c r="W228">
        <v>112.7076</v>
      </c>
      <c r="X228">
        <v>112.7358</v>
      </c>
      <c r="Y228">
        <v>109.56319999999999</v>
      </c>
      <c r="Z228">
        <v>106.8533</v>
      </c>
      <c r="AA228">
        <v>102.73099999999998</v>
      </c>
      <c r="AB228">
        <v>100.28460000000001</v>
      </c>
      <c r="AC228">
        <v>98.700999999999993</v>
      </c>
      <c r="AD228" t="s">
        <v>73</v>
      </c>
    </row>
    <row r="229" spans="1:30" x14ac:dyDescent="0.3">
      <c r="A229" t="s">
        <v>564</v>
      </c>
      <c r="B229" s="5" t="s">
        <v>565</v>
      </c>
      <c r="C229" t="s">
        <v>479</v>
      </c>
      <c r="D229" s="5" t="s">
        <v>480</v>
      </c>
      <c r="E229">
        <v>277.78789999999998</v>
      </c>
      <c r="F229">
        <v>276.54070000000007</v>
      </c>
      <c r="G229">
        <v>275.23880000000003</v>
      </c>
      <c r="H229">
        <v>272.51290000000006</v>
      </c>
      <c r="I229">
        <v>273.93009999999998</v>
      </c>
      <c r="J229">
        <v>270.56559999999996</v>
      </c>
      <c r="K229">
        <v>270.09649999999999</v>
      </c>
      <c r="L229">
        <v>275.16160000000002</v>
      </c>
      <c r="M229">
        <v>276.49860000000007</v>
      </c>
      <c r="N229">
        <v>277.52839999999998</v>
      </c>
      <c r="O229">
        <v>278.96289999999999</v>
      </c>
      <c r="P229">
        <v>282.43970000000002</v>
      </c>
      <c r="Q229">
        <v>284.49870000000004</v>
      </c>
      <c r="R229">
        <v>291.23379999999997</v>
      </c>
      <c r="S229">
        <v>295.24459999999988</v>
      </c>
      <c r="T229">
        <v>298.86089999999984</v>
      </c>
      <c r="U229">
        <v>306.9898</v>
      </c>
      <c r="V229">
        <v>308.27800000000008</v>
      </c>
      <c r="W229">
        <v>304.68520000000012</v>
      </c>
      <c r="X229">
        <v>309.42839999999995</v>
      </c>
      <c r="Y229">
        <v>314.03219999999993</v>
      </c>
      <c r="Z229">
        <v>305.8805000000001</v>
      </c>
      <c r="AA229">
        <v>297.4529</v>
      </c>
      <c r="AB229">
        <v>292.7915000000001</v>
      </c>
      <c r="AC229">
        <v>291.4079000000001</v>
      </c>
      <c r="AD229" t="s">
        <v>73</v>
      </c>
    </row>
    <row r="230" spans="1:30" x14ac:dyDescent="0.3">
      <c r="A230" t="s">
        <v>564</v>
      </c>
      <c r="B230" s="5" t="s">
        <v>565</v>
      </c>
      <c r="C230" t="s">
        <v>481</v>
      </c>
      <c r="D230" s="5" t="s">
        <v>482</v>
      </c>
      <c r="E230">
        <v>55.9587</v>
      </c>
      <c r="F230">
        <v>55.343600000000002</v>
      </c>
      <c r="G230">
        <v>56.212599999999995</v>
      </c>
      <c r="H230">
        <v>56.712800000000001</v>
      </c>
      <c r="I230">
        <v>57.545999999999999</v>
      </c>
      <c r="J230">
        <v>58.228300000000011</v>
      </c>
      <c r="K230">
        <v>59.800600000000003</v>
      </c>
      <c r="L230">
        <v>60.178599999999996</v>
      </c>
      <c r="M230">
        <v>63.821500000000007</v>
      </c>
      <c r="N230">
        <v>65.470700000000008</v>
      </c>
      <c r="O230">
        <v>65.618399999999994</v>
      </c>
      <c r="P230">
        <v>70.808300000000003</v>
      </c>
      <c r="Q230">
        <v>71.822299999999998</v>
      </c>
      <c r="R230">
        <v>75.639500000000012</v>
      </c>
      <c r="S230">
        <v>76.259700000000009</v>
      </c>
      <c r="T230">
        <v>77.142799999999994</v>
      </c>
      <c r="U230">
        <v>81.911000000000001</v>
      </c>
      <c r="V230">
        <v>83.279000000000011</v>
      </c>
      <c r="W230">
        <v>83.223399999999998</v>
      </c>
      <c r="X230">
        <v>85.768100000000004</v>
      </c>
      <c r="Y230">
        <v>89.611999999999995</v>
      </c>
      <c r="Z230">
        <v>88.474699999999999</v>
      </c>
      <c r="AA230">
        <v>79.988199999999992</v>
      </c>
      <c r="AB230">
        <v>77.586399999999998</v>
      </c>
      <c r="AC230">
        <v>77.424300000000002</v>
      </c>
      <c r="AD230" t="s">
        <v>73</v>
      </c>
    </row>
    <row r="231" spans="1:30" x14ac:dyDescent="0.3">
      <c r="A231" t="s">
        <v>564</v>
      </c>
      <c r="B231" s="5" t="s">
        <v>565</v>
      </c>
      <c r="C231" t="s">
        <v>483</v>
      </c>
      <c r="D231" s="5" t="s">
        <v>484</v>
      </c>
      <c r="E231">
        <v>115.34880000000001</v>
      </c>
      <c r="F231">
        <v>116.0035</v>
      </c>
      <c r="G231">
        <v>116.13539999999999</v>
      </c>
      <c r="H231">
        <v>115.1173</v>
      </c>
      <c r="I231">
        <v>116.71959999999999</v>
      </c>
      <c r="J231">
        <v>116.89139999999999</v>
      </c>
      <c r="K231">
        <v>118.32629999999999</v>
      </c>
      <c r="L231">
        <v>120.94199999999999</v>
      </c>
      <c r="M231">
        <v>127.07939999999998</v>
      </c>
      <c r="N231">
        <v>128.29130000000001</v>
      </c>
      <c r="O231">
        <v>126.6326</v>
      </c>
      <c r="P231">
        <v>134.17240000000001</v>
      </c>
      <c r="Q231">
        <v>134.61829999999998</v>
      </c>
      <c r="R231">
        <v>138.97480000000002</v>
      </c>
      <c r="S231">
        <v>140.50680000000003</v>
      </c>
      <c r="T231">
        <v>143.38</v>
      </c>
      <c r="U231">
        <v>152.08089999999999</v>
      </c>
      <c r="V231">
        <v>153.607</v>
      </c>
      <c r="W231">
        <v>153.11320000000001</v>
      </c>
      <c r="X231">
        <v>157.7732</v>
      </c>
      <c r="Y231">
        <v>165.60539999999997</v>
      </c>
      <c r="Z231">
        <v>160.98800000000003</v>
      </c>
      <c r="AA231">
        <v>157.10410000000002</v>
      </c>
      <c r="AB231">
        <v>155.35070000000002</v>
      </c>
      <c r="AC231">
        <v>155.81649999999999</v>
      </c>
      <c r="AD231" t="s">
        <v>73</v>
      </c>
    </row>
    <row r="232" spans="1:30" x14ac:dyDescent="0.3">
      <c r="A232" t="s">
        <v>564</v>
      </c>
      <c r="B232" s="5" t="s">
        <v>565</v>
      </c>
      <c r="C232" t="s">
        <v>485</v>
      </c>
      <c r="D232" s="5" t="s">
        <v>486</v>
      </c>
      <c r="E232">
        <v>159.31979999999999</v>
      </c>
      <c r="F232">
        <v>158.32049999999998</v>
      </c>
      <c r="G232">
        <v>157.23940000000002</v>
      </c>
      <c r="H232">
        <v>155.5558</v>
      </c>
      <c r="I232">
        <v>156.2063</v>
      </c>
      <c r="J232">
        <v>153.42149999999998</v>
      </c>
      <c r="K232">
        <v>151.87240000000003</v>
      </c>
      <c r="L232">
        <v>155.44919999999999</v>
      </c>
      <c r="M232">
        <v>150.74870000000001</v>
      </c>
      <c r="N232">
        <v>150.64899999999994</v>
      </c>
      <c r="O232">
        <v>153.81729999999999</v>
      </c>
      <c r="P232">
        <v>150.25779999999997</v>
      </c>
      <c r="Q232">
        <v>152.42229999999995</v>
      </c>
      <c r="R232">
        <v>154.4091</v>
      </c>
      <c r="S232">
        <v>156.83320000000003</v>
      </c>
      <c r="T232">
        <v>157.91309999999999</v>
      </c>
      <c r="U232">
        <v>158.85309999999998</v>
      </c>
      <c r="V232">
        <v>159.02080000000001</v>
      </c>
      <c r="W232">
        <v>155.04480000000004</v>
      </c>
      <c r="X232">
        <v>155.49879999999999</v>
      </c>
      <c r="Y232">
        <v>152.94729999999998</v>
      </c>
      <c r="Z232">
        <v>149.18699999999998</v>
      </c>
      <c r="AA232">
        <v>143.10719999999995</v>
      </c>
      <c r="AB232">
        <v>140.37020000000001</v>
      </c>
      <c r="AC232">
        <v>138.22389999999999</v>
      </c>
      <c r="AD232" t="s">
        <v>73</v>
      </c>
    </row>
    <row r="233" spans="1:30" x14ac:dyDescent="0.3">
      <c r="A233" t="s">
        <v>564</v>
      </c>
      <c r="B233" s="5" t="s">
        <v>565</v>
      </c>
      <c r="C233" t="s">
        <v>487</v>
      </c>
      <c r="D233" s="5" t="s">
        <v>488</v>
      </c>
      <c r="E233">
        <v>121.36370000000001</v>
      </c>
      <c r="F233">
        <v>125.24830000000001</v>
      </c>
      <c r="G233">
        <v>130.10750000000004</v>
      </c>
      <c r="H233">
        <v>129.85869999999997</v>
      </c>
      <c r="I233">
        <v>132.44760000000002</v>
      </c>
      <c r="J233">
        <v>136.68380000000002</v>
      </c>
      <c r="K233">
        <v>138.54149999999998</v>
      </c>
      <c r="L233">
        <v>142.78520000000003</v>
      </c>
      <c r="M233">
        <v>147.66630000000001</v>
      </c>
      <c r="N233">
        <v>150.59900000000002</v>
      </c>
      <c r="O233">
        <v>154.26580000000001</v>
      </c>
      <c r="P233">
        <v>160.00729999999999</v>
      </c>
      <c r="Q233">
        <v>164.95460000000003</v>
      </c>
      <c r="R233">
        <v>169.70070000000001</v>
      </c>
      <c r="S233">
        <v>172.69730000000001</v>
      </c>
      <c r="T233">
        <v>174.12219999999996</v>
      </c>
      <c r="U233">
        <v>181.21869999999993</v>
      </c>
      <c r="V233">
        <v>188.2627</v>
      </c>
      <c r="W233">
        <v>183.3545</v>
      </c>
      <c r="X233">
        <v>189.71559999999999</v>
      </c>
      <c r="Y233">
        <v>193.03299999999999</v>
      </c>
      <c r="Z233">
        <v>195.11320000000001</v>
      </c>
      <c r="AA233">
        <v>191.40369999999999</v>
      </c>
      <c r="AB233">
        <v>193.72479999999996</v>
      </c>
      <c r="AC233">
        <v>196.30939999999998</v>
      </c>
      <c r="AD233" t="s">
        <v>73</v>
      </c>
    </row>
    <row r="234" spans="1:30" x14ac:dyDescent="0.3">
      <c r="A234" t="s">
        <v>564</v>
      </c>
      <c r="B234" s="5" t="s">
        <v>565</v>
      </c>
      <c r="C234" t="s">
        <v>489</v>
      </c>
      <c r="D234" s="5" t="s">
        <v>490</v>
      </c>
      <c r="E234">
        <v>98.466799999999992</v>
      </c>
      <c r="F234">
        <v>101.10019999999997</v>
      </c>
      <c r="G234">
        <v>104.83150000000001</v>
      </c>
      <c r="H234">
        <v>107.9803</v>
      </c>
      <c r="I234">
        <v>110.6563</v>
      </c>
      <c r="J234">
        <v>114.6307</v>
      </c>
      <c r="K234">
        <v>117.84639999999997</v>
      </c>
      <c r="L234">
        <v>121.78070000000002</v>
      </c>
      <c r="M234">
        <v>126.5659</v>
      </c>
      <c r="N234">
        <v>130.6508</v>
      </c>
      <c r="O234">
        <v>135.36519999999999</v>
      </c>
      <c r="P234">
        <v>137.16660000000002</v>
      </c>
      <c r="Q234">
        <v>143.25669999999997</v>
      </c>
      <c r="R234">
        <v>148.04509999999999</v>
      </c>
      <c r="S234">
        <v>152.24420000000001</v>
      </c>
      <c r="T234">
        <v>155.84989999999999</v>
      </c>
      <c r="U234">
        <v>160.595</v>
      </c>
      <c r="V234">
        <v>164.41779999999997</v>
      </c>
      <c r="W234">
        <v>167.9391</v>
      </c>
      <c r="X234">
        <v>174.13240000000002</v>
      </c>
      <c r="Y234">
        <v>177.45740000000001</v>
      </c>
      <c r="Z234">
        <v>178.63740000000004</v>
      </c>
      <c r="AA234">
        <v>184.4325</v>
      </c>
      <c r="AB234">
        <v>190.8656</v>
      </c>
      <c r="AC234">
        <v>195.53259999999995</v>
      </c>
      <c r="AD234" t="s">
        <v>73</v>
      </c>
    </row>
    <row r="235" spans="1:30" x14ac:dyDescent="0.3">
      <c r="A235" t="s">
        <v>564</v>
      </c>
      <c r="B235" s="5" t="s">
        <v>565</v>
      </c>
      <c r="C235" t="s">
        <v>491</v>
      </c>
      <c r="D235" s="5" t="s">
        <v>492</v>
      </c>
      <c r="E235">
        <v>441.69459999999998</v>
      </c>
      <c r="F235">
        <v>442.34189999999995</v>
      </c>
      <c r="G235">
        <v>439.61069999999984</v>
      </c>
      <c r="H235">
        <v>441.2716999999999</v>
      </c>
      <c r="I235">
        <v>444.29169999999988</v>
      </c>
      <c r="J235">
        <v>437.38070000000016</v>
      </c>
      <c r="K235">
        <v>440.29729999999995</v>
      </c>
      <c r="L235">
        <v>443.29619999999994</v>
      </c>
      <c r="M235">
        <v>434.52359999999999</v>
      </c>
      <c r="N235">
        <v>437.75280000000004</v>
      </c>
      <c r="O235">
        <v>441.43059999999991</v>
      </c>
      <c r="P235">
        <v>445.0057000000001</v>
      </c>
      <c r="Q235">
        <v>447.13360000000011</v>
      </c>
      <c r="R235">
        <v>453.5406000000001</v>
      </c>
      <c r="S235">
        <v>456.39099999999996</v>
      </c>
      <c r="T235">
        <v>457.27620000000013</v>
      </c>
      <c r="U235">
        <v>464.44689999999997</v>
      </c>
      <c r="V235">
        <v>467.42569999999978</v>
      </c>
      <c r="W235">
        <v>459.49180000000001</v>
      </c>
      <c r="X235">
        <v>462.33359999999999</v>
      </c>
      <c r="Y235">
        <v>464.53119999999996</v>
      </c>
      <c r="Z235">
        <v>457.68920000000008</v>
      </c>
      <c r="AA235">
        <v>459.91049999999996</v>
      </c>
      <c r="AB235">
        <v>460.25079999999997</v>
      </c>
      <c r="AC235">
        <v>460.31599999999997</v>
      </c>
      <c r="AD235" t="s">
        <v>73</v>
      </c>
    </row>
    <row r="236" spans="1:30" x14ac:dyDescent="0.3">
      <c r="A236" t="s">
        <v>564</v>
      </c>
      <c r="B236" s="5" t="s">
        <v>565</v>
      </c>
      <c r="C236" t="s">
        <v>493</v>
      </c>
      <c r="D236" s="5" t="s">
        <v>494</v>
      </c>
      <c r="E236">
        <v>788.09690000000035</v>
      </c>
      <c r="F236">
        <v>793.01269999999977</v>
      </c>
      <c r="G236">
        <v>813.50539999999955</v>
      </c>
      <c r="H236">
        <v>820.99779999999998</v>
      </c>
      <c r="I236">
        <v>848.86070000000029</v>
      </c>
      <c r="J236">
        <v>857.1844000000001</v>
      </c>
      <c r="K236">
        <v>882.33089999999982</v>
      </c>
      <c r="L236">
        <v>889.52850000000035</v>
      </c>
      <c r="M236">
        <v>891.55140000000006</v>
      </c>
      <c r="N236">
        <v>917.57800000000043</v>
      </c>
      <c r="O236">
        <v>907.60009999999966</v>
      </c>
      <c r="P236">
        <v>939.23850000000061</v>
      </c>
      <c r="Q236">
        <v>942.18650000000014</v>
      </c>
      <c r="R236">
        <v>954.83090000000004</v>
      </c>
      <c r="S236">
        <v>938.99969999999951</v>
      </c>
      <c r="T236">
        <v>953.10749999999996</v>
      </c>
      <c r="U236">
        <v>953.7044999999996</v>
      </c>
      <c r="V236">
        <v>945.89519999999993</v>
      </c>
      <c r="W236">
        <v>950.52839999999958</v>
      </c>
      <c r="X236">
        <v>967.81269999999995</v>
      </c>
      <c r="Y236">
        <v>989.30009999999982</v>
      </c>
      <c r="Z236">
        <v>989.45350000000042</v>
      </c>
      <c r="AA236">
        <v>997.45389999999998</v>
      </c>
      <c r="AB236">
        <v>1011.0590999999996</v>
      </c>
      <c r="AC236">
        <v>1017.3398000000001</v>
      </c>
      <c r="AD236" t="s">
        <v>73</v>
      </c>
    </row>
    <row r="237" spans="1:30" x14ac:dyDescent="0.3">
      <c r="A237" t="s">
        <v>564</v>
      </c>
      <c r="B237" s="5" t="s">
        <v>565</v>
      </c>
      <c r="C237" t="s">
        <v>495</v>
      </c>
      <c r="D237" s="5" t="s">
        <v>496</v>
      </c>
      <c r="E237">
        <v>975.93080000000054</v>
      </c>
      <c r="F237">
        <v>984.3803999999999</v>
      </c>
      <c r="G237">
        <v>1010.4383</v>
      </c>
      <c r="H237">
        <v>1024.2166</v>
      </c>
      <c r="I237">
        <v>1058.3235000000004</v>
      </c>
      <c r="J237">
        <v>1073.1900000000003</v>
      </c>
      <c r="K237">
        <v>1102.4253000000003</v>
      </c>
      <c r="L237">
        <v>1121.8037000000004</v>
      </c>
      <c r="M237">
        <v>1131.6433</v>
      </c>
      <c r="N237">
        <v>1165.4098000000004</v>
      </c>
      <c r="O237">
        <v>1162.3540000000005</v>
      </c>
      <c r="P237">
        <v>1198.9285</v>
      </c>
      <c r="Q237">
        <v>1207.5391000000004</v>
      </c>
      <c r="R237">
        <v>1230.2512000000006</v>
      </c>
      <c r="S237">
        <v>1221.3712000000003</v>
      </c>
      <c r="T237">
        <v>1237.3842999999997</v>
      </c>
      <c r="U237">
        <v>1251.8140999999996</v>
      </c>
      <c r="V237">
        <v>1249.5695999999991</v>
      </c>
      <c r="W237">
        <v>1254.2759000000003</v>
      </c>
      <c r="X237">
        <v>1281.2266000000002</v>
      </c>
      <c r="Y237">
        <v>1313.9004</v>
      </c>
      <c r="Z237">
        <v>1316.2059999999997</v>
      </c>
      <c r="AA237">
        <v>1330.0841000000003</v>
      </c>
      <c r="AB237">
        <v>1348.8974000000007</v>
      </c>
      <c r="AC237">
        <v>1362.1079999999993</v>
      </c>
      <c r="AD237" t="s">
        <v>73</v>
      </c>
    </row>
    <row r="238" spans="1:30" x14ac:dyDescent="0.3">
      <c r="A238" t="s">
        <v>564</v>
      </c>
      <c r="B238" s="5" t="s">
        <v>565</v>
      </c>
      <c r="C238" t="s">
        <v>497</v>
      </c>
      <c r="D238" s="5" t="s">
        <v>498</v>
      </c>
      <c r="E238">
        <v>60.831999999999994</v>
      </c>
      <c r="F238">
        <v>61.657100000000007</v>
      </c>
      <c r="G238">
        <v>62.3949</v>
      </c>
      <c r="H238">
        <v>64.479100000000003</v>
      </c>
      <c r="I238">
        <v>67.256600000000006</v>
      </c>
      <c r="J238">
        <v>69.071700000000007</v>
      </c>
      <c r="K238">
        <v>69.403300000000016</v>
      </c>
      <c r="L238">
        <v>76.338399999999993</v>
      </c>
      <c r="M238">
        <v>79.131299999999996</v>
      </c>
      <c r="N238">
        <v>82.072100000000006</v>
      </c>
      <c r="O238">
        <v>83.361799999999988</v>
      </c>
      <c r="P238">
        <v>86.249100000000013</v>
      </c>
      <c r="Q238">
        <v>85.662700000000001</v>
      </c>
      <c r="R238">
        <v>90.450700000000012</v>
      </c>
      <c r="S238">
        <v>91.590400000000002</v>
      </c>
      <c r="T238">
        <v>89.698599999999985</v>
      </c>
      <c r="U238">
        <v>98.668800000000005</v>
      </c>
      <c r="V238">
        <v>97.61330000000001</v>
      </c>
      <c r="W238">
        <v>99.788500000000013</v>
      </c>
      <c r="X238">
        <v>103.22029999999999</v>
      </c>
      <c r="Y238">
        <v>109.30449999999999</v>
      </c>
      <c r="Z238">
        <v>110.57720000000002</v>
      </c>
      <c r="AA238">
        <v>110.6495</v>
      </c>
      <c r="AB238">
        <v>111.68910000000001</v>
      </c>
      <c r="AC238">
        <v>114.13680000000001</v>
      </c>
      <c r="AD238" t="s">
        <v>73</v>
      </c>
    </row>
    <row r="239" spans="1:30" x14ac:dyDescent="0.3">
      <c r="A239" t="s">
        <v>564</v>
      </c>
      <c r="B239" s="5" t="s">
        <v>565</v>
      </c>
      <c r="C239" t="s">
        <v>499</v>
      </c>
      <c r="D239" s="5" t="s">
        <v>500</v>
      </c>
      <c r="E239">
        <v>127.00190000000001</v>
      </c>
      <c r="F239">
        <v>129.71059999999997</v>
      </c>
      <c r="G239">
        <v>134.53799999999998</v>
      </c>
      <c r="H239">
        <v>138.73969999999994</v>
      </c>
      <c r="I239">
        <v>142.2062</v>
      </c>
      <c r="J239">
        <v>146.93390000000002</v>
      </c>
      <c r="K239">
        <v>150.69110000000001</v>
      </c>
      <c r="L239">
        <v>155.93679999999995</v>
      </c>
      <c r="M239">
        <v>160.96059999999997</v>
      </c>
      <c r="N239">
        <v>165.75970000000001</v>
      </c>
      <c r="O239">
        <v>171.39209999999997</v>
      </c>
      <c r="P239">
        <v>173.44090000000006</v>
      </c>
      <c r="Q239">
        <v>179.68990000000002</v>
      </c>
      <c r="R239">
        <v>184.96960000000004</v>
      </c>
      <c r="S239">
        <v>190.78110000000001</v>
      </c>
      <c r="T239">
        <v>194.57819999999998</v>
      </c>
      <c r="U239">
        <v>199.44079999999991</v>
      </c>
      <c r="V239">
        <v>206.06110000000001</v>
      </c>
      <c r="W239">
        <v>203.959</v>
      </c>
      <c r="X239">
        <v>210.19359999999998</v>
      </c>
      <c r="Y239">
        <v>215.29579999999993</v>
      </c>
      <c r="Z239">
        <v>216.17529999999996</v>
      </c>
      <c r="AA239">
        <v>221.98070000000007</v>
      </c>
      <c r="AB239">
        <v>226.14920000000004</v>
      </c>
      <c r="AC239">
        <v>230.63140000000001</v>
      </c>
      <c r="AD239" t="s">
        <v>73</v>
      </c>
    </row>
    <row r="240" spans="1:30" x14ac:dyDescent="0.3">
      <c r="A240" t="s">
        <v>564</v>
      </c>
      <c r="B240" s="5" t="s">
        <v>565</v>
      </c>
      <c r="C240" t="s">
        <v>501</v>
      </c>
      <c r="D240" s="5" t="s">
        <v>502</v>
      </c>
      <c r="E240">
        <v>187.83390000000003</v>
      </c>
      <c r="F240">
        <v>191.36770000000001</v>
      </c>
      <c r="G240">
        <v>196.93289999999999</v>
      </c>
      <c r="H240">
        <v>203.21879999999996</v>
      </c>
      <c r="I240">
        <v>209.46279999999999</v>
      </c>
      <c r="J240">
        <v>216.00560000000002</v>
      </c>
      <c r="K240">
        <v>220.09439999999998</v>
      </c>
      <c r="L240">
        <v>232.27519999999998</v>
      </c>
      <c r="M240">
        <v>240.09189999999992</v>
      </c>
      <c r="N240">
        <v>247.83180000000004</v>
      </c>
      <c r="O240">
        <v>254.75390000000004</v>
      </c>
      <c r="P240">
        <v>259.69</v>
      </c>
      <c r="Q240">
        <v>265.3526</v>
      </c>
      <c r="R240">
        <v>275.42030000000005</v>
      </c>
      <c r="S240">
        <v>282.37149999999997</v>
      </c>
      <c r="T240">
        <v>284.27680000000004</v>
      </c>
      <c r="U240">
        <v>298.10959999999994</v>
      </c>
      <c r="V240">
        <v>303.67439999999993</v>
      </c>
      <c r="W240">
        <v>303.7475</v>
      </c>
      <c r="X240">
        <v>313.41390000000001</v>
      </c>
      <c r="Y240">
        <v>324.6003</v>
      </c>
      <c r="Z240">
        <v>326.75250000000011</v>
      </c>
      <c r="AA240">
        <v>332.63020000000006</v>
      </c>
      <c r="AB240">
        <v>337.8383</v>
      </c>
      <c r="AC240">
        <v>344.76819999999998</v>
      </c>
      <c r="AD240" t="s">
        <v>73</v>
      </c>
    </row>
    <row r="241" spans="1:30" x14ac:dyDescent="0.3">
      <c r="A241" t="s">
        <v>564</v>
      </c>
      <c r="B241" s="5" t="s">
        <v>565</v>
      </c>
      <c r="C241" t="s">
        <v>503</v>
      </c>
      <c r="D241" s="5" t="s">
        <v>504</v>
      </c>
      <c r="E241">
        <v>471.42570000000001</v>
      </c>
      <c r="F241">
        <v>471.80269999999985</v>
      </c>
      <c r="G241">
        <v>492.97149999999999</v>
      </c>
      <c r="H241">
        <v>495.1468999999999</v>
      </c>
      <c r="I241">
        <v>513.30079999999998</v>
      </c>
      <c r="J241">
        <v>513.32500000000016</v>
      </c>
      <c r="K241">
        <v>528.50199999999984</v>
      </c>
      <c r="L241">
        <v>525.68799999999999</v>
      </c>
      <c r="M241">
        <v>521.37959999999998</v>
      </c>
      <c r="N241">
        <v>542.18429999999978</v>
      </c>
      <c r="O241">
        <v>526.57589999999993</v>
      </c>
      <c r="P241">
        <v>548.60360000000014</v>
      </c>
      <c r="Q241">
        <v>549.11210000000017</v>
      </c>
      <c r="R241">
        <v>557.23810000000003</v>
      </c>
      <c r="S241">
        <v>536.83589999999981</v>
      </c>
      <c r="T241">
        <v>550.18799999999999</v>
      </c>
      <c r="U241">
        <v>543.54570000000001</v>
      </c>
      <c r="V241">
        <v>527.13539999999989</v>
      </c>
      <c r="W241">
        <v>528.57719999999983</v>
      </c>
      <c r="X241">
        <v>535.58150000000012</v>
      </c>
      <c r="Y241">
        <v>543.2177999999999</v>
      </c>
      <c r="Z241">
        <v>546.66930000000002</v>
      </c>
      <c r="AA241">
        <v>562.94849999999997</v>
      </c>
      <c r="AB241">
        <v>572.8418999999999</v>
      </c>
      <c r="AC241">
        <v>575.16710000000012</v>
      </c>
      <c r="AD241" t="s">
        <v>73</v>
      </c>
    </row>
    <row r="242" spans="1:30" x14ac:dyDescent="0.3">
      <c r="A242" t="s">
        <v>564</v>
      </c>
      <c r="B242" s="5" t="s">
        <v>565</v>
      </c>
      <c r="C242" t="s">
        <v>505</v>
      </c>
      <c r="D242" s="5" t="s">
        <v>506</v>
      </c>
      <c r="E242">
        <v>192.37890000000002</v>
      </c>
      <c r="F242">
        <v>195.54109999999997</v>
      </c>
      <c r="G242">
        <v>200.77630000000008</v>
      </c>
      <c r="H242">
        <v>212.2243</v>
      </c>
      <c r="I242">
        <v>218.1651</v>
      </c>
      <c r="J242">
        <v>218.30799999999999</v>
      </c>
      <c r="K242">
        <v>220.92910000000003</v>
      </c>
      <c r="L242">
        <v>226.72929999999999</v>
      </c>
      <c r="M242">
        <v>225.09760000000006</v>
      </c>
      <c r="N242">
        <v>224.22510000000003</v>
      </c>
      <c r="O242">
        <v>228.63270000000006</v>
      </c>
      <c r="P242">
        <v>235.51050000000004</v>
      </c>
      <c r="Q242">
        <v>234.98920000000001</v>
      </c>
      <c r="R242">
        <v>241.24699999999999</v>
      </c>
      <c r="S242">
        <v>244.37369999999999</v>
      </c>
      <c r="T242">
        <v>243.06709999999998</v>
      </c>
      <c r="U242">
        <v>251.42280000000002</v>
      </c>
      <c r="V242">
        <v>253.38709999999998</v>
      </c>
      <c r="W242">
        <v>252.6172</v>
      </c>
      <c r="X242">
        <v>256.7568</v>
      </c>
      <c r="Y242">
        <v>266.63470000000001</v>
      </c>
      <c r="Z242">
        <v>275.88670000000002</v>
      </c>
      <c r="AA242">
        <v>274.01640000000003</v>
      </c>
      <c r="AB242">
        <v>277.50210000000004</v>
      </c>
      <c r="AC242">
        <v>278.10579999999993</v>
      </c>
      <c r="AD242" t="s">
        <v>73</v>
      </c>
    </row>
    <row r="243" spans="1:30" x14ac:dyDescent="0.3">
      <c r="A243" t="s">
        <v>564</v>
      </c>
      <c r="B243" s="5" t="s">
        <v>565</v>
      </c>
      <c r="C243" t="s">
        <v>507</v>
      </c>
      <c r="D243" s="5" t="s">
        <v>508</v>
      </c>
      <c r="E243">
        <v>173.667</v>
      </c>
      <c r="F243">
        <v>176.5162</v>
      </c>
      <c r="G243">
        <v>181.29360000000005</v>
      </c>
      <c r="H243">
        <v>192.35560000000001</v>
      </c>
      <c r="I243">
        <v>197.75179999999997</v>
      </c>
      <c r="J243">
        <v>197.61439999999999</v>
      </c>
      <c r="K243">
        <v>200.22820000000002</v>
      </c>
      <c r="L243">
        <v>205.78329999999997</v>
      </c>
      <c r="M243">
        <v>204.05150000000003</v>
      </c>
      <c r="N243">
        <v>203.14400000000001</v>
      </c>
      <c r="O243">
        <v>209.05800000000002</v>
      </c>
      <c r="P243">
        <v>215.3689</v>
      </c>
      <c r="Q243">
        <v>213.47530000000003</v>
      </c>
      <c r="R243">
        <v>220.05559999999997</v>
      </c>
      <c r="S243">
        <v>223.26419999999999</v>
      </c>
      <c r="T243">
        <v>222.21169999999998</v>
      </c>
      <c r="U243">
        <v>231.04939999999999</v>
      </c>
      <c r="V243">
        <v>233.27780000000001</v>
      </c>
      <c r="W243">
        <v>233.05860000000001</v>
      </c>
      <c r="X243">
        <v>236.67709999999997</v>
      </c>
      <c r="Y243">
        <v>246.67409999999998</v>
      </c>
      <c r="Z243">
        <v>255.1465</v>
      </c>
      <c r="AA243">
        <v>253.74629999999999</v>
      </c>
      <c r="AB243">
        <v>257.11949999999996</v>
      </c>
      <c r="AC243">
        <v>257.46969999999999</v>
      </c>
      <c r="AD243" t="s">
        <v>73</v>
      </c>
    </row>
    <row r="244" spans="1:30" x14ac:dyDescent="0.3">
      <c r="A244" t="s">
        <v>564</v>
      </c>
      <c r="B244" s="5" t="s">
        <v>565</v>
      </c>
      <c r="C244" t="s">
        <v>509</v>
      </c>
      <c r="D244" s="5" t="s">
        <v>510</v>
      </c>
      <c r="E244">
        <v>189.74080000000001</v>
      </c>
      <c r="F244">
        <v>193.0932</v>
      </c>
      <c r="G244">
        <v>198.3939</v>
      </c>
      <c r="H244">
        <v>209.96300000000002</v>
      </c>
      <c r="I244">
        <v>215.94629999999998</v>
      </c>
      <c r="J244">
        <v>216.0719</v>
      </c>
      <c r="K244">
        <v>218.5402</v>
      </c>
      <c r="L244">
        <v>224.38200000000003</v>
      </c>
      <c r="M244">
        <v>222.72060000000005</v>
      </c>
      <c r="N244">
        <v>221.82840000000002</v>
      </c>
      <c r="O244">
        <v>226.25749999999999</v>
      </c>
      <c r="P244">
        <v>233.0908</v>
      </c>
      <c r="Q244">
        <v>232.60550000000001</v>
      </c>
      <c r="R244">
        <v>238.76510000000002</v>
      </c>
      <c r="S244">
        <v>241.78450000000001</v>
      </c>
      <c r="T244">
        <v>240.57259999999997</v>
      </c>
      <c r="U244">
        <v>248.95150000000001</v>
      </c>
      <c r="V244">
        <v>250.89230000000001</v>
      </c>
      <c r="W244">
        <v>250.27190000000004</v>
      </c>
      <c r="X244">
        <v>254.42859999999999</v>
      </c>
      <c r="Y244">
        <v>264.64009999999996</v>
      </c>
      <c r="Z244">
        <v>273.91780000000006</v>
      </c>
      <c r="AA244">
        <v>272.09210000000002</v>
      </c>
      <c r="AB244">
        <v>275.61270000000002</v>
      </c>
      <c r="AC244">
        <v>276.26570000000004</v>
      </c>
      <c r="AD244" t="s">
        <v>73</v>
      </c>
    </row>
    <row r="245" spans="1:30" x14ac:dyDescent="0.3">
      <c r="A245" t="s">
        <v>564</v>
      </c>
      <c r="B245" s="5" t="s">
        <v>565</v>
      </c>
      <c r="C245" t="s">
        <v>511</v>
      </c>
      <c r="D245" s="5" t="s">
        <v>512</v>
      </c>
      <c r="E245">
        <v>119.81</v>
      </c>
      <c r="F245">
        <v>122.88029999999998</v>
      </c>
      <c r="G245">
        <v>127.17069999999998</v>
      </c>
      <c r="H245">
        <v>130.9297</v>
      </c>
      <c r="I245">
        <v>133.76929999999999</v>
      </c>
      <c r="J245">
        <v>138.43110000000001</v>
      </c>
      <c r="K245">
        <v>142.2345</v>
      </c>
      <c r="L245">
        <v>147.27259999999995</v>
      </c>
      <c r="M245">
        <v>152.46010000000001</v>
      </c>
      <c r="N245">
        <v>156.84039999999999</v>
      </c>
      <c r="O245">
        <v>162.52619999999999</v>
      </c>
      <c r="P245">
        <v>164.24080000000004</v>
      </c>
      <c r="Q245">
        <v>170.53359999999998</v>
      </c>
      <c r="R245">
        <v>176.32420000000005</v>
      </c>
      <c r="S245">
        <v>182.06600000000006</v>
      </c>
      <c r="T245">
        <v>185.614</v>
      </c>
      <c r="U245">
        <v>191.10389999999995</v>
      </c>
      <c r="V245">
        <v>197.09820000000002</v>
      </c>
      <c r="W245">
        <v>195.1961</v>
      </c>
      <c r="X245">
        <v>201.26580000000004</v>
      </c>
      <c r="Y245">
        <v>205.42350000000002</v>
      </c>
      <c r="Z245">
        <v>206.99190000000002</v>
      </c>
      <c r="AA245">
        <v>212.46599999999998</v>
      </c>
      <c r="AB245">
        <v>216.42729999999997</v>
      </c>
      <c r="AC245">
        <v>220.78889999999998</v>
      </c>
      <c r="AD245" t="s">
        <v>73</v>
      </c>
    </row>
    <row r="246" spans="1:30" x14ac:dyDescent="0.3">
      <c r="A246" t="s">
        <v>564</v>
      </c>
      <c r="B246" s="5" t="s">
        <v>565</v>
      </c>
      <c r="C246" t="s">
        <v>513</v>
      </c>
      <c r="D246" s="5" t="s">
        <v>514</v>
      </c>
      <c r="E246">
        <v>888.42329999999993</v>
      </c>
      <c r="F246">
        <v>893.99559999999963</v>
      </c>
      <c r="G246">
        <v>918.56669999999986</v>
      </c>
      <c r="H246">
        <v>934.06880000000058</v>
      </c>
      <c r="I246">
        <v>966.27419999999995</v>
      </c>
      <c r="J246">
        <v>980.60499999999968</v>
      </c>
      <c r="K246">
        <v>1008.8181000000003</v>
      </c>
      <c r="L246">
        <v>1023.7322000000001</v>
      </c>
      <c r="M246">
        <v>1029.9269999999999</v>
      </c>
      <c r="N246">
        <v>1062.9946</v>
      </c>
      <c r="O246">
        <v>1062.2056</v>
      </c>
      <c r="P246">
        <v>1096.2761</v>
      </c>
      <c r="Q246">
        <v>1103.0482</v>
      </c>
      <c r="R246">
        <v>1124.8864000000005</v>
      </c>
      <c r="S246">
        <v>1113.9823000000001</v>
      </c>
      <c r="T246">
        <v>1127.2848000000001</v>
      </c>
      <c r="U246">
        <v>1137.7258000000002</v>
      </c>
      <c r="V246">
        <v>1134.5611000000006</v>
      </c>
      <c r="W246">
        <v>1140.1233999999999</v>
      </c>
      <c r="X246">
        <v>1161.3384000000003</v>
      </c>
      <c r="Y246">
        <v>1187.4473999999998</v>
      </c>
      <c r="Z246">
        <v>1194.7942000000003</v>
      </c>
      <c r="AA246">
        <v>1202.8907000000002</v>
      </c>
      <c r="AB246">
        <v>1219.1511</v>
      </c>
      <c r="AC246">
        <v>1230.3689999999992</v>
      </c>
      <c r="AD246" t="s">
        <v>73</v>
      </c>
    </row>
    <row r="247" spans="1:30" x14ac:dyDescent="0.3">
      <c r="A247" t="s">
        <v>564</v>
      </c>
      <c r="B247" s="5" t="s">
        <v>565</v>
      </c>
      <c r="C247" t="s">
        <v>515</v>
      </c>
      <c r="D247" s="5" t="s">
        <v>516</v>
      </c>
      <c r="E247">
        <v>63.838900000000002</v>
      </c>
      <c r="F247">
        <v>64.776300000000006</v>
      </c>
      <c r="G247">
        <v>66.370800000000017</v>
      </c>
      <c r="H247">
        <v>69.796999999999997</v>
      </c>
      <c r="I247">
        <v>71.989099999999993</v>
      </c>
      <c r="J247">
        <v>74.872799999999998</v>
      </c>
      <c r="K247">
        <v>75.45859999999999</v>
      </c>
      <c r="L247">
        <v>77.410600000000002</v>
      </c>
      <c r="M247">
        <v>80.528099999999981</v>
      </c>
      <c r="N247">
        <v>82.395999999999987</v>
      </c>
      <c r="O247">
        <v>84.574000000000012</v>
      </c>
      <c r="P247">
        <v>85.810600000000008</v>
      </c>
      <c r="Q247">
        <v>88.730199999999982</v>
      </c>
      <c r="R247">
        <v>90.443200000000004</v>
      </c>
      <c r="S247">
        <v>92.520899999999997</v>
      </c>
      <c r="T247">
        <v>94.274500000000003</v>
      </c>
      <c r="U247">
        <v>97.568100000000001</v>
      </c>
      <c r="V247">
        <v>99.625399999999985</v>
      </c>
      <c r="W247">
        <v>102.32380000000001</v>
      </c>
      <c r="X247">
        <v>104.6283</v>
      </c>
      <c r="Y247">
        <v>104.30460000000001</v>
      </c>
      <c r="Z247">
        <v>107.1379</v>
      </c>
      <c r="AA247">
        <v>109.97749999999999</v>
      </c>
      <c r="AB247">
        <v>111.64309999999999</v>
      </c>
      <c r="AC247">
        <v>113.8884</v>
      </c>
      <c r="AD247" t="s">
        <v>73</v>
      </c>
    </row>
    <row r="248" spans="1:30" x14ac:dyDescent="0.3">
      <c r="A248" t="s">
        <v>564</v>
      </c>
      <c r="B248" s="5" t="s">
        <v>565</v>
      </c>
      <c r="C248" t="s">
        <v>517</v>
      </c>
      <c r="D248" s="5" t="s">
        <v>518</v>
      </c>
      <c r="E248">
        <v>279.46369999999996</v>
      </c>
      <c r="F248">
        <v>283.30499999999995</v>
      </c>
      <c r="G248">
        <v>281.89830000000006</v>
      </c>
      <c r="H248">
        <v>291.63520000000011</v>
      </c>
      <c r="I248">
        <v>301.46060000000006</v>
      </c>
      <c r="J248">
        <v>310.69479999999999</v>
      </c>
      <c r="K248">
        <v>319.47199999999992</v>
      </c>
      <c r="L248">
        <v>334.01159999999999</v>
      </c>
      <c r="M248">
        <v>340.54849999999993</v>
      </c>
      <c r="N248">
        <v>348.89010000000007</v>
      </c>
      <c r="O248">
        <v>358.5320000000001</v>
      </c>
      <c r="P248">
        <v>368.1271000000001</v>
      </c>
      <c r="Q248">
        <v>368.20259999999996</v>
      </c>
      <c r="R248">
        <v>376.89839999999981</v>
      </c>
      <c r="S248">
        <v>382.15789999999993</v>
      </c>
      <c r="T248">
        <v>386.48969999999997</v>
      </c>
      <c r="U248">
        <v>393.6998000000001</v>
      </c>
      <c r="V248">
        <v>398.80850000000004</v>
      </c>
      <c r="W248">
        <v>400.4602000000001</v>
      </c>
      <c r="X248">
        <v>411.1092000000001</v>
      </c>
      <c r="Y248">
        <v>427.40370000000001</v>
      </c>
      <c r="Z248">
        <v>425.47350000000006</v>
      </c>
      <c r="AA248">
        <v>430.24400000000003</v>
      </c>
      <c r="AB248">
        <v>437.90320000000014</v>
      </c>
      <c r="AC248">
        <v>445.387</v>
      </c>
      <c r="AD248" t="s">
        <v>73</v>
      </c>
    </row>
    <row r="249" spans="1:30" x14ac:dyDescent="0.3">
      <c r="A249" t="s">
        <v>564</v>
      </c>
      <c r="B249" s="5" t="s">
        <v>565</v>
      </c>
      <c r="C249" t="s">
        <v>519</v>
      </c>
      <c r="D249" s="5" t="s">
        <v>520</v>
      </c>
      <c r="E249">
        <v>74.468199999999996</v>
      </c>
      <c r="F249">
        <v>75.8309</v>
      </c>
      <c r="G249">
        <v>78.206099999999992</v>
      </c>
      <c r="H249">
        <v>78.774999999999963</v>
      </c>
      <c r="I249">
        <v>83.163300000000007</v>
      </c>
      <c r="J249">
        <v>84.265200000000021</v>
      </c>
      <c r="K249">
        <v>85.060300000000012</v>
      </c>
      <c r="L249">
        <v>86.543999999999997</v>
      </c>
      <c r="M249">
        <v>87.147600000000011</v>
      </c>
      <c r="N249">
        <v>90.842700000000008</v>
      </c>
      <c r="O249">
        <v>89.786799999999985</v>
      </c>
      <c r="P249">
        <v>91.659499999999994</v>
      </c>
      <c r="Q249">
        <v>90.35169999999998</v>
      </c>
      <c r="R249">
        <v>91.579000000000008</v>
      </c>
      <c r="S249">
        <v>91.538600000000002</v>
      </c>
      <c r="T249">
        <v>88.301699999999997</v>
      </c>
      <c r="U249">
        <v>97.008600000000001</v>
      </c>
      <c r="V249">
        <v>96.205500000000001</v>
      </c>
      <c r="W249">
        <v>97.01900000000002</v>
      </c>
      <c r="X249">
        <v>96.268699999999967</v>
      </c>
      <c r="Y249">
        <v>99.473600000000005</v>
      </c>
      <c r="Z249">
        <v>101.48239999999998</v>
      </c>
      <c r="AA249">
        <v>102.51880000000003</v>
      </c>
      <c r="AB249">
        <v>103.50949999999999</v>
      </c>
      <c r="AC249">
        <v>105.24000000000001</v>
      </c>
      <c r="AD249" t="s">
        <v>73</v>
      </c>
    </row>
    <row r="250" spans="1:30" x14ac:dyDescent="0.3">
      <c r="A250" t="s">
        <v>564</v>
      </c>
      <c r="B250" s="5" t="s">
        <v>565</v>
      </c>
      <c r="C250" t="s">
        <v>521</v>
      </c>
      <c r="D250" s="5" t="s">
        <v>522</v>
      </c>
      <c r="E250">
        <v>70.662800000000004</v>
      </c>
      <c r="F250">
        <v>71.843700000000013</v>
      </c>
      <c r="G250">
        <v>74.149199999999993</v>
      </c>
      <c r="H250">
        <v>74.581199999999995</v>
      </c>
      <c r="I250">
        <v>78.836500000000001</v>
      </c>
      <c r="J250">
        <v>80.144400000000005</v>
      </c>
      <c r="K250">
        <v>80.872100000000003</v>
      </c>
      <c r="L250">
        <v>82.209800000000016</v>
      </c>
      <c r="M250">
        <v>83.240399999999994</v>
      </c>
      <c r="N250">
        <v>87.093500000000006</v>
      </c>
      <c r="O250">
        <v>85.944000000000003</v>
      </c>
      <c r="P250">
        <v>87.441700000000012</v>
      </c>
      <c r="Q250">
        <v>85.979799999999983</v>
      </c>
      <c r="R250">
        <v>87.181200000000018</v>
      </c>
      <c r="S250">
        <v>87.2453</v>
      </c>
      <c r="T250">
        <v>83.721500000000006</v>
      </c>
      <c r="U250">
        <v>92.315700000000021</v>
      </c>
      <c r="V250">
        <v>91.573600000000013</v>
      </c>
      <c r="W250">
        <v>92.255300000000005</v>
      </c>
      <c r="X250">
        <v>91.545899999999989</v>
      </c>
      <c r="Y250">
        <v>94.241200000000021</v>
      </c>
      <c r="Z250">
        <v>95.861100000000008</v>
      </c>
      <c r="AA250">
        <v>96.508100000000013</v>
      </c>
      <c r="AB250">
        <v>97.763999999999996</v>
      </c>
      <c r="AC250">
        <v>99.292000000000002</v>
      </c>
      <c r="AD250" t="s">
        <v>73</v>
      </c>
    </row>
    <row r="251" spans="1:30" x14ac:dyDescent="0.3">
      <c r="A251" t="s">
        <v>564</v>
      </c>
      <c r="B251" s="5" t="s">
        <v>565</v>
      </c>
      <c r="C251" t="s">
        <v>523</v>
      </c>
      <c r="D251" s="5" t="s">
        <v>524</v>
      </c>
      <c r="E251">
        <v>70.662800000000004</v>
      </c>
      <c r="F251">
        <v>71.843700000000013</v>
      </c>
      <c r="G251">
        <v>74.149199999999993</v>
      </c>
      <c r="H251">
        <v>74.581199999999995</v>
      </c>
      <c r="I251">
        <v>78.836500000000001</v>
      </c>
      <c r="J251">
        <v>80.144400000000005</v>
      </c>
      <c r="K251">
        <v>80.872100000000003</v>
      </c>
      <c r="L251">
        <v>82.209800000000016</v>
      </c>
      <c r="M251">
        <v>83.240399999999994</v>
      </c>
      <c r="N251">
        <v>87.093500000000006</v>
      </c>
      <c r="O251">
        <v>85.944000000000003</v>
      </c>
      <c r="P251">
        <v>87.441700000000012</v>
      </c>
      <c r="Q251">
        <v>85.979799999999983</v>
      </c>
      <c r="R251">
        <v>87.181200000000018</v>
      </c>
      <c r="S251">
        <v>87.2453</v>
      </c>
      <c r="T251">
        <v>83.721500000000006</v>
      </c>
      <c r="U251">
        <v>92.315700000000021</v>
      </c>
      <c r="V251">
        <v>91.573600000000013</v>
      </c>
      <c r="W251">
        <v>92.255300000000005</v>
      </c>
      <c r="X251">
        <v>91.545899999999989</v>
      </c>
      <c r="Y251">
        <v>94.241200000000021</v>
      </c>
      <c r="Z251">
        <v>95.861100000000008</v>
      </c>
      <c r="AA251">
        <v>96.508100000000013</v>
      </c>
      <c r="AB251">
        <v>97.763999999999996</v>
      </c>
      <c r="AC251">
        <v>99.292000000000002</v>
      </c>
      <c r="AD251" t="s">
        <v>73</v>
      </c>
    </row>
    <row r="252" spans="1:30" x14ac:dyDescent="0.3">
      <c r="A252" t="s">
        <v>564</v>
      </c>
      <c r="B252" s="5" t="s">
        <v>565</v>
      </c>
      <c r="C252" t="s">
        <v>525</v>
      </c>
      <c r="D252" s="5" t="s">
        <v>526</v>
      </c>
      <c r="E252">
        <v>824.58440000000007</v>
      </c>
      <c r="F252">
        <v>829.21929999999975</v>
      </c>
      <c r="G252">
        <v>852.1958999999996</v>
      </c>
      <c r="H252">
        <v>864.27180000000033</v>
      </c>
      <c r="I252">
        <v>894.28510000000028</v>
      </c>
      <c r="J252">
        <v>905.73219999999992</v>
      </c>
      <c r="K252">
        <v>933.35949999999968</v>
      </c>
      <c r="L252">
        <v>946.32160000000022</v>
      </c>
      <c r="M252">
        <v>949.39889999999968</v>
      </c>
      <c r="N252">
        <v>980.59860000000037</v>
      </c>
      <c r="O252">
        <v>977.63160000000028</v>
      </c>
      <c r="P252">
        <v>1010.4655000000002</v>
      </c>
      <c r="Q252">
        <v>1014.318</v>
      </c>
      <c r="R252">
        <v>1034.4432000000002</v>
      </c>
      <c r="S252">
        <v>1021.4614000000003</v>
      </c>
      <c r="T252">
        <v>1033.0103000000001</v>
      </c>
      <c r="U252">
        <v>1040.1576999999995</v>
      </c>
      <c r="V252">
        <v>1034.9357000000002</v>
      </c>
      <c r="W252">
        <v>1037.7996000000003</v>
      </c>
      <c r="X252">
        <v>1056.7101000000002</v>
      </c>
      <c r="Y252">
        <v>1083.1427999999994</v>
      </c>
      <c r="Z252">
        <v>1087.6563000000006</v>
      </c>
      <c r="AA252">
        <v>1092.9132000000004</v>
      </c>
      <c r="AB252">
        <v>1107.5079999999996</v>
      </c>
      <c r="AC252">
        <v>1116.4806000000003</v>
      </c>
      <c r="AD252" t="s">
        <v>73</v>
      </c>
    </row>
    <row r="253" spans="1:30" x14ac:dyDescent="0.3">
      <c r="A253" t="s">
        <v>564</v>
      </c>
      <c r="B253" s="5" t="s">
        <v>565</v>
      </c>
      <c r="C253" t="s">
        <v>527</v>
      </c>
      <c r="D253" s="5" t="s">
        <v>528</v>
      </c>
      <c r="E253">
        <v>149.7654</v>
      </c>
      <c r="F253">
        <v>150.9479</v>
      </c>
      <c r="G253">
        <v>150.19659999999999</v>
      </c>
      <c r="H253">
        <v>156.95260000000002</v>
      </c>
      <c r="I253">
        <v>155.59679999999997</v>
      </c>
      <c r="J253">
        <v>154.05330000000001</v>
      </c>
      <c r="K253">
        <v>160.0343</v>
      </c>
      <c r="L253">
        <v>159.50060000000002</v>
      </c>
      <c r="M253">
        <v>154.97919999999999</v>
      </c>
      <c r="N253">
        <v>158.4127</v>
      </c>
      <c r="O253">
        <v>161.0145</v>
      </c>
      <c r="P253">
        <v>163.59140000000002</v>
      </c>
      <c r="Q253">
        <v>163.54520000000002</v>
      </c>
      <c r="R253">
        <v>165.30810000000002</v>
      </c>
      <c r="S253">
        <v>164.89069999999998</v>
      </c>
      <c r="T253">
        <v>164.2003</v>
      </c>
      <c r="U253">
        <v>168.42490000000001</v>
      </c>
      <c r="V253">
        <v>168.44299999999998</v>
      </c>
      <c r="W253">
        <v>168.31379999999999</v>
      </c>
      <c r="X253">
        <v>169.96810000000002</v>
      </c>
      <c r="Y253">
        <v>170.99930000000001</v>
      </c>
      <c r="Z253">
        <v>165.6618</v>
      </c>
      <c r="AA253">
        <v>169.16079999999999</v>
      </c>
      <c r="AB253">
        <v>169.07050000000001</v>
      </c>
      <c r="AC253">
        <v>169.50989999999999</v>
      </c>
      <c r="AD253" t="s">
        <v>73</v>
      </c>
    </row>
    <row r="254" spans="1:30" x14ac:dyDescent="0.3">
      <c r="A254" t="s">
        <v>564</v>
      </c>
      <c r="B254" s="5" t="s">
        <v>565</v>
      </c>
      <c r="C254" t="s">
        <v>529</v>
      </c>
      <c r="D254" s="5" t="s">
        <v>530</v>
      </c>
      <c r="E254" t="s">
        <v>73</v>
      </c>
      <c r="F254" t="s">
        <v>73</v>
      </c>
      <c r="G254" t="s">
        <v>73</v>
      </c>
      <c r="H254" t="s">
        <v>73</v>
      </c>
      <c r="I254" t="s">
        <v>73</v>
      </c>
      <c r="J254" t="s">
        <v>73</v>
      </c>
      <c r="K254" t="s">
        <v>73</v>
      </c>
      <c r="L254" t="s">
        <v>73</v>
      </c>
      <c r="M254" t="s">
        <v>73</v>
      </c>
      <c r="N254" t="s">
        <v>73</v>
      </c>
      <c r="O254" t="s">
        <v>73</v>
      </c>
      <c r="P254" t="s">
        <v>73</v>
      </c>
      <c r="Q254" t="s">
        <v>73</v>
      </c>
      <c r="R254" t="s">
        <v>73</v>
      </c>
      <c r="S254" t="s">
        <v>73</v>
      </c>
      <c r="T254" t="s">
        <v>73</v>
      </c>
      <c r="U254" t="s">
        <v>73</v>
      </c>
      <c r="V254" t="s">
        <v>73</v>
      </c>
      <c r="W254" t="s">
        <v>73</v>
      </c>
      <c r="X254" t="s">
        <v>73</v>
      </c>
      <c r="Y254" t="s">
        <v>73</v>
      </c>
      <c r="Z254" t="s">
        <v>73</v>
      </c>
      <c r="AA254" t="s">
        <v>73</v>
      </c>
      <c r="AB254" t="s">
        <v>73</v>
      </c>
      <c r="AC254" t="s">
        <v>73</v>
      </c>
      <c r="AD254" t="s">
        <v>73</v>
      </c>
    </row>
    <row r="255" spans="1:30" x14ac:dyDescent="0.3">
      <c r="A255" t="s">
        <v>564</v>
      </c>
      <c r="B255" s="5" t="s">
        <v>565</v>
      </c>
      <c r="C255" t="s">
        <v>531</v>
      </c>
      <c r="D255" s="5" t="s">
        <v>532</v>
      </c>
      <c r="E255">
        <v>440.60579999999982</v>
      </c>
      <c r="F255">
        <v>438.46039999999999</v>
      </c>
      <c r="G255">
        <v>436.57210000000003</v>
      </c>
      <c r="H255">
        <v>440.53100000000006</v>
      </c>
      <c r="I255">
        <v>442.54689999999999</v>
      </c>
      <c r="J255">
        <v>436.94380000000012</v>
      </c>
      <c r="K255">
        <v>440.45139999999992</v>
      </c>
      <c r="L255">
        <v>442.50599999999991</v>
      </c>
      <c r="M255">
        <v>428.83679999999998</v>
      </c>
      <c r="N255">
        <v>434.97109999999998</v>
      </c>
      <c r="O255">
        <v>441.2476999999999</v>
      </c>
      <c r="P255">
        <v>441.137</v>
      </c>
      <c r="Q255">
        <v>444.26910000000004</v>
      </c>
      <c r="R255">
        <v>452.9147000000001</v>
      </c>
      <c r="S255">
        <v>455.05519999999996</v>
      </c>
      <c r="T255">
        <v>454.02350000000001</v>
      </c>
      <c r="U255">
        <v>461.54340000000013</v>
      </c>
      <c r="V255">
        <v>465.00929999999988</v>
      </c>
      <c r="W255">
        <v>457.19100000000003</v>
      </c>
      <c r="X255">
        <v>459.21720000000005</v>
      </c>
      <c r="Y255">
        <v>461.56130000000002</v>
      </c>
      <c r="Z255">
        <v>456.17960000000011</v>
      </c>
      <c r="AA255">
        <v>450.43729999999999</v>
      </c>
      <c r="AB255">
        <v>449.3755000000001</v>
      </c>
      <c r="AC255">
        <v>447.40219999999999</v>
      </c>
      <c r="AD255" t="s">
        <v>73</v>
      </c>
    </row>
    <row r="256" spans="1:30" x14ac:dyDescent="0.3">
      <c r="A256" t="s">
        <v>564</v>
      </c>
      <c r="B256" s="5" t="s">
        <v>565</v>
      </c>
      <c r="C256" t="s">
        <v>533</v>
      </c>
      <c r="D256" s="5" t="s">
        <v>534</v>
      </c>
      <c r="E256">
        <v>2.6364999999999998</v>
      </c>
      <c r="F256">
        <v>2.6174999999999997</v>
      </c>
      <c r="G256">
        <v>2.64</v>
      </c>
      <c r="H256">
        <v>2.6405000000000007</v>
      </c>
      <c r="I256">
        <v>2.6997000000000004</v>
      </c>
      <c r="J256">
        <v>2.7157</v>
      </c>
      <c r="K256">
        <v>2.6321000000000003</v>
      </c>
      <c r="L256">
        <v>2.6909000000000005</v>
      </c>
      <c r="M256">
        <v>2.7473999999999994</v>
      </c>
      <c r="N256">
        <v>2.7519999999999998</v>
      </c>
      <c r="O256">
        <v>2.7798999999999996</v>
      </c>
      <c r="P256">
        <v>2.8057999999999996</v>
      </c>
      <c r="Q256">
        <v>2.8405999999999998</v>
      </c>
      <c r="R256">
        <v>2.8413999999999993</v>
      </c>
      <c r="S256">
        <v>2.8858999999999995</v>
      </c>
      <c r="T256">
        <v>2.9319999999999991</v>
      </c>
      <c r="U256">
        <v>2.8447999999999998</v>
      </c>
      <c r="V256">
        <v>2.8763999999999998</v>
      </c>
      <c r="W256">
        <v>2.8932999999999995</v>
      </c>
      <c r="X256">
        <v>2.9926999999999997</v>
      </c>
      <c r="Y256">
        <v>3.0107000000000004</v>
      </c>
      <c r="Z256">
        <v>2.9103000000000003</v>
      </c>
      <c r="AA256">
        <v>2.8832000000000004</v>
      </c>
      <c r="AB256">
        <v>2.8342999999999998</v>
      </c>
      <c r="AC256">
        <v>2.8405</v>
      </c>
      <c r="AD256" t="s">
        <v>73</v>
      </c>
    </row>
    <row r="257" spans="1:30" x14ac:dyDescent="0.3">
      <c r="A257" t="s">
        <v>564</v>
      </c>
      <c r="B257" s="5" t="s">
        <v>565</v>
      </c>
      <c r="C257" t="s">
        <v>535</v>
      </c>
      <c r="D257" s="5" t="s">
        <v>536</v>
      </c>
      <c r="E257">
        <v>0.41170000000000001</v>
      </c>
      <c r="F257">
        <v>0.4078</v>
      </c>
      <c r="G257">
        <v>0.40289999999999998</v>
      </c>
      <c r="H257">
        <v>0.39589999999999997</v>
      </c>
      <c r="I257">
        <v>0.41290000000000004</v>
      </c>
      <c r="J257">
        <v>0.40330000000000005</v>
      </c>
      <c r="K257">
        <v>0.4078</v>
      </c>
      <c r="L257">
        <v>0.42529999999999996</v>
      </c>
      <c r="M257">
        <v>0.42619999999999997</v>
      </c>
      <c r="N257">
        <v>0.41919999999999996</v>
      </c>
      <c r="O257">
        <v>0.42419999999999997</v>
      </c>
      <c r="P257">
        <v>0.43049999999999999</v>
      </c>
      <c r="Q257">
        <v>0.43179999999999996</v>
      </c>
      <c r="R257">
        <v>0.43709999999999999</v>
      </c>
      <c r="S257">
        <v>0.32560000000000006</v>
      </c>
      <c r="T257">
        <v>0.31759999999999999</v>
      </c>
      <c r="U257">
        <v>0.29320000000000002</v>
      </c>
      <c r="V257">
        <v>0.29299999999999998</v>
      </c>
      <c r="W257">
        <v>0.29259999999999992</v>
      </c>
      <c r="X257">
        <v>0.30419999999999997</v>
      </c>
      <c r="Y257">
        <v>0.2888</v>
      </c>
      <c r="Z257">
        <v>0.27889999999999998</v>
      </c>
      <c r="AA257">
        <v>0.28560000000000002</v>
      </c>
      <c r="AB257">
        <v>0.30199999999999994</v>
      </c>
      <c r="AC257">
        <v>0.30379999999999996</v>
      </c>
      <c r="AD257" t="s">
        <v>73</v>
      </c>
    </row>
    <row r="258" spans="1:30" x14ac:dyDescent="0.3">
      <c r="A258" t="s">
        <v>564</v>
      </c>
      <c r="B258" s="5" t="s">
        <v>565</v>
      </c>
      <c r="C258" t="s">
        <v>537</v>
      </c>
      <c r="D258" s="5" t="s">
        <v>538</v>
      </c>
      <c r="E258">
        <v>385.86969999999997</v>
      </c>
      <c r="F258">
        <v>384.76840000000004</v>
      </c>
      <c r="G258">
        <v>382.03929999999991</v>
      </c>
      <c r="H258">
        <v>384.08699999999999</v>
      </c>
      <c r="I258">
        <v>385.9982</v>
      </c>
      <c r="J258">
        <v>379.47300000000007</v>
      </c>
      <c r="K258">
        <v>382.41840000000002</v>
      </c>
      <c r="L258">
        <v>383.07639999999992</v>
      </c>
      <c r="M258">
        <v>376.33149999999995</v>
      </c>
      <c r="N258">
        <v>379.29269999999997</v>
      </c>
      <c r="O258">
        <v>385.30369999999994</v>
      </c>
      <c r="P258">
        <v>389.94819999999999</v>
      </c>
      <c r="Q258">
        <v>391.82740000000001</v>
      </c>
      <c r="R258">
        <v>398.38160000000005</v>
      </c>
      <c r="S258">
        <v>400.76549999999997</v>
      </c>
      <c r="T258">
        <v>398.08179999999993</v>
      </c>
      <c r="U258">
        <v>402.7947999999999</v>
      </c>
      <c r="V258">
        <v>407.52119999999991</v>
      </c>
      <c r="W258">
        <v>398.4864</v>
      </c>
      <c r="X258">
        <v>400.06660000000005</v>
      </c>
      <c r="Y258">
        <v>397.86980000000005</v>
      </c>
      <c r="Z258">
        <v>393.75870000000003</v>
      </c>
      <c r="AA258">
        <v>383.67769999999996</v>
      </c>
      <c r="AB258">
        <v>382.54040000000003</v>
      </c>
      <c r="AC258">
        <v>380.55879999999991</v>
      </c>
      <c r="AD258" t="s">
        <v>73</v>
      </c>
    </row>
    <row r="259" spans="1:30" x14ac:dyDescent="0.3">
      <c r="A259" t="s">
        <v>564</v>
      </c>
      <c r="B259" s="5" t="s">
        <v>565</v>
      </c>
      <c r="C259" t="s">
        <v>539</v>
      </c>
      <c r="D259" s="5" t="s">
        <v>540</v>
      </c>
      <c r="E259">
        <v>100.2684</v>
      </c>
      <c r="F259">
        <v>102.59749999999998</v>
      </c>
      <c r="G259">
        <v>105.84980000000002</v>
      </c>
      <c r="H259">
        <v>107.36000000000003</v>
      </c>
      <c r="I259">
        <v>109.59169999999999</v>
      </c>
      <c r="J259">
        <v>113.81210000000003</v>
      </c>
      <c r="K259">
        <v>115.43769999999996</v>
      </c>
      <c r="L259">
        <v>121.23400000000001</v>
      </c>
      <c r="M259">
        <v>126.81250000000003</v>
      </c>
      <c r="N259">
        <v>129.5847</v>
      </c>
      <c r="O259">
        <v>134.33990000000003</v>
      </c>
      <c r="P259">
        <v>137.39779999999999</v>
      </c>
      <c r="Q259">
        <v>142.07349999999997</v>
      </c>
      <c r="R259">
        <v>147.64300000000003</v>
      </c>
      <c r="S259">
        <v>150.71029999999999</v>
      </c>
      <c r="T259">
        <v>152.30620000000002</v>
      </c>
      <c r="U259">
        <v>158.3992999999999</v>
      </c>
      <c r="V259">
        <v>161.04680000000005</v>
      </c>
      <c r="W259">
        <v>165.10550000000006</v>
      </c>
      <c r="X259">
        <v>170.9812</v>
      </c>
      <c r="Y259">
        <v>174.59029999999996</v>
      </c>
      <c r="Z259">
        <v>177.46160000000006</v>
      </c>
      <c r="AA259">
        <v>181.57130000000004</v>
      </c>
      <c r="AB259">
        <v>185.64989999999995</v>
      </c>
      <c r="AC259">
        <v>190.0436</v>
      </c>
      <c r="AD259" t="s">
        <v>73</v>
      </c>
    </row>
    <row r="260" spans="1:30" x14ac:dyDescent="0.3">
      <c r="A260" t="s">
        <v>564</v>
      </c>
      <c r="B260" s="5" t="s">
        <v>565</v>
      </c>
      <c r="C260" t="s">
        <v>541</v>
      </c>
      <c r="D260" s="5" t="s">
        <v>542</v>
      </c>
      <c r="E260">
        <v>3.5491999999999999</v>
      </c>
      <c r="F260">
        <v>3.5383999999999989</v>
      </c>
      <c r="G260">
        <v>3.5495999999999999</v>
      </c>
      <c r="H260">
        <v>3.5499000000000001</v>
      </c>
      <c r="I260">
        <v>3.6725000000000003</v>
      </c>
      <c r="J260">
        <v>3.6695999999999995</v>
      </c>
      <c r="K260">
        <v>3.5910000000000002</v>
      </c>
      <c r="L260">
        <v>3.6847000000000008</v>
      </c>
      <c r="M260">
        <v>3.7347999999999995</v>
      </c>
      <c r="N260">
        <v>3.7588000000000004</v>
      </c>
      <c r="O260">
        <v>3.7885999999999993</v>
      </c>
      <c r="P260">
        <v>3.8289999999999993</v>
      </c>
      <c r="Q260">
        <v>3.8807000000000005</v>
      </c>
      <c r="R260">
        <v>3.8945000000000007</v>
      </c>
      <c r="S260">
        <v>3.8227999999999982</v>
      </c>
      <c r="T260">
        <v>3.8660999999999994</v>
      </c>
      <c r="U260">
        <v>3.7494999999999994</v>
      </c>
      <c r="V260">
        <v>3.7948999999999997</v>
      </c>
      <c r="W260">
        <v>3.8102</v>
      </c>
      <c r="X260">
        <v>3.926400000000001</v>
      </c>
      <c r="Y260">
        <v>3.9322999999999997</v>
      </c>
      <c r="Z260">
        <v>3.8256999999999999</v>
      </c>
      <c r="AA260">
        <v>3.8131000000000004</v>
      </c>
      <c r="AB260">
        <v>3.7840999999999996</v>
      </c>
      <c r="AC260">
        <v>3.7957000000000001</v>
      </c>
      <c r="AD260" t="s">
        <v>73</v>
      </c>
    </row>
    <row r="261" spans="1:30" x14ac:dyDescent="0.3">
      <c r="A261" t="s">
        <v>564</v>
      </c>
      <c r="B261" s="5" t="s">
        <v>565</v>
      </c>
      <c r="C261" t="s">
        <v>543</v>
      </c>
      <c r="D261" s="5" t="s">
        <v>544</v>
      </c>
      <c r="E261">
        <v>142.63140000000001</v>
      </c>
      <c r="F261">
        <v>145.75890000000001</v>
      </c>
      <c r="G261">
        <v>140.99420000000003</v>
      </c>
      <c r="H261">
        <v>145.94830000000002</v>
      </c>
      <c r="I261">
        <v>150.7765</v>
      </c>
      <c r="J261">
        <v>157.8006</v>
      </c>
      <c r="K261">
        <v>165.18100000000001</v>
      </c>
      <c r="L261">
        <v>172.1669</v>
      </c>
      <c r="M261">
        <v>175.8348</v>
      </c>
      <c r="N261">
        <v>178.05900000000003</v>
      </c>
      <c r="O261">
        <v>184.77880000000002</v>
      </c>
      <c r="P261">
        <v>189.05949999999999</v>
      </c>
      <c r="Q261">
        <v>187.22079999999997</v>
      </c>
      <c r="R261">
        <v>187.55410000000001</v>
      </c>
      <c r="S261">
        <v>189.80569999999997</v>
      </c>
      <c r="T261">
        <v>192.69650000000001</v>
      </c>
      <c r="U261">
        <v>189.7225</v>
      </c>
      <c r="V261">
        <v>192.31080000000003</v>
      </c>
      <c r="W261">
        <v>197.70259999999999</v>
      </c>
      <c r="X261">
        <v>206.2722</v>
      </c>
      <c r="Y261">
        <v>215.2346</v>
      </c>
      <c r="Z261">
        <v>210.88740000000001</v>
      </c>
      <c r="AA261">
        <v>214.9992</v>
      </c>
      <c r="AB261">
        <v>218.81050000000002</v>
      </c>
      <c r="AC261">
        <v>222.9299</v>
      </c>
      <c r="AD261" t="s">
        <v>73</v>
      </c>
    </row>
    <row r="262" spans="1:30" x14ac:dyDescent="0.3">
      <c r="A262" t="s">
        <v>564</v>
      </c>
      <c r="B262" s="5" t="s">
        <v>565</v>
      </c>
      <c r="C262" t="s">
        <v>545</v>
      </c>
      <c r="D262" s="5" t="s">
        <v>546</v>
      </c>
      <c r="E262">
        <v>142.63140000000001</v>
      </c>
      <c r="F262">
        <v>145.75890000000001</v>
      </c>
      <c r="G262">
        <v>140.99420000000003</v>
      </c>
      <c r="H262">
        <v>145.94830000000002</v>
      </c>
      <c r="I262">
        <v>150.7765</v>
      </c>
      <c r="J262">
        <v>157.8006</v>
      </c>
      <c r="K262">
        <v>165.18100000000001</v>
      </c>
      <c r="L262">
        <v>172.1669</v>
      </c>
      <c r="M262">
        <v>175.8348</v>
      </c>
      <c r="N262">
        <v>178.05900000000003</v>
      </c>
      <c r="O262">
        <v>184.77880000000002</v>
      </c>
      <c r="P262">
        <v>189.05949999999999</v>
      </c>
      <c r="Q262">
        <v>187.22079999999997</v>
      </c>
      <c r="R262">
        <v>187.55410000000001</v>
      </c>
      <c r="S262">
        <v>189.80569999999997</v>
      </c>
      <c r="T262">
        <v>192.69650000000001</v>
      </c>
      <c r="U262">
        <v>189.7225</v>
      </c>
      <c r="V262">
        <v>192.31080000000003</v>
      </c>
      <c r="W262">
        <v>197.70259999999999</v>
      </c>
      <c r="X262">
        <v>206.2722</v>
      </c>
      <c r="Y262">
        <v>215.2346</v>
      </c>
      <c r="Z262">
        <v>210.88740000000001</v>
      </c>
      <c r="AA262">
        <v>214.9992</v>
      </c>
      <c r="AB262">
        <v>218.81050000000002</v>
      </c>
      <c r="AC262">
        <v>222.9299</v>
      </c>
      <c r="AD262" t="s">
        <v>73</v>
      </c>
    </row>
    <row r="263" spans="1:30" x14ac:dyDescent="0.3">
      <c r="A263" t="s">
        <v>564</v>
      </c>
      <c r="B263" s="5" t="s">
        <v>565</v>
      </c>
      <c r="C263" t="s">
        <v>547</v>
      </c>
      <c r="D263" s="5" t="s">
        <v>548</v>
      </c>
      <c r="E263">
        <v>129.91020000000003</v>
      </c>
      <c r="F263">
        <v>133.238</v>
      </c>
      <c r="G263">
        <v>136.32329999999999</v>
      </c>
      <c r="H263">
        <v>139.21020000000001</v>
      </c>
      <c r="I263">
        <v>142.55009999999999</v>
      </c>
      <c r="J263">
        <v>147.06649999999999</v>
      </c>
      <c r="K263">
        <v>149.87199999999996</v>
      </c>
      <c r="L263">
        <v>158.06140000000002</v>
      </c>
      <c r="M263">
        <v>164.31449999999998</v>
      </c>
      <c r="N263">
        <v>167.76629999999997</v>
      </c>
      <c r="O263">
        <v>173.75039999999998</v>
      </c>
      <c r="P263">
        <v>176.44150000000002</v>
      </c>
      <c r="Q263">
        <v>182.49179999999998</v>
      </c>
      <c r="R263">
        <v>188.44929999999999</v>
      </c>
      <c r="S263">
        <v>192.148</v>
      </c>
      <c r="T263">
        <v>194.80290000000002</v>
      </c>
      <c r="U263">
        <v>201.47269999999992</v>
      </c>
      <c r="V263">
        <v>205.67090000000005</v>
      </c>
      <c r="W263">
        <v>209.17609999999999</v>
      </c>
      <c r="X263">
        <v>216.44260000000003</v>
      </c>
      <c r="Y263">
        <v>223.58199999999999</v>
      </c>
      <c r="Z263">
        <v>226.05920000000003</v>
      </c>
      <c r="AA263">
        <v>230.58630000000002</v>
      </c>
      <c r="AB263">
        <v>237.05439999999999</v>
      </c>
      <c r="AC263">
        <v>242.64379999999991</v>
      </c>
      <c r="AD263" t="s">
        <v>73</v>
      </c>
    </row>
    <row r="264" spans="1:30" x14ac:dyDescent="0.3">
      <c r="A264" t="s">
        <v>564</v>
      </c>
      <c r="B264" s="5" t="s">
        <v>565</v>
      </c>
      <c r="C264" t="s">
        <v>549</v>
      </c>
      <c r="D264" s="5" t="s">
        <v>550</v>
      </c>
      <c r="E264">
        <v>116.23570000000002</v>
      </c>
      <c r="F264">
        <v>118.37199999999999</v>
      </c>
      <c r="G264">
        <v>119.8186</v>
      </c>
      <c r="H264">
        <v>123.40639999999996</v>
      </c>
      <c r="I264">
        <v>126.11689999999997</v>
      </c>
      <c r="J264">
        <v>129.90140000000002</v>
      </c>
      <c r="K264">
        <v>131.3518</v>
      </c>
      <c r="L264">
        <v>137.59139999999999</v>
      </c>
      <c r="M264">
        <v>142.84560000000002</v>
      </c>
      <c r="N264">
        <v>145.18680000000001</v>
      </c>
      <c r="O264">
        <v>150.01590000000002</v>
      </c>
      <c r="P264">
        <v>153.06129999999996</v>
      </c>
      <c r="Q264">
        <v>158.05949999999999</v>
      </c>
      <c r="R264">
        <v>163.27420000000001</v>
      </c>
      <c r="S264">
        <v>165.84939999999997</v>
      </c>
      <c r="T264">
        <v>167.75610000000003</v>
      </c>
      <c r="U264">
        <v>173.70079999999999</v>
      </c>
      <c r="V264">
        <v>176.90740000000002</v>
      </c>
      <c r="W264">
        <v>180.1361</v>
      </c>
      <c r="X264">
        <v>184.89559999999997</v>
      </c>
      <c r="Y264">
        <v>190.07549999999992</v>
      </c>
      <c r="Z264">
        <v>194.87300000000002</v>
      </c>
      <c r="AA264">
        <v>197.85830000000004</v>
      </c>
      <c r="AB264">
        <v>202.58639999999991</v>
      </c>
      <c r="AC264">
        <v>207.12330000000006</v>
      </c>
      <c r="AD264" t="s">
        <v>73</v>
      </c>
    </row>
    <row r="265" spans="1:30" x14ac:dyDescent="0.3">
      <c r="A265" t="s">
        <v>564</v>
      </c>
      <c r="B265" s="5" t="s">
        <v>565</v>
      </c>
      <c r="C265" t="s">
        <v>551</v>
      </c>
      <c r="D265" s="5" t="s">
        <v>552</v>
      </c>
      <c r="E265">
        <v>129.9102</v>
      </c>
      <c r="F265">
        <v>133.238</v>
      </c>
      <c r="G265">
        <v>136.32330000000002</v>
      </c>
      <c r="H265">
        <v>139.21019999999999</v>
      </c>
      <c r="I265">
        <v>142.55010000000004</v>
      </c>
      <c r="J265">
        <v>147.06649999999999</v>
      </c>
      <c r="K265">
        <v>149.87199999999999</v>
      </c>
      <c r="L265">
        <v>158.06139999999996</v>
      </c>
      <c r="M265">
        <v>164.31449999999998</v>
      </c>
      <c r="N265">
        <v>167.76629999999994</v>
      </c>
      <c r="O265">
        <v>173.75040000000004</v>
      </c>
      <c r="P265">
        <v>176.44149999999996</v>
      </c>
      <c r="Q265">
        <v>182.49180000000001</v>
      </c>
      <c r="R265">
        <v>188.44930000000002</v>
      </c>
      <c r="S265">
        <v>192.148</v>
      </c>
      <c r="T265">
        <v>194.80289999999994</v>
      </c>
      <c r="U265">
        <v>201.47269999999995</v>
      </c>
      <c r="V265">
        <v>205.67090000000002</v>
      </c>
      <c r="W265">
        <v>209.17609999999999</v>
      </c>
      <c r="X265">
        <v>216.44259999999997</v>
      </c>
      <c r="Y265">
        <v>223.58199999999994</v>
      </c>
      <c r="Z265">
        <v>226.0592</v>
      </c>
      <c r="AA265">
        <v>230.58629999999999</v>
      </c>
      <c r="AB265">
        <v>237.0543999999999</v>
      </c>
      <c r="AC265">
        <v>242.64380000000003</v>
      </c>
      <c r="AD265" t="s">
        <v>73</v>
      </c>
    </row>
    <row r="266" spans="1:30" x14ac:dyDescent="0.3">
      <c r="A266" t="s">
        <v>564</v>
      </c>
      <c r="B266" s="5" t="s">
        <v>565</v>
      </c>
      <c r="C266" t="s">
        <v>553</v>
      </c>
      <c r="D266" s="5" t="s">
        <v>554</v>
      </c>
      <c r="E266">
        <v>545.12069999999983</v>
      </c>
      <c r="F266">
        <v>545.91429999999957</v>
      </c>
      <c r="G266">
        <v>570.29759999999976</v>
      </c>
      <c r="H266">
        <v>572.63660000000004</v>
      </c>
      <c r="I266">
        <v>592.82450000000017</v>
      </c>
      <c r="J266">
        <v>595.03739999999993</v>
      </c>
      <c r="K266">
        <v>613.88750000000005</v>
      </c>
      <c r="L266">
        <v>612.31000000000017</v>
      </c>
      <c r="M266">
        <v>608.85039999999992</v>
      </c>
      <c r="N266">
        <v>631.70850000000019</v>
      </c>
      <c r="O266">
        <v>619.09959999999978</v>
      </c>
      <c r="P266">
        <v>642.33840000000032</v>
      </c>
      <c r="Q266">
        <v>646.11540000000014</v>
      </c>
      <c r="R266">
        <v>657.54480000000001</v>
      </c>
      <c r="S266">
        <v>639.30349999999976</v>
      </c>
      <c r="T266">
        <v>646.52060000000006</v>
      </c>
      <c r="U266">
        <v>646.45789999999977</v>
      </c>
      <c r="V266">
        <v>636.1271999999999</v>
      </c>
      <c r="W266">
        <v>637.33939999999996</v>
      </c>
      <c r="X266">
        <v>645.60090000000002</v>
      </c>
      <c r="Y266">
        <v>655.73910000000024</v>
      </c>
      <c r="Z266">
        <v>662.18280000000016</v>
      </c>
      <c r="AA266">
        <v>662.66920000000016</v>
      </c>
      <c r="AB266">
        <v>669.60479999999973</v>
      </c>
      <c r="AC266">
        <v>671.09360000000027</v>
      </c>
      <c r="AD266" t="s">
        <v>73</v>
      </c>
    </row>
    <row r="267" spans="1:30" x14ac:dyDescent="0.3">
      <c r="A267" t="s">
        <v>564</v>
      </c>
      <c r="B267" s="5" t="s">
        <v>565</v>
      </c>
      <c r="C267" t="s">
        <v>555</v>
      </c>
      <c r="D267" s="5" t="s">
        <v>556</v>
      </c>
      <c r="E267">
        <v>1397.2403032105001</v>
      </c>
      <c r="F267">
        <v>1399.5001348187</v>
      </c>
      <c r="G267">
        <v>1418.0744083796999</v>
      </c>
      <c r="H267">
        <v>1433.5811249087001</v>
      </c>
      <c r="I267">
        <v>1472.6176893510001</v>
      </c>
      <c r="J267">
        <v>1478.7965713898</v>
      </c>
      <c r="K267">
        <v>1510.5742599425</v>
      </c>
      <c r="L267">
        <v>1532.6380788004999</v>
      </c>
      <c r="M267">
        <v>1526.8512216155</v>
      </c>
      <c r="N267">
        <v>1563.5221189879001</v>
      </c>
      <c r="O267">
        <v>1569.3879549453</v>
      </c>
      <c r="P267">
        <v>1609.1651540797</v>
      </c>
      <c r="Q267">
        <v>1620.7990028596</v>
      </c>
      <c r="R267">
        <v>1642.3766559956</v>
      </c>
      <c r="S267">
        <v>1636.4852605292999</v>
      </c>
      <c r="T267">
        <v>1653.0077939611001</v>
      </c>
      <c r="U267">
        <v>1668.9111816059001</v>
      </c>
      <c r="V267">
        <v>1670.6781410678</v>
      </c>
      <c r="W267">
        <v>1665.2245641756999</v>
      </c>
      <c r="X267">
        <v>1694.2710964436001</v>
      </c>
      <c r="Y267">
        <v>1723.1053353549</v>
      </c>
      <c r="Z267">
        <v>1719.7958182806999</v>
      </c>
      <c r="AA267">
        <v>1730.4060154122999</v>
      </c>
      <c r="AB267">
        <v>1752.5118882238</v>
      </c>
      <c r="AC267">
        <v>1764.1519388616</v>
      </c>
      <c r="AD267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C678-D25B-482C-BFEB-0B3E565042EC}">
  <dimension ref="A1:AD267"/>
  <sheetViews>
    <sheetView workbookViewId="0">
      <selection activeCell="C12" sqref="C12"/>
    </sheetView>
  </sheetViews>
  <sheetFormatPr defaultRowHeight="14.4" x14ac:dyDescent="0.3"/>
  <cols>
    <col min="1" max="1" width="48.88671875" bestFit="1" customWidth="1"/>
    <col min="3" max="3" width="60.109375" bestFit="1" customWidth="1"/>
  </cols>
  <sheetData>
    <row r="1" spans="1:30" x14ac:dyDescent="0.3">
      <c r="A1" t="s">
        <v>59</v>
      </c>
      <c r="B1" s="5" t="s">
        <v>60</v>
      </c>
      <c r="C1" t="s">
        <v>61</v>
      </c>
      <c r="D1" s="5" t="s">
        <v>62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</row>
    <row r="2" spans="1:30" x14ac:dyDescent="0.3">
      <c r="A2" t="s">
        <v>562</v>
      </c>
      <c r="B2" s="5" t="s">
        <v>563</v>
      </c>
      <c r="C2" t="s">
        <v>65</v>
      </c>
      <c r="D2" s="5" t="s">
        <v>66</v>
      </c>
      <c r="E2">
        <v>7.9000000000000008E-3</v>
      </c>
      <c r="F2">
        <v>3.7999999999999999E-2</v>
      </c>
      <c r="G2">
        <v>3.27E-2</v>
      </c>
      <c r="H2">
        <v>3.61E-2</v>
      </c>
      <c r="I2">
        <v>4.0899999999999999E-2</v>
      </c>
      <c r="J2">
        <v>5.0299999999999997E-2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6.2899999999999998E-2</v>
      </c>
      <c r="R2">
        <v>5.5199999999999999E-2</v>
      </c>
      <c r="S2">
        <v>8.4500000000000006E-2</v>
      </c>
      <c r="T2">
        <v>0.11700000000000001</v>
      </c>
      <c r="U2">
        <v>0.16300000000000001</v>
      </c>
      <c r="V2">
        <v>0.31130000000000002</v>
      </c>
      <c r="W2">
        <v>0.1613</v>
      </c>
      <c r="X2">
        <v>0.15129999999999999</v>
      </c>
      <c r="Y2">
        <v>6.4799999999999996E-2</v>
      </c>
      <c r="Z2">
        <v>4.0500000000000001E-2</v>
      </c>
      <c r="AA2">
        <v>5.3100000000000001E-2</v>
      </c>
      <c r="AB2">
        <v>5.2400000000000002E-2</v>
      </c>
      <c r="AC2">
        <v>5.1799999999999999E-2</v>
      </c>
      <c r="AD2" t="s">
        <v>73</v>
      </c>
    </row>
    <row r="3" spans="1:30" x14ac:dyDescent="0.3">
      <c r="A3" t="s">
        <v>562</v>
      </c>
      <c r="B3" s="5" t="s">
        <v>563</v>
      </c>
      <c r="C3" t="s">
        <v>67</v>
      </c>
      <c r="D3" s="5" t="s">
        <v>68</v>
      </c>
      <c r="E3">
        <v>1.66E-2</v>
      </c>
      <c r="F3">
        <v>2.24E-2</v>
      </c>
      <c r="G3">
        <v>5.1700000000000003E-2</v>
      </c>
      <c r="H3">
        <v>3.8600000000000002E-2</v>
      </c>
      <c r="I3">
        <v>0.06</v>
      </c>
      <c r="J3">
        <v>1.03E-2</v>
      </c>
      <c r="K3">
        <v>4.2200000000000001E-2</v>
      </c>
      <c r="L3">
        <v>4.1799999999999997E-2</v>
      </c>
      <c r="M3">
        <v>3.0200000000000001E-2</v>
      </c>
      <c r="N3">
        <v>2.6700000000000002E-2</v>
      </c>
      <c r="O3">
        <v>2.2599999999999999E-2</v>
      </c>
      <c r="P3">
        <v>3.0200000000000001E-2</v>
      </c>
      <c r="Q3">
        <v>5.4199999999999998E-2</v>
      </c>
      <c r="R3">
        <v>3.4000000000000002E-2</v>
      </c>
      <c r="S3">
        <v>5.3499999999999999E-2</v>
      </c>
      <c r="T3">
        <v>5.6500000000000002E-2</v>
      </c>
      <c r="U3">
        <v>4.7399999999999998E-2</v>
      </c>
      <c r="V3">
        <v>5.4199999999999998E-2</v>
      </c>
      <c r="W3">
        <v>4.65E-2</v>
      </c>
      <c r="X3">
        <v>6.6400000000000001E-2</v>
      </c>
      <c r="Y3">
        <v>6.0600000000000001E-2</v>
      </c>
      <c r="Z3">
        <v>4.8300000000000003E-2</v>
      </c>
      <c r="AA3">
        <v>6.0699999999999997E-2</v>
      </c>
      <c r="AB3">
        <v>6.2E-2</v>
      </c>
      <c r="AC3">
        <v>6.3299999999999995E-2</v>
      </c>
      <c r="AD3" t="s">
        <v>73</v>
      </c>
    </row>
    <row r="4" spans="1:30" x14ac:dyDescent="0.3">
      <c r="A4" t="s">
        <v>562</v>
      </c>
      <c r="B4" s="5" t="s">
        <v>563</v>
      </c>
      <c r="C4" t="s">
        <v>69</v>
      </c>
      <c r="D4" s="5" t="s">
        <v>70</v>
      </c>
      <c r="E4">
        <v>7.8200000000000006E-2</v>
      </c>
      <c r="F4">
        <v>7.8200000000000006E-2</v>
      </c>
      <c r="G4">
        <v>0.11409999999999999</v>
      </c>
      <c r="H4">
        <v>0.1116</v>
      </c>
      <c r="I4">
        <v>3.61E-2</v>
      </c>
      <c r="J4">
        <v>3.3799999999999997E-2</v>
      </c>
      <c r="K4">
        <v>3.9300000000000002E-2</v>
      </c>
      <c r="L4">
        <v>3.1399999999999997E-2</v>
      </c>
      <c r="M4">
        <v>1.7299999999999999E-2</v>
      </c>
      <c r="N4">
        <v>2.7300000000000001E-2</v>
      </c>
      <c r="O4">
        <v>5.9499999999999997E-2</v>
      </c>
      <c r="P4">
        <v>6.7000000000000004E-2</v>
      </c>
      <c r="Q4">
        <v>8.43E-2</v>
      </c>
      <c r="R4">
        <v>0.10929999999999999</v>
      </c>
      <c r="S4">
        <v>0.19009999999999999</v>
      </c>
      <c r="T4">
        <v>0.21129999999999999</v>
      </c>
      <c r="U4">
        <v>0.17430000000000001</v>
      </c>
      <c r="V4">
        <v>0.17449999999999999</v>
      </c>
      <c r="W4">
        <v>0.25890000000000002</v>
      </c>
      <c r="X4">
        <v>0.20630000000000001</v>
      </c>
      <c r="Y4">
        <v>0.1575</v>
      </c>
      <c r="Z4">
        <v>0.11169999999999999</v>
      </c>
      <c r="AA4">
        <v>0.12470000000000001</v>
      </c>
      <c r="AB4">
        <v>0.13020000000000001</v>
      </c>
      <c r="AC4">
        <v>0.13600000000000001</v>
      </c>
      <c r="AD4" t="s">
        <v>73</v>
      </c>
    </row>
    <row r="5" spans="1:30" x14ac:dyDescent="0.3">
      <c r="A5" t="s">
        <v>562</v>
      </c>
      <c r="B5" s="5" t="s">
        <v>563</v>
      </c>
      <c r="C5" t="s">
        <v>71</v>
      </c>
      <c r="D5" s="5" t="s">
        <v>72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</row>
    <row r="6" spans="1:30" x14ac:dyDescent="0.3">
      <c r="A6" t="s">
        <v>562</v>
      </c>
      <c r="B6" s="5" t="s">
        <v>563</v>
      </c>
      <c r="C6" t="s">
        <v>74</v>
      </c>
      <c r="D6" s="5" t="s">
        <v>75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</row>
    <row r="7" spans="1:30" x14ac:dyDescent="0.3">
      <c r="A7" t="s">
        <v>562</v>
      </c>
      <c r="B7" s="5" t="s">
        <v>563</v>
      </c>
      <c r="C7" t="s">
        <v>76</v>
      </c>
      <c r="D7" s="5" t="s">
        <v>77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</row>
    <row r="8" spans="1:30" x14ac:dyDescent="0.3">
      <c r="A8" t="s">
        <v>562</v>
      </c>
      <c r="B8" s="5" t="s">
        <v>563</v>
      </c>
      <c r="C8" t="s">
        <v>78</v>
      </c>
      <c r="D8" s="5" t="s">
        <v>79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</row>
    <row r="9" spans="1:30" x14ac:dyDescent="0.3">
      <c r="A9" t="s">
        <v>562</v>
      </c>
      <c r="B9" s="5" t="s">
        <v>563</v>
      </c>
      <c r="C9" t="s">
        <v>80</v>
      </c>
      <c r="D9" s="5" t="s">
        <v>81</v>
      </c>
      <c r="E9">
        <v>0.7621</v>
      </c>
      <c r="F9">
        <v>0.86899999999999999</v>
      </c>
      <c r="G9">
        <v>0.84530000000000005</v>
      </c>
      <c r="H9">
        <v>1.1625000000000001</v>
      </c>
      <c r="I9">
        <v>1.3602000000000001</v>
      </c>
      <c r="J9">
        <v>1.0348999999999999</v>
      </c>
      <c r="K9">
        <v>1.2444</v>
      </c>
      <c r="L9">
        <v>1.3637999999999999</v>
      </c>
      <c r="M9">
        <v>0.91720000000000002</v>
      </c>
      <c r="N9">
        <v>0.80710000000000004</v>
      </c>
      <c r="O9">
        <v>1.0345</v>
      </c>
      <c r="P9">
        <v>1.1153999999999999</v>
      </c>
      <c r="Q9">
        <v>0.92469999999999997</v>
      </c>
      <c r="R9">
        <v>1</v>
      </c>
      <c r="S9">
        <v>1.1466000000000001</v>
      </c>
      <c r="T9">
        <v>0.89229999999999998</v>
      </c>
      <c r="U9">
        <v>1.3857999999999999</v>
      </c>
      <c r="V9">
        <v>1.2784</v>
      </c>
      <c r="W9">
        <v>1.5921000000000001</v>
      </c>
      <c r="X9">
        <v>1.7031000000000001</v>
      </c>
      <c r="Y9">
        <v>1.9255</v>
      </c>
      <c r="Z9">
        <v>2.0714000000000001</v>
      </c>
      <c r="AA9">
        <v>1.9415</v>
      </c>
      <c r="AB9">
        <v>2.0385</v>
      </c>
      <c r="AC9">
        <v>2.1541000000000001</v>
      </c>
      <c r="AD9" t="s">
        <v>73</v>
      </c>
    </row>
    <row r="10" spans="1:30" x14ac:dyDescent="0.3">
      <c r="A10" t="s">
        <v>562</v>
      </c>
      <c r="B10" s="5" t="s">
        <v>563</v>
      </c>
      <c r="C10" t="s">
        <v>82</v>
      </c>
      <c r="D10" s="5" t="s">
        <v>83</v>
      </c>
      <c r="E10">
        <v>2.1999999999999999E-2</v>
      </c>
      <c r="F10">
        <v>1.5699999999999999E-2</v>
      </c>
      <c r="G10">
        <v>1.38E-2</v>
      </c>
      <c r="H10">
        <v>4.7000000000000002E-3</v>
      </c>
      <c r="I10">
        <v>4.9700000000000001E-2</v>
      </c>
      <c r="J10">
        <v>4.4600000000000001E-2</v>
      </c>
      <c r="K10">
        <v>0</v>
      </c>
      <c r="L10">
        <v>2.2599999999999999E-2</v>
      </c>
      <c r="M10">
        <v>1.1299999999999999E-2</v>
      </c>
      <c r="N10">
        <v>1.4E-2</v>
      </c>
      <c r="O10">
        <v>1.0999999999999999E-2</v>
      </c>
      <c r="P10">
        <v>1.0999999999999999E-2</v>
      </c>
      <c r="Q10">
        <v>1.89E-2</v>
      </c>
      <c r="R10">
        <v>3.2800000000000003E-2</v>
      </c>
      <c r="S10">
        <v>3.5200000000000002E-2</v>
      </c>
      <c r="T10">
        <v>3.39E-2</v>
      </c>
      <c r="U10">
        <v>3.9399999999999998E-2</v>
      </c>
      <c r="V10">
        <v>5.2499999999999998E-2</v>
      </c>
      <c r="W10">
        <v>5.11E-2</v>
      </c>
      <c r="X10">
        <v>6.0999999999999999E-2</v>
      </c>
      <c r="Y10">
        <v>5.5800000000000002E-2</v>
      </c>
      <c r="Z10">
        <v>4.4600000000000001E-2</v>
      </c>
      <c r="AA10">
        <v>4.1799999999999997E-2</v>
      </c>
      <c r="AB10">
        <v>4.2000000000000003E-2</v>
      </c>
      <c r="AC10">
        <v>4.2200000000000001E-2</v>
      </c>
      <c r="AD10" t="s">
        <v>73</v>
      </c>
    </row>
    <row r="11" spans="1:30" x14ac:dyDescent="0.3">
      <c r="A11" t="s">
        <v>562</v>
      </c>
      <c r="B11" s="5" t="s">
        <v>563</v>
      </c>
      <c r="C11" t="s">
        <v>84</v>
      </c>
      <c r="D11" s="5" t="s">
        <v>85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</row>
    <row r="12" spans="1:30" x14ac:dyDescent="0.3">
      <c r="A12" t="s">
        <v>562</v>
      </c>
      <c r="B12" s="5" t="s">
        <v>563</v>
      </c>
      <c r="C12" t="s">
        <v>5</v>
      </c>
      <c r="D12" s="5" t="s">
        <v>86</v>
      </c>
      <c r="E12">
        <v>1.2529999999999999</v>
      </c>
      <c r="F12">
        <v>1.3771</v>
      </c>
      <c r="G12">
        <v>1.6823999999999999</v>
      </c>
      <c r="H12">
        <v>1.5745</v>
      </c>
      <c r="I12">
        <v>1.7662</v>
      </c>
      <c r="J12">
        <v>1.6164000000000001</v>
      </c>
      <c r="K12">
        <v>1.5008999999999999</v>
      </c>
      <c r="L12">
        <v>1.4408000000000001</v>
      </c>
      <c r="M12">
        <v>1.4447000000000001</v>
      </c>
      <c r="N12">
        <v>1.4902</v>
      </c>
      <c r="O12">
        <v>1.6956</v>
      </c>
      <c r="P12">
        <v>1.8323</v>
      </c>
      <c r="Q12">
        <v>1.8509</v>
      </c>
      <c r="R12">
        <v>2.1692999999999998</v>
      </c>
      <c r="S12">
        <v>2.3129</v>
      </c>
      <c r="T12">
        <v>2.3249</v>
      </c>
      <c r="U12">
        <v>2.5426000000000002</v>
      </c>
      <c r="V12">
        <v>2.9498000000000002</v>
      </c>
      <c r="W12">
        <v>2.1307</v>
      </c>
      <c r="X12">
        <v>2.2755999999999998</v>
      </c>
      <c r="Y12">
        <v>2.6642999999999999</v>
      </c>
      <c r="Z12">
        <v>3.2538999999999998</v>
      </c>
      <c r="AA12">
        <v>2.8626999999999998</v>
      </c>
      <c r="AB12">
        <v>2.8102999999999998</v>
      </c>
      <c r="AC12">
        <v>2.7917000000000001</v>
      </c>
      <c r="AD12" t="s">
        <v>73</v>
      </c>
    </row>
    <row r="13" spans="1:30" x14ac:dyDescent="0.3">
      <c r="A13" t="s">
        <v>562</v>
      </c>
      <c r="B13" s="5" t="s">
        <v>563</v>
      </c>
      <c r="C13" t="s">
        <v>6</v>
      </c>
      <c r="D13" s="5" t="s">
        <v>87</v>
      </c>
      <c r="E13">
        <v>1.2E-2</v>
      </c>
      <c r="F13">
        <v>1.2E-2</v>
      </c>
      <c r="G13">
        <v>1.2E-2</v>
      </c>
      <c r="H13">
        <v>1.6199999999999999E-2</v>
      </c>
      <c r="I13">
        <v>2.2499999999999999E-2</v>
      </c>
      <c r="J13">
        <v>1.44E-2</v>
      </c>
      <c r="K13">
        <v>3.5299999999999998E-2</v>
      </c>
      <c r="L13">
        <v>5.3999999999999999E-2</v>
      </c>
      <c r="M13">
        <v>3.3000000000000002E-2</v>
      </c>
      <c r="N13">
        <v>4.0899999999999999E-2</v>
      </c>
      <c r="O13">
        <v>3.1399999999999997E-2</v>
      </c>
      <c r="P13">
        <v>2.7799999999999998E-2</v>
      </c>
      <c r="Q13">
        <v>4.19E-2</v>
      </c>
      <c r="R13">
        <v>6.0299999999999999E-2</v>
      </c>
      <c r="S13">
        <v>6.2899999999999998E-2</v>
      </c>
      <c r="T13">
        <v>8.1100000000000005E-2</v>
      </c>
      <c r="U13">
        <v>7.1499999999999994E-2</v>
      </c>
      <c r="V13">
        <v>6.6400000000000001E-2</v>
      </c>
      <c r="W13">
        <v>5.4100000000000002E-2</v>
      </c>
      <c r="X13">
        <v>5.2900000000000003E-2</v>
      </c>
      <c r="Y13">
        <v>5.0200000000000002E-2</v>
      </c>
      <c r="Z13">
        <v>3.9899999999999998E-2</v>
      </c>
      <c r="AA13">
        <v>4.0899999999999999E-2</v>
      </c>
      <c r="AB13">
        <v>4.19E-2</v>
      </c>
      <c r="AC13">
        <v>4.3099999999999999E-2</v>
      </c>
      <c r="AD13" t="s">
        <v>73</v>
      </c>
    </row>
    <row r="14" spans="1:30" x14ac:dyDescent="0.3">
      <c r="A14" t="s">
        <v>562</v>
      </c>
      <c r="B14" s="5" t="s">
        <v>563</v>
      </c>
      <c r="C14" t="s">
        <v>88</v>
      </c>
      <c r="D14" s="5" t="s">
        <v>89</v>
      </c>
      <c r="E14">
        <v>6.6E-3</v>
      </c>
      <c r="F14">
        <v>3.1E-2</v>
      </c>
      <c r="G14">
        <v>5.1999999999999998E-2</v>
      </c>
      <c r="H14">
        <v>0.1084</v>
      </c>
      <c r="I14">
        <v>5.8099999999999999E-2</v>
      </c>
      <c r="J14">
        <v>4.9000000000000002E-2</v>
      </c>
      <c r="K14">
        <v>6.6900000000000001E-2</v>
      </c>
      <c r="L14">
        <v>5.5899999999999998E-2</v>
      </c>
      <c r="M14">
        <v>9.74E-2</v>
      </c>
      <c r="N14">
        <v>6.1199999999999997E-2</v>
      </c>
      <c r="O14">
        <v>5.1400000000000001E-2</v>
      </c>
      <c r="P14">
        <v>7.3899999999999993E-2</v>
      </c>
      <c r="Q14">
        <v>6.2300000000000001E-2</v>
      </c>
      <c r="R14">
        <v>5.8799999999999998E-2</v>
      </c>
      <c r="S14">
        <v>0.1051</v>
      </c>
      <c r="T14">
        <v>0.1031</v>
      </c>
      <c r="U14">
        <v>9.5899999999999999E-2</v>
      </c>
      <c r="V14">
        <v>0.1323</v>
      </c>
      <c r="W14">
        <v>0.16259999999999999</v>
      </c>
      <c r="X14">
        <v>0.24129999999999999</v>
      </c>
      <c r="Y14">
        <v>0.26119999999999999</v>
      </c>
      <c r="Z14">
        <v>0.1326</v>
      </c>
      <c r="AA14">
        <v>0.16569999999999999</v>
      </c>
      <c r="AB14">
        <v>0.1895</v>
      </c>
      <c r="AC14">
        <v>0.2177</v>
      </c>
      <c r="AD14" t="s">
        <v>73</v>
      </c>
    </row>
    <row r="15" spans="1:30" x14ac:dyDescent="0.3">
      <c r="A15" t="s">
        <v>562</v>
      </c>
      <c r="B15" s="5" t="s">
        <v>563</v>
      </c>
      <c r="C15" t="s">
        <v>90</v>
      </c>
      <c r="D15" s="5" t="s">
        <v>91</v>
      </c>
      <c r="E15" t="s">
        <v>73</v>
      </c>
      <c r="F15" t="s">
        <v>73</v>
      </c>
      <c r="G15" t="s">
        <v>73</v>
      </c>
      <c r="H15" t="s">
        <v>73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73</v>
      </c>
      <c r="P15" t="s">
        <v>73</v>
      </c>
      <c r="Q15" t="s">
        <v>73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</row>
    <row r="16" spans="1:30" x14ac:dyDescent="0.3">
      <c r="A16" t="s">
        <v>562</v>
      </c>
      <c r="B16" s="5" t="s">
        <v>563</v>
      </c>
      <c r="C16" t="s">
        <v>92</v>
      </c>
      <c r="D16" s="5" t="s">
        <v>93</v>
      </c>
      <c r="E16" t="s">
        <v>73</v>
      </c>
      <c r="F16" t="s">
        <v>73</v>
      </c>
      <c r="G16" t="s">
        <v>73</v>
      </c>
      <c r="H16" t="s">
        <v>73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73</v>
      </c>
      <c r="Q16" t="s">
        <v>73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73</v>
      </c>
      <c r="AC16" t="s">
        <v>73</v>
      </c>
      <c r="AD16" t="s">
        <v>73</v>
      </c>
    </row>
    <row r="17" spans="1:30" x14ac:dyDescent="0.3">
      <c r="A17" t="s">
        <v>562</v>
      </c>
      <c r="B17" s="5" t="s">
        <v>563</v>
      </c>
      <c r="C17" t="s">
        <v>94</v>
      </c>
      <c r="D17" s="5" t="s">
        <v>95</v>
      </c>
      <c r="E17">
        <v>1.5842000000000001</v>
      </c>
      <c r="F17">
        <v>1.6987000000000001</v>
      </c>
      <c r="G17">
        <v>1.6702999999999999</v>
      </c>
      <c r="H17">
        <v>1.7307999999999999</v>
      </c>
      <c r="I17">
        <v>1.8729</v>
      </c>
      <c r="J17">
        <v>1.8464</v>
      </c>
      <c r="K17">
        <v>1.8574999999999999</v>
      </c>
      <c r="L17">
        <v>2.0326</v>
      </c>
      <c r="M17">
        <v>1.8532999999999999</v>
      </c>
      <c r="N17">
        <v>1.8254999999999999</v>
      </c>
      <c r="O17">
        <v>1.9762999999999999</v>
      </c>
      <c r="P17">
        <v>1.8083</v>
      </c>
      <c r="Q17">
        <v>1.7909999999999999</v>
      </c>
      <c r="R17">
        <v>1.8303</v>
      </c>
      <c r="S17">
        <v>2.1339000000000001</v>
      </c>
      <c r="T17">
        <v>2.0547</v>
      </c>
      <c r="U17">
        <v>1.9670000000000001</v>
      </c>
      <c r="V17">
        <v>2.0310999999999999</v>
      </c>
      <c r="W17">
        <v>2.1478999999999999</v>
      </c>
      <c r="X17">
        <v>2.1905000000000001</v>
      </c>
      <c r="Y17">
        <v>2.3224999999999998</v>
      </c>
      <c r="Z17">
        <v>2.5674000000000001</v>
      </c>
      <c r="AA17">
        <v>2.3972000000000002</v>
      </c>
      <c r="AB17">
        <v>2.4704000000000002</v>
      </c>
      <c r="AC17">
        <v>2.5510000000000002</v>
      </c>
      <c r="AD17" t="s">
        <v>73</v>
      </c>
    </row>
    <row r="18" spans="1:30" x14ac:dyDescent="0.3">
      <c r="A18" t="s">
        <v>562</v>
      </c>
      <c r="B18" s="5" t="s">
        <v>563</v>
      </c>
      <c r="C18" t="s">
        <v>96</v>
      </c>
      <c r="D18" s="5" t="s">
        <v>97</v>
      </c>
      <c r="E18" t="s">
        <v>73</v>
      </c>
      <c r="F18" t="s">
        <v>73</v>
      </c>
      <c r="G18" t="s">
        <v>73</v>
      </c>
      <c r="H18" t="s">
        <v>73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73</v>
      </c>
      <c r="P18" t="s">
        <v>73</v>
      </c>
      <c r="Q18" t="s">
        <v>73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</row>
    <row r="19" spans="1:30" x14ac:dyDescent="0.3">
      <c r="A19" t="s">
        <v>562</v>
      </c>
      <c r="B19" s="5" t="s">
        <v>563</v>
      </c>
      <c r="C19" t="s">
        <v>98</v>
      </c>
      <c r="D19" s="5" t="s">
        <v>99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0.90859999999999996</v>
      </c>
      <c r="N19">
        <v>0.95909999999999995</v>
      </c>
      <c r="O19">
        <v>0.92090000000000005</v>
      </c>
      <c r="P19">
        <v>0.79039999999999999</v>
      </c>
      <c r="Q19">
        <v>0.69820000000000004</v>
      </c>
      <c r="R19">
        <v>0.69979999999999998</v>
      </c>
      <c r="S19">
        <v>0.6694</v>
      </c>
      <c r="T19">
        <v>0.55349999999999999</v>
      </c>
      <c r="U19">
        <v>0.3866</v>
      </c>
      <c r="V19">
        <v>0.5474</v>
      </c>
      <c r="W19">
        <v>0.61650000000000005</v>
      </c>
      <c r="X19">
        <v>0.53710000000000002</v>
      </c>
      <c r="Y19">
        <v>0.54859999999999998</v>
      </c>
      <c r="Z19">
        <v>0.47720000000000001</v>
      </c>
      <c r="AA19">
        <v>0.59740000000000004</v>
      </c>
      <c r="AB19">
        <v>0.63270000000000004</v>
      </c>
      <c r="AC19">
        <v>0.67100000000000004</v>
      </c>
      <c r="AD19" t="s">
        <v>73</v>
      </c>
    </row>
    <row r="20" spans="1:30" x14ac:dyDescent="0.3">
      <c r="A20" t="s">
        <v>562</v>
      </c>
      <c r="B20" s="5" t="s">
        <v>563</v>
      </c>
      <c r="C20" t="s">
        <v>7</v>
      </c>
      <c r="D20" s="5" t="s">
        <v>100</v>
      </c>
      <c r="E20">
        <v>4.3499999999999997E-2</v>
      </c>
      <c r="F20">
        <v>4.7699999999999999E-2</v>
      </c>
      <c r="G20">
        <v>5.3999999999999999E-2</v>
      </c>
      <c r="H20">
        <v>5.8700000000000002E-2</v>
      </c>
      <c r="I20">
        <v>5.3999999999999999E-2</v>
      </c>
      <c r="J20">
        <v>5.3999999999999999E-2</v>
      </c>
      <c r="K20">
        <v>5.3999999999999999E-2</v>
      </c>
      <c r="L20">
        <v>6.6500000000000004E-2</v>
      </c>
      <c r="M20">
        <v>4.7699999999999999E-2</v>
      </c>
      <c r="N20">
        <v>6.0199999999999997E-2</v>
      </c>
      <c r="O20">
        <v>4.4999999999999998E-2</v>
      </c>
      <c r="P20">
        <v>4.4999999999999998E-2</v>
      </c>
      <c r="Q20">
        <v>4.4999999999999998E-2</v>
      </c>
      <c r="R20">
        <v>4.6600000000000003E-2</v>
      </c>
      <c r="S20">
        <v>4.6600000000000003E-2</v>
      </c>
      <c r="T20">
        <v>4.0300000000000002E-2</v>
      </c>
      <c r="U20">
        <v>4.0300000000000002E-2</v>
      </c>
      <c r="V20">
        <v>4.0300000000000002E-2</v>
      </c>
      <c r="W20">
        <v>4.0300000000000002E-2</v>
      </c>
      <c r="X20">
        <v>4.0300000000000002E-2</v>
      </c>
      <c r="Y20">
        <v>4.0300000000000002E-2</v>
      </c>
      <c r="Z20">
        <v>3.6700000000000003E-2</v>
      </c>
      <c r="AA20">
        <v>2.9600000000000001E-2</v>
      </c>
      <c r="AB20">
        <v>2.6800000000000001E-2</v>
      </c>
      <c r="AC20">
        <v>2.53E-2</v>
      </c>
      <c r="AD20" t="s">
        <v>73</v>
      </c>
    </row>
    <row r="21" spans="1:30" x14ac:dyDescent="0.3">
      <c r="A21" t="s">
        <v>562</v>
      </c>
      <c r="B21" s="5" t="s">
        <v>563</v>
      </c>
      <c r="C21" t="s">
        <v>101</v>
      </c>
      <c r="D21" s="5" t="s">
        <v>102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</row>
    <row r="22" spans="1:30" x14ac:dyDescent="0.3">
      <c r="A22" t="s">
        <v>562</v>
      </c>
      <c r="B22" s="5" t="s">
        <v>563</v>
      </c>
      <c r="C22" t="s">
        <v>103</v>
      </c>
      <c r="D22" s="5" t="s">
        <v>104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</row>
    <row r="23" spans="1:30" x14ac:dyDescent="0.3">
      <c r="A23" t="s">
        <v>562</v>
      </c>
      <c r="B23" s="5" t="s">
        <v>563</v>
      </c>
      <c r="C23" t="s">
        <v>105</v>
      </c>
      <c r="D23" s="5" t="s">
        <v>106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73</v>
      </c>
      <c r="AC23" t="s">
        <v>73</v>
      </c>
      <c r="AD23" t="s">
        <v>73</v>
      </c>
    </row>
    <row r="24" spans="1:30" x14ac:dyDescent="0.3">
      <c r="A24" t="s">
        <v>562</v>
      </c>
      <c r="B24" s="5" t="s">
        <v>563</v>
      </c>
      <c r="C24" t="s">
        <v>107</v>
      </c>
      <c r="D24" s="5" t="s">
        <v>108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73</v>
      </c>
      <c r="AC24" t="s">
        <v>73</v>
      </c>
      <c r="AD24" t="s">
        <v>73</v>
      </c>
    </row>
    <row r="25" spans="1:30" x14ac:dyDescent="0.3">
      <c r="A25" t="s">
        <v>562</v>
      </c>
      <c r="B25" s="5" t="s">
        <v>563</v>
      </c>
      <c r="C25" t="s">
        <v>109</v>
      </c>
      <c r="D25" s="5" t="s">
        <v>110</v>
      </c>
      <c r="E25" t="s">
        <v>73</v>
      </c>
      <c r="F25" t="s">
        <v>73</v>
      </c>
      <c r="G25" t="s">
        <v>73</v>
      </c>
      <c r="H25" t="s">
        <v>73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73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73</v>
      </c>
      <c r="AC25" t="s">
        <v>73</v>
      </c>
      <c r="AD25" t="s">
        <v>73</v>
      </c>
    </row>
    <row r="26" spans="1:30" x14ac:dyDescent="0.3">
      <c r="A26" t="s">
        <v>562</v>
      </c>
      <c r="B26" s="5" t="s">
        <v>563</v>
      </c>
      <c r="C26" t="s">
        <v>111</v>
      </c>
      <c r="D26" s="5" t="s">
        <v>112</v>
      </c>
      <c r="E26">
        <v>2.1700000000000001E-2</v>
      </c>
      <c r="F26">
        <v>1.04E-2</v>
      </c>
      <c r="G26">
        <v>1.32E-2</v>
      </c>
      <c r="H26">
        <v>2.9399999999999999E-2</v>
      </c>
      <c r="I26">
        <v>2.0899999999999998E-2</v>
      </c>
      <c r="J26">
        <v>2.69E-2</v>
      </c>
      <c r="K26">
        <v>1.7100000000000001E-2</v>
      </c>
      <c r="L26">
        <v>2.1700000000000001E-2</v>
      </c>
      <c r="M26">
        <v>8.2000000000000007E-3</v>
      </c>
      <c r="N26">
        <v>1.04E-2</v>
      </c>
      <c r="O26">
        <v>1.32E-2</v>
      </c>
      <c r="P26">
        <v>2.1399999999999999E-2</v>
      </c>
      <c r="Q26">
        <v>1.89E-2</v>
      </c>
      <c r="R26">
        <v>1.95E-2</v>
      </c>
      <c r="S26">
        <v>1.23E-2</v>
      </c>
      <c r="T26">
        <v>1.8499999999999999E-2</v>
      </c>
      <c r="U26">
        <v>2.6100000000000002E-2</v>
      </c>
      <c r="V26">
        <v>2.9399999999999999E-2</v>
      </c>
      <c r="W26">
        <v>2.53E-2</v>
      </c>
      <c r="X26">
        <v>1.8599999999999998E-2</v>
      </c>
      <c r="Y26">
        <v>2.2599999999999999E-2</v>
      </c>
      <c r="Z26">
        <v>7.9000000000000008E-3</v>
      </c>
      <c r="AA26">
        <v>1.46E-2</v>
      </c>
      <c r="AB26">
        <v>1.23E-2</v>
      </c>
      <c r="AC26">
        <v>1.0699999999999999E-2</v>
      </c>
      <c r="AD26" t="s">
        <v>73</v>
      </c>
    </row>
    <row r="27" spans="1:30" x14ac:dyDescent="0.3">
      <c r="A27" t="s">
        <v>562</v>
      </c>
      <c r="B27" s="5" t="s">
        <v>563</v>
      </c>
      <c r="C27" t="s">
        <v>113</v>
      </c>
      <c r="D27" s="5" t="s">
        <v>114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73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73</v>
      </c>
      <c r="AC27" t="s">
        <v>73</v>
      </c>
      <c r="AD27" t="s">
        <v>73</v>
      </c>
    </row>
    <row r="28" spans="1:30" x14ac:dyDescent="0.3">
      <c r="A28" t="s">
        <v>562</v>
      </c>
      <c r="B28" s="5" t="s">
        <v>563</v>
      </c>
      <c r="C28" t="s">
        <v>8</v>
      </c>
      <c r="D28" s="5" t="s">
        <v>115</v>
      </c>
      <c r="E28">
        <v>5.3531000000000004</v>
      </c>
      <c r="F28">
        <v>4.6631999999999998</v>
      </c>
      <c r="G28">
        <v>4.8023999999999996</v>
      </c>
      <c r="H28">
        <v>6.1551999999999998</v>
      </c>
      <c r="I28">
        <v>5.5716999999999999</v>
      </c>
      <c r="J28">
        <v>5.0883000000000003</v>
      </c>
      <c r="K28">
        <v>5.5210999999999997</v>
      </c>
      <c r="L28">
        <v>7.1531000000000002</v>
      </c>
      <c r="M28">
        <v>6.3064999999999998</v>
      </c>
      <c r="N28">
        <v>6.28</v>
      </c>
      <c r="O28">
        <v>6.4276999999999997</v>
      </c>
      <c r="P28">
        <v>8.3605999999999998</v>
      </c>
      <c r="Q28">
        <v>7.9279000000000002</v>
      </c>
      <c r="R28">
        <v>8.4147999999999996</v>
      </c>
      <c r="S28">
        <v>8.5960999999999999</v>
      </c>
      <c r="T28">
        <v>7.98</v>
      </c>
      <c r="U28">
        <v>9.3096999999999994</v>
      </c>
      <c r="V28">
        <v>9.3658000000000001</v>
      </c>
      <c r="W28">
        <v>9.2281999999999993</v>
      </c>
      <c r="X28">
        <v>9.7931000000000008</v>
      </c>
      <c r="Y28">
        <v>11.523</v>
      </c>
      <c r="Z28">
        <v>12.832000000000001</v>
      </c>
      <c r="AA28">
        <v>12.8878</v>
      </c>
      <c r="AB28">
        <v>12.943099999999999</v>
      </c>
      <c r="AC28">
        <v>13.198600000000001</v>
      </c>
      <c r="AD28" t="s">
        <v>73</v>
      </c>
    </row>
    <row r="29" spans="1:30" x14ac:dyDescent="0.3">
      <c r="A29" t="s">
        <v>562</v>
      </c>
      <c r="B29" s="5" t="s">
        <v>563</v>
      </c>
      <c r="C29" t="s">
        <v>116</v>
      </c>
      <c r="D29" s="5" t="s">
        <v>117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73</v>
      </c>
      <c r="AC29" t="s">
        <v>73</v>
      </c>
      <c r="AD29" t="s">
        <v>73</v>
      </c>
    </row>
    <row r="30" spans="1:30" x14ac:dyDescent="0.3">
      <c r="A30" t="s">
        <v>562</v>
      </c>
      <c r="B30" s="5" t="s">
        <v>563</v>
      </c>
      <c r="C30" t="s">
        <v>118</v>
      </c>
      <c r="D30" s="5" t="s">
        <v>119</v>
      </c>
      <c r="E30" t="s">
        <v>73</v>
      </c>
      <c r="F30" t="s">
        <v>73</v>
      </c>
      <c r="G30" t="s">
        <v>73</v>
      </c>
      <c r="H30" t="s">
        <v>73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 t="s">
        <v>73</v>
      </c>
      <c r="Q30" t="s">
        <v>73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73</v>
      </c>
      <c r="AC30" t="s">
        <v>73</v>
      </c>
      <c r="AD30" t="s">
        <v>73</v>
      </c>
    </row>
    <row r="31" spans="1:30" x14ac:dyDescent="0.3">
      <c r="A31" t="s">
        <v>562</v>
      </c>
      <c r="B31" s="5" t="s">
        <v>563</v>
      </c>
      <c r="C31" t="s">
        <v>120</v>
      </c>
      <c r="D31" s="5" t="s">
        <v>121</v>
      </c>
      <c r="E31">
        <v>0.40749999999999997</v>
      </c>
      <c r="F31">
        <v>0.41489999999999999</v>
      </c>
      <c r="G31">
        <v>0.36580000000000001</v>
      </c>
      <c r="H31">
        <v>0.37240000000000001</v>
      </c>
      <c r="I31">
        <v>0.38190000000000002</v>
      </c>
      <c r="J31">
        <v>0.38500000000000001</v>
      </c>
      <c r="K31">
        <v>0.38030000000000003</v>
      </c>
      <c r="L31">
        <v>0.3881</v>
      </c>
      <c r="M31">
        <v>0.31740000000000002</v>
      </c>
      <c r="N31">
        <v>0.44629999999999997</v>
      </c>
      <c r="O31">
        <v>0.52170000000000005</v>
      </c>
      <c r="P31">
        <v>0.53739999999999999</v>
      </c>
      <c r="Q31">
        <v>0.69330000000000003</v>
      </c>
      <c r="R31">
        <v>0.60240000000000005</v>
      </c>
      <c r="S31">
        <v>0.87209999999999999</v>
      </c>
      <c r="T31">
        <v>0.69769999999999999</v>
      </c>
      <c r="U31">
        <v>0.90969999999999995</v>
      </c>
      <c r="V31">
        <v>0.84379999999999999</v>
      </c>
      <c r="W31">
        <v>0.75739999999999996</v>
      </c>
      <c r="X31">
        <v>0.84319999999999995</v>
      </c>
      <c r="Y31">
        <v>0.87209999999999999</v>
      </c>
      <c r="Z31">
        <v>0.84570000000000001</v>
      </c>
      <c r="AA31">
        <v>0.84650000000000003</v>
      </c>
      <c r="AB31">
        <v>0.79330000000000001</v>
      </c>
      <c r="AC31">
        <v>0.78900000000000003</v>
      </c>
      <c r="AD31" t="s">
        <v>73</v>
      </c>
    </row>
    <row r="32" spans="1:30" x14ac:dyDescent="0.3">
      <c r="A32" t="s">
        <v>562</v>
      </c>
      <c r="B32" s="5" t="s">
        <v>563</v>
      </c>
      <c r="C32" t="s">
        <v>122</v>
      </c>
      <c r="D32" s="5" t="s">
        <v>123</v>
      </c>
      <c r="E32" t="s">
        <v>73</v>
      </c>
      <c r="F32" t="s">
        <v>73</v>
      </c>
      <c r="G32" t="s">
        <v>73</v>
      </c>
      <c r="H32" t="s">
        <v>73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">
        <v>73</v>
      </c>
      <c r="Q32" t="s">
        <v>73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73</v>
      </c>
      <c r="AC32" t="s">
        <v>73</v>
      </c>
      <c r="AD32" t="s">
        <v>73</v>
      </c>
    </row>
    <row r="33" spans="1:30" x14ac:dyDescent="0.3">
      <c r="A33" t="s">
        <v>562</v>
      </c>
      <c r="B33" s="5" t="s">
        <v>563</v>
      </c>
      <c r="C33" t="s">
        <v>124</v>
      </c>
      <c r="D33" s="5" t="s">
        <v>125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73</v>
      </c>
      <c r="Q33" t="s">
        <v>73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73</v>
      </c>
      <c r="AC33" t="s">
        <v>73</v>
      </c>
      <c r="AD33" t="s">
        <v>73</v>
      </c>
    </row>
    <row r="34" spans="1:30" x14ac:dyDescent="0.3">
      <c r="A34" t="s">
        <v>562</v>
      </c>
      <c r="B34" s="5" t="s">
        <v>563</v>
      </c>
      <c r="C34" t="s">
        <v>126</v>
      </c>
      <c r="D34" s="5" t="s">
        <v>127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</row>
    <row r="35" spans="1:30" x14ac:dyDescent="0.3">
      <c r="A35" t="s">
        <v>562</v>
      </c>
      <c r="B35" s="5" t="s">
        <v>563</v>
      </c>
      <c r="C35" t="s">
        <v>128</v>
      </c>
      <c r="D35" s="5" t="s">
        <v>129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73</v>
      </c>
      <c r="AC35" t="s">
        <v>73</v>
      </c>
      <c r="AD35" t="s">
        <v>73</v>
      </c>
    </row>
    <row r="36" spans="1:30" x14ac:dyDescent="0.3">
      <c r="A36" t="s">
        <v>562</v>
      </c>
      <c r="B36" s="5" t="s">
        <v>563</v>
      </c>
      <c r="C36" t="s">
        <v>130</v>
      </c>
      <c r="D36" s="5" t="s">
        <v>131</v>
      </c>
      <c r="E36">
        <v>2.8799999999999999E-2</v>
      </c>
      <c r="F36">
        <v>5.45E-2</v>
      </c>
      <c r="G36">
        <v>3.2500000000000001E-2</v>
      </c>
      <c r="H36">
        <v>2.1999999999999999E-2</v>
      </c>
      <c r="I36">
        <v>5.4199999999999998E-2</v>
      </c>
      <c r="J36">
        <v>3.78E-2</v>
      </c>
      <c r="K36">
        <v>2.9499999999999998E-2</v>
      </c>
      <c r="L36">
        <v>4.02E-2</v>
      </c>
      <c r="M36">
        <v>2.4199999999999999E-2</v>
      </c>
      <c r="N36">
        <v>4.9299999999999997E-2</v>
      </c>
      <c r="O36">
        <v>5.0099999999999999E-2</v>
      </c>
      <c r="P36">
        <v>4.9799999999999997E-2</v>
      </c>
      <c r="Q36">
        <v>4.8899999999999999E-2</v>
      </c>
      <c r="R36">
        <v>5.5599999999999997E-2</v>
      </c>
      <c r="S36">
        <v>6.0999999999999999E-2</v>
      </c>
      <c r="T36">
        <v>7.9799999999999996E-2</v>
      </c>
      <c r="U36">
        <v>6.7599999999999993E-2</v>
      </c>
      <c r="V36">
        <v>8.3199999999999996E-2</v>
      </c>
      <c r="W36">
        <v>6.4899999999999999E-2</v>
      </c>
      <c r="X36">
        <v>9.8100000000000007E-2</v>
      </c>
      <c r="Y36">
        <v>8.1600000000000006E-2</v>
      </c>
      <c r="Z36">
        <v>6.7799999999999999E-2</v>
      </c>
      <c r="AA36">
        <v>0.1026</v>
      </c>
      <c r="AB36">
        <v>0.1065</v>
      </c>
      <c r="AC36">
        <v>0.1106</v>
      </c>
      <c r="AD36" t="s">
        <v>73</v>
      </c>
    </row>
    <row r="37" spans="1:30" x14ac:dyDescent="0.3">
      <c r="A37" t="s">
        <v>562</v>
      </c>
      <c r="B37" s="5" t="s">
        <v>563</v>
      </c>
      <c r="C37" t="s">
        <v>9</v>
      </c>
      <c r="D37" s="5" t="s">
        <v>132</v>
      </c>
      <c r="E37">
        <v>2.0798000000000001</v>
      </c>
      <c r="F37">
        <v>2.1065</v>
      </c>
      <c r="G37">
        <v>2.2431999999999999</v>
      </c>
      <c r="H37">
        <v>2.2090000000000001</v>
      </c>
      <c r="I37">
        <v>2.0848</v>
      </c>
      <c r="J37">
        <v>1.9698</v>
      </c>
      <c r="K37">
        <v>2.4794999999999998</v>
      </c>
      <c r="L37">
        <v>2.4319000000000002</v>
      </c>
      <c r="M37">
        <v>2.3441999999999998</v>
      </c>
      <c r="N37">
        <v>2.4910999999999999</v>
      </c>
      <c r="O37">
        <v>2.7663000000000002</v>
      </c>
      <c r="P37">
        <v>3.1802999999999999</v>
      </c>
      <c r="Q37">
        <v>3.3201999999999998</v>
      </c>
      <c r="R37">
        <v>3.3174000000000001</v>
      </c>
      <c r="S37">
        <v>3.4866000000000001</v>
      </c>
      <c r="T37">
        <v>3.5876999999999999</v>
      </c>
      <c r="U37">
        <v>3.4062999999999999</v>
      </c>
      <c r="V37">
        <v>3.6551999999999998</v>
      </c>
      <c r="W37">
        <v>3.7685</v>
      </c>
      <c r="X37">
        <v>4.0945</v>
      </c>
      <c r="Y37">
        <v>4.1271000000000004</v>
      </c>
      <c r="Z37">
        <v>3.7412000000000001</v>
      </c>
      <c r="AA37">
        <v>3.9321000000000002</v>
      </c>
      <c r="AB37">
        <v>4.8456000000000001</v>
      </c>
      <c r="AC37">
        <v>4.8869999999999996</v>
      </c>
      <c r="AD37" t="s">
        <v>73</v>
      </c>
    </row>
    <row r="38" spans="1:30" x14ac:dyDescent="0.3">
      <c r="A38" t="s">
        <v>562</v>
      </c>
      <c r="B38" s="5" t="s">
        <v>563</v>
      </c>
      <c r="C38" t="s">
        <v>133</v>
      </c>
      <c r="D38" s="5" t="s">
        <v>134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73</v>
      </c>
      <c r="AC38" t="s">
        <v>73</v>
      </c>
      <c r="AD38" t="s">
        <v>73</v>
      </c>
    </row>
    <row r="39" spans="1:30" x14ac:dyDescent="0.3">
      <c r="A39" t="s">
        <v>562</v>
      </c>
      <c r="B39" s="5" t="s">
        <v>563</v>
      </c>
      <c r="C39" t="s">
        <v>135</v>
      </c>
      <c r="D39" s="5" t="s">
        <v>136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73</v>
      </c>
      <c r="Q39" t="s">
        <v>73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73</v>
      </c>
      <c r="AC39" t="s">
        <v>73</v>
      </c>
      <c r="AD39" t="s">
        <v>73</v>
      </c>
    </row>
    <row r="40" spans="1:30" x14ac:dyDescent="0.3">
      <c r="A40" t="s">
        <v>562</v>
      </c>
      <c r="B40" s="5" t="s">
        <v>563</v>
      </c>
      <c r="C40" t="s">
        <v>137</v>
      </c>
      <c r="D40" s="5" t="s">
        <v>138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73</v>
      </c>
      <c r="AC40" t="s">
        <v>73</v>
      </c>
      <c r="AD40" t="s">
        <v>73</v>
      </c>
    </row>
    <row r="41" spans="1:30" x14ac:dyDescent="0.3">
      <c r="A41" t="s">
        <v>562</v>
      </c>
      <c r="B41" s="5" t="s">
        <v>563</v>
      </c>
      <c r="C41" t="s">
        <v>139</v>
      </c>
      <c r="D41" s="5" t="s">
        <v>140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</row>
    <row r="42" spans="1:30" x14ac:dyDescent="0.3">
      <c r="A42" t="s">
        <v>562</v>
      </c>
      <c r="B42" s="5" t="s">
        <v>563</v>
      </c>
      <c r="C42" t="s">
        <v>10</v>
      </c>
      <c r="D42" s="5" t="s">
        <v>141</v>
      </c>
      <c r="E42">
        <v>0.31590000000000001</v>
      </c>
      <c r="F42">
        <v>0.32540000000000002</v>
      </c>
      <c r="G42">
        <v>0.33210000000000001</v>
      </c>
      <c r="H42">
        <v>0.39190000000000003</v>
      </c>
      <c r="I42">
        <v>0.3952</v>
      </c>
      <c r="J42">
        <v>0.36670000000000003</v>
      </c>
      <c r="K42">
        <v>0.36559999999999998</v>
      </c>
      <c r="L42">
        <v>0.38669999999999999</v>
      </c>
      <c r="M42">
        <v>0.37869999999999998</v>
      </c>
      <c r="N42">
        <v>0.36609999999999998</v>
      </c>
      <c r="O42">
        <v>0.29110000000000003</v>
      </c>
      <c r="P42">
        <v>0.2923</v>
      </c>
      <c r="Q42">
        <v>0.29709999999999998</v>
      </c>
      <c r="R42">
        <v>0.29759999999999998</v>
      </c>
      <c r="S42">
        <v>0.3009</v>
      </c>
      <c r="T42">
        <v>0.2974</v>
      </c>
      <c r="U42">
        <v>0.29010000000000002</v>
      </c>
      <c r="V42">
        <v>0.29160000000000003</v>
      </c>
      <c r="W42">
        <v>0.33260000000000001</v>
      </c>
      <c r="X42">
        <v>0.3352</v>
      </c>
      <c r="Y42">
        <v>0.34660000000000002</v>
      </c>
      <c r="Z42">
        <v>0.36919999999999997</v>
      </c>
      <c r="AA42">
        <v>0.2777</v>
      </c>
      <c r="AB42">
        <v>0.2843</v>
      </c>
      <c r="AC42">
        <v>0.29099999999999998</v>
      </c>
      <c r="AD42" t="s">
        <v>73</v>
      </c>
    </row>
    <row r="43" spans="1:30" x14ac:dyDescent="0.3">
      <c r="A43" t="s">
        <v>562</v>
      </c>
      <c r="B43" s="5" t="s">
        <v>563</v>
      </c>
      <c r="C43" t="s">
        <v>11</v>
      </c>
      <c r="D43" s="5" t="s">
        <v>142</v>
      </c>
      <c r="E43">
        <v>24.127700000000001</v>
      </c>
      <c r="F43">
        <v>24.6966</v>
      </c>
      <c r="G43">
        <v>31.126899999999999</v>
      </c>
      <c r="H43">
        <v>29.2422</v>
      </c>
      <c r="I43">
        <v>29.978100000000001</v>
      </c>
      <c r="J43">
        <v>21.118099999999998</v>
      </c>
      <c r="K43">
        <v>23.5031</v>
      </c>
      <c r="L43">
        <v>21.4833</v>
      </c>
      <c r="M43">
        <v>20.461300000000001</v>
      </c>
      <c r="N43">
        <v>24.608899999999998</v>
      </c>
      <c r="O43">
        <v>21.370100000000001</v>
      </c>
      <c r="P43">
        <v>24.605899999999998</v>
      </c>
      <c r="Q43">
        <v>25.313099999999999</v>
      </c>
      <c r="R43">
        <v>26.51</v>
      </c>
      <c r="S43">
        <v>22.587800000000001</v>
      </c>
      <c r="T43">
        <v>24.6508</v>
      </c>
      <c r="U43">
        <v>18.2058</v>
      </c>
      <c r="V43">
        <v>15.1617</v>
      </c>
      <c r="W43">
        <v>15.3779</v>
      </c>
      <c r="X43">
        <v>17.131900000000002</v>
      </c>
      <c r="Y43">
        <v>16.281199999999998</v>
      </c>
      <c r="Z43">
        <v>15.9153</v>
      </c>
      <c r="AA43">
        <v>16.3139</v>
      </c>
      <c r="AB43">
        <v>16.6374</v>
      </c>
      <c r="AC43">
        <v>16.969100000000001</v>
      </c>
      <c r="AD43" t="s">
        <v>73</v>
      </c>
    </row>
    <row r="44" spans="1:30" x14ac:dyDescent="0.3">
      <c r="A44" t="s">
        <v>562</v>
      </c>
      <c r="B44" s="5" t="s">
        <v>563</v>
      </c>
      <c r="C44" t="s">
        <v>12</v>
      </c>
      <c r="D44" s="5" t="s">
        <v>143</v>
      </c>
      <c r="E44">
        <v>0.4551</v>
      </c>
      <c r="F44">
        <v>0.42670000000000002</v>
      </c>
      <c r="G44">
        <v>0.43</v>
      </c>
      <c r="H44">
        <v>0.40110000000000001</v>
      </c>
      <c r="I44">
        <v>0.47089999999999999</v>
      </c>
      <c r="J44">
        <v>0.48299999999999998</v>
      </c>
      <c r="K44">
        <v>0.45829999999999999</v>
      </c>
      <c r="L44">
        <v>0.49440000000000001</v>
      </c>
      <c r="M44">
        <v>0.35909999999999997</v>
      </c>
      <c r="N44">
        <v>0.4909</v>
      </c>
      <c r="O44">
        <v>0.45040000000000002</v>
      </c>
      <c r="P44">
        <v>0.54830000000000001</v>
      </c>
      <c r="Q44">
        <v>0.48620000000000002</v>
      </c>
      <c r="R44">
        <v>0.52780000000000005</v>
      </c>
      <c r="S44">
        <v>0.55189999999999995</v>
      </c>
      <c r="T44">
        <v>0.84689999999999999</v>
      </c>
      <c r="U44">
        <v>0.72189999999999999</v>
      </c>
      <c r="V44">
        <v>0.67930000000000001</v>
      </c>
      <c r="W44">
        <v>0.59360000000000002</v>
      </c>
      <c r="X44">
        <v>0.53010000000000002</v>
      </c>
      <c r="Y44">
        <v>0.65790000000000004</v>
      </c>
      <c r="Z44">
        <v>0.76259999999999994</v>
      </c>
      <c r="AA44">
        <v>0.51339999999999997</v>
      </c>
      <c r="AB44">
        <v>0.48820000000000002</v>
      </c>
      <c r="AC44">
        <v>0.46539999999999998</v>
      </c>
      <c r="AD44" t="s">
        <v>73</v>
      </c>
    </row>
    <row r="45" spans="1:30" x14ac:dyDescent="0.3">
      <c r="A45" t="s">
        <v>562</v>
      </c>
      <c r="B45" s="5" t="s">
        <v>563</v>
      </c>
      <c r="C45" t="s">
        <v>144</v>
      </c>
      <c r="D45" s="5" t="s">
        <v>145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  <c r="M45" t="s">
        <v>73</v>
      </c>
      <c r="N45" t="s">
        <v>73</v>
      </c>
      <c r="O45" t="s">
        <v>73</v>
      </c>
      <c r="P45" t="s">
        <v>73</v>
      </c>
      <c r="Q45" t="s">
        <v>73</v>
      </c>
      <c r="R45" t="s">
        <v>73</v>
      </c>
      <c r="S45" t="s">
        <v>73</v>
      </c>
      <c r="T45" t="s">
        <v>73</v>
      </c>
      <c r="U45" t="s">
        <v>73</v>
      </c>
      <c r="V45" t="s">
        <v>73</v>
      </c>
      <c r="W45" t="s">
        <v>73</v>
      </c>
      <c r="X45" t="s">
        <v>73</v>
      </c>
      <c r="Y45" t="s">
        <v>73</v>
      </c>
      <c r="Z45" t="s">
        <v>73</v>
      </c>
      <c r="AA45" t="s">
        <v>73</v>
      </c>
      <c r="AB45" t="s">
        <v>73</v>
      </c>
      <c r="AC45" t="s">
        <v>73</v>
      </c>
      <c r="AD45" t="s">
        <v>73</v>
      </c>
    </row>
    <row r="46" spans="1:30" x14ac:dyDescent="0.3">
      <c r="A46" t="s">
        <v>562</v>
      </c>
      <c r="B46" s="5" t="s">
        <v>563</v>
      </c>
      <c r="C46" t="s">
        <v>146</v>
      </c>
      <c r="D46" s="5" t="s">
        <v>147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  <c r="M46" t="s">
        <v>73</v>
      </c>
      <c r="N46" t="s">
        <v>73</v>
      </c>
      <c r="O46" t="s">
        <v>73</v>
      </c>
      <c r="P46" t="s">
        <v>73</v>
      </c>
      <c r="Q46" t="s">
        <v>73</v>
      </c>
      <c r="R46" t="s">
        <v>73</v>
      </c>
      <c r="S46" t="s">
        <v>73</v>
      </c>
      <c r="T46" t="s">
        <v>73</v>
      </c>
      <c r="U46" t="s">
        <v>73</v>
      </c>
      <c r="V46" t="s">
        <v>73</v>
      </c>
      <c r="W46" t="s">
        <v>73</v>
      </c>
      <c r="X46" t="s">
        <v>73</v>
      </c>
      <c r="Y46" t="s">
        <v>73</v>
      </c>
      <c r="Z46" t="s">
        <v>73</v>
      </c>
      <c r="AA46" t="s">
        <v>73</v>
      </c>
      <c r="AB46" t="s">
        <v>73</v>
      </c>
      <c r="AC46" t="s">
        <v>73</v>
      </c>
      <c r="AD46" t="s">
        <v>73</v>
      </c>
    </row>
    <row r="47" spans="1:30" x14ac:dyDescent="0.3">
      <c r="A47" t="s">
        <v>562</v>
      </c>
      <c r="B47" s="5" t="s">
        <v>563</v>
      </c>
      <c r="C47" t="s">
        <v>148</v>
      </c>
      <c r="D47" s="5" t="s">
        <v>149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  <c r="M47" t="s">
        <v>73</v>
      </c>
      <c r="N47" t="s">
        <v>73</v>
      </c>
      <c r="O47" t="s">
        <v>73</v>
      </c>
      <c r="P47" t="s">
        <v>73</v>
      </c>
      <c r="Q47" t="s">
        <v>73</v>
      </c>
      <c r="R47" t="s">
        <v>73</v>
      </c>
      <c r="S47" t="s">
        <v>73</v>
      </c>
      <c r="T47" t="s">
        <v>73</v>
      </c>
      <c r="U47" t="s">
        <v>73</v>
      </c>
      <c r="V47" t="s">
        <v>73</v>
      </c>
      <c r="W47" t="s">
        <v>73</v>
      </c>
      <c r="X47" t="s">
        <v>73</v>
      </c>
      <c r="Y47" t="s">
        <v>73</v>
      </c>
      <c r="Z47" t="s">
        <v>73</v>
      </c>
      <c r="AA47" t="s">
        <v>73</v>
      </c>
      <c r="AB47" t="s">
        <v>73</v>
      </c>
      <c r="AC47" t="s">
        <v>73</v>
      </c>
      <c r="AD47" t="s">
        <v>73</v>
      </c>
    </row>
    <row r="48" spans="1:30" x14ac:dyDescent="0.3">
      <c r="A48" t="s">
        <v>562</v>
      </c>
      <c r="B48" s="5" t="s">
        <v>563</v>
      </c>
      <c r="C48" t="s">
        <v>13</v>
      </c>
      <c r="D48" s="5" t="s">
        <v>150</v>
      </c>
      <c r="E48">
        <v>0.11940000000000001</v>
      </c>
      <c r="F48">
        <v>8.4900000000000003E-2</v>
      </c>
      <c r="G48">
        <v>6.2899999999999998E-2</v>
      </c>
      <c r="H48">
        <v>4.6699999999999998E-2</v>
      </c>
      <c r="I48">
        <v>8.6099999999999996E-2</v>
      </c>
      <c r="J48">
        <v>0.1</v>
      </c>
      <c r="K48">
        <v>0.1205</v>
      </c>
      <c r="L48">
        <v>0.1079</v>
      </c>
      <c r="M48">
        <v>0.12230000000000001</v>
      </c>
      <c r="N48">
        <v>0.1179</v>
      </c>
      <c r="O48">
        <v>9.7000000000000003E-2</v>
      </c>
      <c r="P48">
        <v>0.21920000000000001</v>
      </c>
      <c r="Q48">
        <v>0.15060000000000001</v>
      </c>
      <c r="R48">
        <v>0.10100000000000001</v>
      </c>
      <c r="S48">
        <v>0.15970000000000001</v>
      </c>
      <c r="T48">
        <v>0.16569999999999999</v>
      </c>
      <c r="U48">
        <v>0.16420000000000001</v>
      </c>
      <c r="V48">
        <v>0.15989999999999999</v>
      </c>
      <c r="W48">
        <v>0.22040000000000001</v>
      </c>
      <c r="X48">
        <v>0.18940000000000001</v>
      </c>
      <c r="Y48">
        <v>0.15690000000000001</v>
      </c>
      <c r="Z48">
        <v>0.14399999999999999</v>
      </c>
      <c r="AA48">
        <v>0.1268</v>
      </c>
      <c r="AB48">
        <v>0.13009999999999999</v>
      </c>
      <c r="AC48">
        <v>0.1336</v>
      </c>
      <c r="AD48" t="s">
        <v>73</v>
      </c>
    </row>
    <row r="49" spans="1:30" x14ac:dyDescent="0.3">
      <c r="A49" t="s">
        <v>562</v>
      </c>
      <c r="B49" s="5" t="s">
        <v>563</v>
      </c>
      <c r="C49" t="s">
        <v>151</v>
      </c>
      <c r="D49" s="5" t="s">
        <v>152</v>
      </c>
      <c r="E49">
        <v>5.5E-2</v>
      </c>
      <c r="F49">
        <v>4.1799999999999997E-2</v>
      </c>
      <c r="G49">
        <v>8.7400000000000005E-2</v>
      </c>
      <c r="H49">
        <v>3.27E-2</v>
      </c>
      <c r="I49">
        <v>6.9099999999999995E-2</v>
      </c>
      <c r="J49">
        <v>5.1900000000000002E-2</v>
      </c>
      <c r="K49">
        <v>8.4900000000000003E-2</v>
      </c>
      <c r="L49">
        <v>6.2899999999999998E-2</v>
      </c>
      <c r="M49">
        <v>3.7699999999999997E-2</v>
      </c>
      <c r="N49">
        <v>6.6000000000000003E-2</v>
      </c>
      <c r="O49">
        <v>7.0300000000000001E-2</v>
      </c>
      <c r="P49">
        <v>5.5199999999999999E-2</v>
      </c>
      <c r="Q49">
        <v>6.88E-2</v>
      </c>
      <c r="R49">
        <v>9.7799999999999998E-2</v>
      </c>
      <c r="S49">
        <v>0.1159</v>
      </c>
      <c r="T49">
        <v>8.1799999999999998E-2</v>
      </c>
      <c r="U49">
        <v>8.8400000000000006E-2</v>
      </c>
      <c r="V49">
        <v>6.6100000000000006E-2</v>
      </c>
      <c r="W49">
        <v>5.2900000000000003E-2</v>
      </c>
      <c r="X49">
        <v>0.11940000000000001</v>
      </c>
      <c r="Y49">
        <v>8.2799999999999999E-2</v>
      </c>
      <c r="Z49">
        <v>0.1221</v>
      </c>
      <c r="AA49">
        <v>7.3899999999999993E-2</v>
      </c>
      <c r="AB49">
        <v>7.5399999999999995E-2</v>
      </c>
      <c r="AC49">
        <v>7.7299999999999994E-2</v>
      </c>
      <c r="AD49" t="s">
        <v>73</v>
      </c>
    </row>
    <row r="50" spans="1:30" x14ac:dyDescent="0.3">
      <c r="A50" t="s">
        <v>562</v>
      </c>
      <c r="B50" s="5" t="s">
        <v>563</v>
      </c>
      <c r="C50" t="s">
        <v>153</v>
      </c>
      <c r="D50" s="5" t="s">
        <v>154</v>
      </c>
      <c r="E50">
        <v>7.2800000000000004E-2</v>
      </c>
      <c r="F50">
        <v>5.8000000000000003E-2</v>
      </c>
      <c r="G50">
        <v>8.3900000000000002E-2</v>
      </c>
      <c r="H50">
        <v>8.2199999999999995E-2</v>
      </c>
      <c r="I50">
        <v>7.9100000000000004E-2</v>
      </c>
      <c r="J50">
        <v>8.9599999999999999E-2</v>
      </c>
      <c r="K50">
        <v>9.74E-2</v>
      </c>
      <c r="L50">
        <v>9.7600000000000006E-2</v>
      </c>
      <c r="M50">
        <v>9.9000000000000005E-2</v>
      </c>
      <c r="N50">
        <v>6.1400000000000003E-2</v>
      </c>
      <c r="O50">
        <v>8.7400000000000005E-2</v>
      </c>
      <c r="P50">
        <v>8.0100000000000005E-2</v>
      </c>
      <c r="Q50">
        <v>9.4299999999999995E-2</v>
      </c>
      <c r="R50">
        <v>9.2700000000000005E-2</v>
      </c>
      <c r="S50">
        <v>7.8600000000000003E-2</v>
      </c>
      <c r="T50">
        <v>9.5899999999999999E-2</v>
      </c>
      <c r="U50">
        <v>9.9000000000000005E-2</v>
      </c>
      <c r="V50">
        <v>9.0499999999999997E-2</v>
      </c>
      <c r="W50">
        <v>9.0200000000000002E-2</v>
      </c>
      <c r="X50">
        <v>9.1300000000000006E-2</v>
      </c>
      <c r="Y50">
        <v>9.8400000000000001E-2</v>
      </c>
      <c r="Z50">
        <v>7.17E-2</v>
      </c>
      <c r="AA50">
        <v>3.5499999999999997E-2</v>
      </c>
      <c r="AB50">
        <v>2.4799999999999999E-2</v>
      </c>
      <c r="AC50">
        <v>1.7899999999999999E-2</v>
      </c>
      <c r="AD50" t="s">
        <v>73</v>
      </c>
    </row>
    <row r="51" spans="1:30" x14ac:dyDescent="0.3">
      <c r="A51" t="s">
        <v>562</v>
      </c>
      <c r="B51" s="5" t="s">
        <v>563</v>
      </c>
      <c r="C51" t="s">
        <v>155</v>
      </c>
      <c r="D51" s="5" t="s">
        <v>156</v>
      </c>
      <c r="E51">
        <v>0.2208</v>
      </c>
      <c r="F51">
        <v>9.11E-2</v>
      </c>
      <c r="G51">
        <v>5.8099999999999999E-2</v>
      </c>
      <c r="H51">
        <v>2.4899999999999999E-2</v>
      </c>
      <c r="I51">
        <v>2.7E-2</v>
      </c>
      <c r="J51">
        <v>0.1242</v>
      </c>
      <c r="K51">
        <v>0.1719</v>
      </c>
      <c r="L51">
        <v>0.13950000000000001</v>
      </c>
      <c r="M51">
        <v>0.1051</v>
      </c>
      <c r="N51">
        <v>0.1091</v>
      </c>
      <c r="O51">
        <v>0.1085</v>
      </c>
      <c r="P51">
        <v>0.12520000000000001</v>
      </c>
      <c r="Q51">
        <v>0.127</v>
      </c>
      <c r="R51">
        <v>0.13170000000000001</v>
      </c>
      <c r="S51">
        <v>0.16470000000000001</v>
      </c>
      <c r="T51">
        <v>0.14360000000000001</v>
      </c>
      <c r="U51">
        <v>0.10680000000000001</v>
      </c>
      <c r="V51">
        <v>0.1145</v>
      </c>
      <c r="W51">
        <v>6.0999999999999999E-2</v>
      </c>
      <c r="X51">
        <v>3.5700000000000003E-2</v>
      </c>
      <c r="Y51">
        <v>3.2399999999999998E-2</v>
      </c>
      <c r="Z51">
        <v>3.1699999999999999E-2</v>
      </c>
      <c r="AA51">
        <v>1.23E-2</v>
      </c>
      <c r="AB51">
        <v>1.23E-2</v>
      </c>
      <c r="AC51">
        <v>1.23E-2</v>
      </c>
      <c r="AD51" t="s">
        <v>73</v>
      </c>
    </row>
    <row r="52" spans="1:30" x14ac:dyDescent="0.3">
      <c r="A52" t="s">
        <v>562</v>
      </c>
      <c r="B52" s="5" t="s">
        <v>563</v>
      </c>
      <c r="C52" t="s">
        <v>157</v>
      </c>
      <c r="D52" s="5" t="s">
        <v>158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  <c r="J52" t="s">
        <v>73</v>
      </c>
      <c r="K52" t="s">
        <v>73</v>
      </c>
      <c r="L52" t="s">
        <v>73</v>
      </c>
      <c r="M52" t="s">
        <v>73</v>
      </c>
      <c r="N52" t="s">
        <v>73</v>
      </c>
      <c r="O52" t="s">
        <v>73</v>
      </c>
      <c r="P52" t="s">
        <v>73</v>
      </c>
      <c r="Q52" t="s">
        <v>73</v>
      </c>
      <c r="R52" t="s">
        <v>73</v>
      </c>
      <c r="S52" t="s">
        <v>73</v>
      </c>
      <c r="T52" t="s">
        <v>73</v>
      </c>
      <c r="U52" t="s">
        <v>73</v>
      </c>
      <c r="V52" t="s">
        <v>73</v>
      </c>
      <c r="W52" t="s">
        <v>73</v>
      </c>
      <c r="X52" t="s">
        <v>73</v>
      </c>
      <c r="Y52" t="s">
        <v>73</v>
      </c>
      <c r="Z52" t="s">
        <v>73</v>
      </c>
      <c r="AA52" t="s">
        <v>73</v>
      </c>
      <c r="AB52" t="s">
        <v>73</v>
      </c>
      <c r="AC52" t="s">
        <v>73</v>
      </c>
      <c r="AD52" t="s">
        <v>73</v>
      </c>
    </row>
    <row r="53" spans="1:30" x14ac:dyDescent="0.3">
      <c r="A53" t="s">
        <v>562</v>
      </c>
      <c r="B53" s="5" t="s">
        <v>563</v>
      </c>
      <c r="C53" t="s">
        <v>159</v>
      </c>
      <c r="D53" s="5" t="s">
        <v>160</v>
      </c>
      <c r="E53">
        <v>1.0699999999999999E-2</v>
      </c>
      <c r="F53">
        <v>1.0200000000000001E-2</v>
      </c>
      <c r="G53">
        <v>9.5999999999999992E-3</v>
      </c>
      <c r="H53">
        <v>1.04E-2</v>
      </c>
      <c r="I53">
        <v>1.18E-2</v>
      </c>
      <c r="J53">
        <v>6.3E-3</v>
      </c>
      <c r="K53">
        <v>9.1000000000000004E-3</v>
      </c>
      <c r="L53">
        <v>4.5999999999999999E-3</v>
      </c>
      <c r="M53">
        <v>5.7000000000000002E-3</v>
      </c>
      <c r="N53">
        <v>4.1000000000000003E-3</v>
      </c>
      <c r="O53">
        <v>5.4999999999999997E-3</v>
      </c>
      <c r="P53">
        <v>6.1000000000000004E-3</v>
      </c>
      <c r="Q53">
        <v>6.7999999999999996E-3</v>
      </c>
      <c r="R53">
        <v>3.0999999999999999E-3</v>
      </c>
      <c r="S53">
        <v>5.4999999999999997E-3</v>
      </c>
      <c r="T53">
        <v>4.1000000000000003E-3</v>
      </c>
      <c r="U53">
        <v>4.5999999999999999E-3</v>
      </c>
      <c r="V53">
        <v>3.5999999999999999E-3</v>
      </c>
      <c r="W53">
        <v>5.7999999999999996E-3</v>
      </c>
      <c r="X53">
        <v>3.8999999999999998E-3</v>
      </c>
      <c r="Y53">
        <v>5.7000000000000002E-3</v>
      </c>
      <c r="Z53">
        <v>3.5000000000000001E-3</v>
      </c>
      <c r="AA53">
        <v>8.0000000000000004E-4</v>
      </c>
      <c r="AB53">
        <v>5.9999999999999995E-4</v>
      </c>
      <c r="AC53">
        <v>5.0000000000000001E-4</v>
      </c>
      <c r="AD53" t="s">
        <v>73</v>
      </c>
    </row>
    <row r="54" spans="1:30" x14ac:dyDescent="0.3">
      <c r="A54" t="s">
        <v>562</v>
      </c>
      <c r="B54" s="5" t="s">
        <v>563</v>
      </c>
      <c r="C54" t="s">
        <v>161</v>
      </c>
      <c r="D54" s="5" t="s">
        <v>162</v>
      </c>
      <c r="E54">
        <v>0.28860000000000002</v>
      </c>
      <c r="F54">
        <v>0.30080000000000001</v>
      </c>
      <c r="G54">
        <v>0.27210000000000001</v>
      </c>
      <c r="H54">
        <v>0.24540000000000001</v>
      </c>
      <c r="I54">
        <v>0.2762</v>
      </c>
      <c r="J54">
        <v>0.2331</v>
      </c>
      <c r="K54">
        <v>0.19070000000000001</v>
      </c>
      <c r="L54">
        <v>0.22120000000000001</v>
      </c>
      <c r="M54">
        <v>0.16600000000000001</v>
      </c>
      <c r="N54">
        <v>0.14510000000000001</v>
      </c>
      <c r="O54">
        <v>0.24299999999999999</v>
      </c>
      <c r="P54">
        <v>0.20799999999999999</v>
      </c>
      <c r="Q54">
        <v>0.20219999999999999</v>
      </c>
      <c r="R54">
        <v>0.2918</v>
      </c>
      <c r="S54">
        <v>0.33900000000000002</v>
      </c>
      <c r="T54">
        <v>0.28239999999999998</v>
      </c>
      <c r="U54">
        <v>0.28239999999999998</v>
      </c>
      <c r="V54">
        <v>0.29720000000000002</v>
      </c>
      <c r="W54">
        <v>0.19800000000000001</v>
      </c>
      <c r="X54">
        <v>0.1641</v>
      </c>
      <c r="Y54">
        <v>0.1489</v>
      </c>
      <c r="Z54">
        <v>0.17130000000000001</v>
      </c>
      <c r="AA54">
        <v>0.1792</v>
      </c>
      <c r="AB54">
        <v>0.1709</v>
      </c>
      <c r="AC54">
        <v>0.17330000000000001</v>
      </c>
      <c r="AD54" t="s">
        <v>73</v>
      </c>
    </row>
    <row r="55" spans="1:30" x14ac:dyDescent="0.3">
      <c r="A55" t="s">
        <v>562</v>
      </c>
      <c r="B55" s="5" t="s">
        <v>563</v>
      </c>
      <c r="C55" t="s">
        <v>14</v>
      </c>
      <c r="D55" s="5" t="s">
        <v>163</v>
      </c>
      <c r="E55">
        <v>0.1283</v>
      </c>
      <c r="F55">
        <v>9.4799999999999995E-2</v>
      </c>
      <c r="G55">
        <v>6.9699999999999998E-2</v>
      </c>
      <c r="H55">
        <v>8.2199999999999995E-2</v>
      </c>
      <c r="I55">
        <v>6.8099999999999994E-2</v>
      </c>
      <c r="J55">
        <v>6.8099999999999994E-2</v>
      </c>
      <c r="K55">
        <v>5.8599999999999999E-2</v>
      </c>
      <c r="L55">
        <v>5.6399999999999999E-2</v>
      </c>
      <c r="M55">
        <v>5.1900000000000002E-2</v>
      </c>
      <c r="N55">
        <v>0.11</v>
      </c>
      <c r="O55">
        <v>6.9699999999999998E-2</v>
      </c>
      <c r="P55">
        <v>6.6500000000000004E-2</v>
      </c>
      <c r="Q55">
        <v>6.0199999999999997E-2</v>
      </c>
      <c r="R55">
        <v>5.0799999999999998E-2</v>
      </c>
      <c r="S55">
        <v>5.9499999999999997E-2</v>
      </c>
      <c r="T55">
        <v>7.1800000000000003E-2</v>
      </c>
      <c r="U55">
        <v>5.6300000000000003E-2</v>
      </c>
      <c r="V55">
        <v>7.5600000000000001E-2</v>
      </c>
      <c r="W55">
        <v>7.3700000000000002E-2</v>
      </c>
      <c r="X55">
        <v>0.10920000000000001</v>
      </c>
      <c r="Y55">
        <v>0.1114</v>
      </c>
      <c r="Z55">
        <v>5.0799999999999998E-2</v>
      </c>
      <c r="AA55">
        <v>6.2600000000000003E-2</v>
      </c>
      <c r="AB55">
        <v>5.96E-2</v>
      </c>
      <c r="AC55">
        <v>5.9499999999999997E-2</v>
      </c>
      <c r="AD55" t="s">
        <v>73</v>
      </c>
    </row>
    <row r="56" spans="1:30" x14ac:dyDescent="0.3">
      <c r="A56" t="s">
        <v>562</v>
      </c>
      <c r="B56" s="5" t="s">
        <v>563</v>
      </c>
      <c r="C56" t="s">
        <v>164</v>
      </c>
      <c r="D56" s="5" t="s">
        <v>165</v>
      </c>
      <c r="E56" t="s">
        <v>73</v>
      </c>
      <c r="F56" t="s">
        <v>73</v>
      </c>
      <c r="G56" t="s">
        <v>73</v>
      </c>
      <c r="H56" t="s">
        <v>73</v>
      </c>
      <c r="I56" t="s">
        <v>73</v>
      </c>
      <c r="J56" t="s">
        <v>73</v>
      </c>
      <c r="K56" t="s">
        <v>73</v>
      </c>
      <c r="L56" t="s">
        <v>73</v>
      </c>
      <c r="M56" t="s">
        <v>73</v>
      </c>
      <c r="N56" t="s">
        <v>73</v>
      </c>
      <c r="O56" t="s">
        <v>73</v>
      </c>
      <c r="P56" t="s">
        <v>73</v>
      </c>
      <c r="Q56" t="s">
        <v>73</v>
      </c>
      <c r="R56" t="s">
        <v>73</v>
      </c>
      <c r="S56" t="s">
        <v>73</v>
      </c>
      <c r="T56" t="s">
        <v>73</v>
      </c>
      <c r="U56" t="s">
        <v>73</v>
      </c>
      <c r="V56" t="s">
        <v>73</v>
      </c>
      <c r="W56" t="s">
        <v>73</v>
      </c>
      <c r="X56" t="s">
        <v>73</v>
      </c>
      <c r="Y56" t="s">
        <v>73</v>
      </c>
      <c r="Z56" t="s">
        <v>73</v>
      </c>
      <c r="AA56" t="s">
        <v>73</v>
      </c>
      <c r="AB56" t="s">
        <v>73</v>
      </c>
      <c r="AC56" t="s">
        <v>73</v>
      </c>
      <c r="AD56" t="s">
        <v>73</v>
      </c>
    </row>
    <row r="57" spans="1:30" x14ac:dyDescent="0.3">
      <c r="A57" t="s">
        <v>562</v>
      </c>
      <c r="B57" s="5" t="s">
        <v>563</v>
      </c>
      <c r="C57" t="s">
        <v>166</v>
      </c>
      <c r="D57" s="5" t="s">
        <v>167</v>
      </c>
      <c r="E57" t="s">
        <v>73</v>
      </c>
      <c r="F57" t="s">
        <v>73</v>
      </c>
      <c r="G57" t="s">
        <v>73</v>
      </c>
      <c r="H57" t="s">
        <v>73</v>
      </c>
      <c r="I57" t="s">
        <v>73</v>
      </c>
      <c r="J57" t="s">
        <v>73</v>
      </c>
      <c r="K57" t="s">
        <v>73</v>
      </c>
      <c r="L57" t="s">
        <v>73</v>
      </c>
      <c r="M57" t="s">
        <v>73</v>
      </c>
      <c r="N57" t="s">
        <v>73</v>
      </c>
      <c r="O57" t="s">
        <v>73</v>
      </c>
      <c r="P57" t="s">
        <v>73</v>
      </c>
      <c r="Q57" t="s">
        <v>73</v>
      </c>
      <c r="R57" t="s">
        <v>73</v>
      </c>
      <c r="S57" t="s">
        <v>73</v>
      </c>
      <c r="T57" t="s">
        <v>73</v>
      </c>
      <c r="U57" t="s">
        <v>73</v>
      </c>
      <c r="V57" t="s">
        <v>73</v>
      </c>
      <c r="W57" t="s">
        <v>73</v>
      </c>
      <c r="X57" t="s">
        <v>73</v>
      </c>
      <c r="Y57" t="s">
        <v>73</v>
      </c>
      <c r="Z57" t="s">
        <v>73</v>
      </c>
      <c r="AA57" t="s">
        <v>73</v>
      </c>
      <c r="AB57" t="s">
        <v>73</v>
      </c>
      <c r="AC57" t="s">
        <v>73</v>
      </c>
      <c r="AD57" t="s">
        <v>73</v>
      </c>
    </row>
    <row r="58" spans="1:30" x14ac:dyDescent="0.3">
      <c r="A58" t="s">
        <v>562</v>
      </c>
      <c r="B58" s="5" t="s">
        <v>563</v>
      </c>
      <c r="C58" t="s">
        <v>168</v>
      </c>
      <c r="D58" s="5" t="s">
        <v>169</v>
      </c>
      <c r="E58">
        <v>0.13339999999999999</v>
      </c>
      <c r="F58">
        <v>0.18479999999999999</v>
      </c>
      <c r="G58">
        <v>0.1754</v>
      </c>
      <c r="H58">
        <v>0.15060000000000001</v>
      </c>
      <c r="I58">
        <v>0.1691</v>
      </c>
      <c r="J58">
        <v>0.13070000000000001</v>
      </c>
      <c r="K58">
        <v>0.1847</v>
      </c>
      <c r="L58">
        <v>0.1071</v>
      </c>
      <c r="M58">
        <v>0.14180000000000001</v>
      </c>
      <c r="N58">
        <v>0.18890000000000001</v>
      </c>
      <c r="O58">
        <v>0.18770000000000001</v>
      </c>
      <c r="P58">
        <v>0.1439</v>
      </c>
      <c r="Q58">
        <v>0.17879999999999999</v>
      </c>
      <c r="R58">
        <v>0.1384</v>
      </c>
      <c r="S58">
        <v>0.1903</v>
      </c>
      <c r="T58">
        <v>0.16719999999999999</v>
      </c>
      <c r="U58">
        <v>0.18509999999999999</v>
      </c>
      <c r="V58">
        <v>0.1686</v>
      </c>
      <c r="W58">
        <v>0.189</v>
      </c>
      <c r="X58">
        <v>0.18360000000000001</v>
      </c>
      <c r="Y58">
        <v>0.2077</v>
      </c>
      <c r="Z58">
        <v>0.1804</v>
      </c>
      <c r="AA58">
        <v>0.21790000000000001</v>
      </c>
      <c r="AB58">
        <v>0.22689999999999999</v>
      </c>
      <c r="AC58">
        <v>0.2366</v>
      </c>
      <c r="AD58" t="s">
        <v>73</v>
      </c>
    </row>
    <row r="59" spans="1:30" x14ac:dyDescent="0.3">
      <c r="A59" t="s">
        <v>562</v>
      </c>
      <c r="B59" s="5" t="s">
        <v>563</v>
      </c>
      <c r="C59" t="s">
        <v>170</v>
      </c>
      <c r="D59" s="5" t="s">
        <v>171</v>
      </c>
      <c r="E59">
        <v>0.1167</v>
      </c>
      <c r="F59">
        <v>0.17330000000000001</v>
      </c>
      <c r="G59">
        <v>0.2127</v>
      </c>
      <c r="H59">
        <v>0.2089</v>
      </c>
      <c r="I59">
        <v>0.25030000000000002</v>
      </c>
      <c r="J59">
        <v>8.3299999999999999E-2</v>
      </c>
      <c r="K59">
        <v>0.1888</v>
      </c>
      <c r="L59">
        <v>0.23330000000000001</v>
      </c>
      <c r="M59">
        <v>0.22950000000000001</v>
      </c>
      <c r="N59">
        <v>0.18079999999999999</v>
      </c>
      <c r="O59">
        <v>0.19259999999999999</v>
      </c>
      <c r="P59">
        <v>0.25869999999999999</v>
      </c>
      <c r="Q59">
        <v>0.27389999999999998</v>
      </c>
      <c r="R59">
        <v>0.30830000000000002</v>
      </c>
      <c r="S59">
        <v>0.35549999999999998</v>
      </c>
      <c r="T59">
        <v>0.35699999999999998</v>
      </c>
      <c r="U59">
        <v>0.54269999999999996</v>
      </c>
      <c r="V59">
        <v>0.38890000000000002</v>
      </c>
      <c r="W59">
        <v>0.4783</v>
      </c>
      <c r="X59">
        <v>0.42559999999999998</v>
      </c>
      <c r="Y59">
        <v>0.4768</v>
      </c>
      <c r="Z59">
        <v>0.54430000000000001</v>
      </c>
      <c r="AA59">
        <v>0.35370000000000001</v>
      </c>
      <c r="AB59">
        <v>0.34660000000000002</v>
      </c>
      <c r="AC59">
        <v>0.33989999999999998</v>
      </c>
      <c r="AD59" t="s">
        <v>73</v>
      </c>
    </row>
    <row r="60" spans="1:30" x14ac:dyDescent="0.3">
      <c r="A60" t="s">
        <v>562</v>
      </c>
      <c r="B60" s="5" t="s">
        <v>563</v>
      </c>
      <c r="C60" t="s">
        <v>15</v>
      </c>
      <c r="D60" s="5" t="s">
        <v>172</v>
      </c>
      <c r="E60">
        <v>2.6133000000000002</v>
      </c>
      <c r="F60">
        <v>2.7484000000000002</v>
      </c>
      <c r="G60">
        <v>2.6518999999999999</v>
      </c>
      <c r="H60">
        <v>2.5122</v>
      </c>
      <c r="I60">
        <v>3.0377000000000001</v>
      </c>
      <c r="J60">
        <v>2.9449000000000001</v>
      </c>
      <c r="K60">
        <v>2.6674000000000002</v>
      </c>
      <c r="L60">
        <v>2.4666999999999999</v>
      </c>
      <c r="M60">
        <v>2.4626000000000001</v>
      </c>
      <c r="N60">
        <v>2.6593</v>
      </c>
      <c r="O60">
        <v>2.5562999999999998</v>
      </c>
      <c r="P60">
        <v>2.5929000000000002</v>
      </c>
      <c r="Q60">
        <v>2.1206</v>
      </c>
      <c r="R60">
        <v>2.2492000000000001</v>
      </c>
      <c r="S60">
        <v>2.2650000000000001</v>
      </c>
      <c r="T60">
        <v>2.4841000000000002</v>
      </c>
      <c r="U60">
        <v>2.7014</v>
      </c>
      <c r="V60">
        <v>2.7936999999999999</v>
      </c>
      <c r="W60">
        <v>2.9487000000000001</v>
      </c>
      <c r="X60">
        <v>2.7370000000000001</v>
      </c>
      <c r="Y60">
        <v>2.8147000000000002</v>
      </c>
      <c r="Z60">
        <v>2.6263999999999998</v>
      </c>
      <c r="AA60">
        <v>2.5019</v>
      </c>
      <c r="AB60">
        <v>2.5188000000000001</v>
      </c>
      <c r="AC60">
        <v>2.5236000000000001</v>
      </c>
      <c r="AD60" t="s">
        <v>73</v>
      </c>
    </row>
    <row r="61" spans="1:30" x14ac:dyDescent="0.3">
      <c r="A61" t="s">
        <v>562</v>
      </c>
      <c r="B61" s="5" t="s">
        <v>563</v>
      </c>
      <c r="C61" t="s">
        <v>173</v>
      </c>
      <c r="D61" s="5" t="s">
        <v>174</v>
      </c>
      <c r="E61">
        <v>0.1842</v>
      </c>
      <c r="F61">
        <v>0.1898</v>
      </c>
      <c r="G61">
        <v>0.14369999999999999</v>
      </c>
      <c r="H61">
        <v>9.2100000000000001E-2</v>
      </c>
      <c r="I61">
        <v>0.17080000000000001</v>
      </c>
      <c r="J61">
        <v>0.20780000000000001</v>
      </c>
      <c r="K61">
        <v>0.14949999999999999</v>
      </c>
      <c r="L61">
        <v>0.1512</v>
      </c>
      <c r="M61">
        <v>0.18909999999999999</v>
      </c>
      <c r="N61">
        <v>0.2316</v>
      </c>
      <c r="O61">
        <v>0.18640000000000001</v>
      </c>
      <c r="P61">
        <v>0.2273</v>
      </c>
      <c r="Q61">
        <v>0.21740000000000001</v>
      </c>
      <c r="R61">
        <v>0.153</v>
      </c>
      <c r="S61">
        <v>0.1925</v>
      </c>
      <c r="T61">
        <v>0.23810000000000001</v>
      </c>
      <c r="U61">
        <v>0.1769</v>
      </c>
      <c r="V61">
        <v>0.26269999999999999</v>
      </c>
      <c r="W61">
        <v>0.2399</v>
      </c>
      <c r="X61">
        <v>0.18129999999999999</v>
      </c>
      <c r="Y61">
        <v>0.27189999999999998</v>
      </c>
      <c r="Z61">
        <v>0.1865</v>
      </c>
      <c r="AA61">
        <v>0.19500000000000001</v>
      </c>
      <c r="AB61">
        <v>0.18149999999999999</v>
      </c>
      <c r="AC61">
        <v>0.16889999999999999</v>
      </c>
      <c r="AD61" t="s">
        <v>73</v>
      </c>
    </row>
    <row r="62" spans="1:30" x14ac:dyDescent="0.3">
      <c r="A62" t="s">
        <v>562</v>
      </c>
      <c r="B62" s="5" t="s">
        <v>563</v>
      </c>
      <c r="C62" t="s">
        <v>175</v>
      </c>
      <c r="D62" s="5" t="s">
        <v>176</v>
      </c>
      <c r="E62" t="s">
        <v>73</v>
      </c>
      <c r="F62" t="s">
        <v>73</v>
      </c>
      <c r="G62" t="s">
        <v>73</v>
      </c>
      <c r="H62" t="s">
        <v>73</v>
      </c>
      <c r="I62" t="s">
        <v>73</v>
      </c>
      <c r="J62" t="s">
        <v>73</v>
      </c>
      <c r="K62" t="s">
        <v>73</v>
      </c>
      <c r="L62" t="s">
        <v>73</v>
      </c>
      <c r="M62" t="s">
        <v>73</v>
      </c>
      <c r="N62" t="s">
        <v>73</v>
      </c>
      <c r="O62" t="s">
        <v>73</v>
      </c>
      <c r="P62" t="s">
        <v>73</v>
      </c>
      <c r="Q62" t="s">
        <v>73</v>
      </c>
      <c r="R62" t="s">
        <v>73</v>
      </c>
      <c r="S62" t="s">
        <v>73</v>
      </c>
      <c r="T62" t="s">
        <v>73</v>
      </c>
      <c r="U62" t="s">
        <v>73</v>
      </c>
      <c r="V62" t="s">
        <v>73</v>
      </c>
      <c r="W62" t="s">
        <v>73</v>
      </c>
      <c r="X62" t="s">
        <v>73</v>
      </c>
      <c r="Y62" t="s">
        <v>73</v>
      </c>
      <c r="Z62" t="s">
        <v>73</v>
      </c>
      <c r="AA62" t="s">
        <v>73</v>
      </c>
      <c r="AB62" t="s">
        <v>73</v>
      </c>
      <c r="AC62" t="s">
        <v>73</v>
      </c>
      <c r="AD62" t="s">
        <v>73</v>
      </c>
    </row>
    <row r="63" spans="1:30" x14ac:dyDescent="0.3">
      <c r="A63" t="s">
        <v>562</v>
      </c>
      <c r="B63" s="5" t="s">
        <v>563</v>
      </c>
      <c r="C63" t="s">
        <v>177</v>
      </c>
      <c r="D63" s="5" t="s">
        <v>178</v>
      </c>
      <c r="E63" t="s">
        <v>73</v>
      </c>
      <c r="F63" t="s">
        <v>73</v>
      </c>
      <c r="G63" t="s">
        <v>73</v>
      </c>
      <c r="H63" t="s">
        <v>73</v>
      </c>
      <c r="I63" t="s">
        <v>73</v>
      </c>
      <c r="J63" t="s">
        <v>73</v>
      </c>
      <c r="K63" t="s">
        <v>73</v>
      </c>
      <c r="L63" t="s">
        <v>73</v>
      </c>
      <c r="M63" t="s">
        <v>73</v>
      </c>
      <c r="N63" t="s">
        <v>73</v>
      </c>
      <c r="O63" t="s">
        <v>73</v>
      </c>
      <c r="P63" t="s">
        <v>73</v>
      </c>
      <c r="Q63" t="s">
        <v>73</v>
      </c>
      <c r="R63" t="s">
        <v>73</v>
      </c>
      <c r="S63" t="s">
        <v>73</v>
      </c>
      <c r="T63" t="s">
        <v>73</v>
      </c>
      <c r="U63" t="s">
        <v>73</v>
      </c>
      <c r="V63" t="s">
        <v>73</v>
      </c>
      <c r="W63" t="s">
        <v>73</v>
      </c>
      <c r="X63" t="s">
        <v>73</v>
      </c>
      <c r="Y63" t="s">
        <v>73</v>
      </c>
      <c r="Z63" t="s">
        <v>73</v>
      </c>
      <c r="AA63" t="s">
        <v>73</v>
      </c>
      <c r="AB63" t="s">
        <v>73</v>
      </c>
      <c r="AC63" t="s">
        <v>73</v>
      </c>
      <c r="AD63" t="s">
        <v>73</v>
      </c>
    </row>
    <row r="64" spans="1:30" x14ac:dyDescent="0.3">
      <c r="A64" t="s">
        <v>562</v>
      </c>
      <c r="B64" s="5" t="s">
        <v>563</v>
      </c>
      <c r="C64" t="s">
        <v>16</v>
      </c>
      <c r="D64" s="5" t="s">
        <v>179</v>
      </c>
      <c r="E64">
        <v>5.1400000000000001E-2</v>
      </c>
      <c r="F64">
        <v>5.8099999999999999E-2</v>
      </c>
      <c r="G64">
        <v>5.9499999999999997E-2</v>
      </c>
      <c r="H64">
        <v>5.2600000000000001E-2</v>
      </c>
      <c r="I64">
        <v>5.6399999999999999E-2</v>
      </c>
      <c r="J64">
        <v>5.2600000000000001E-2</v>
      </c>
      <c r="K64">
        <v>3.1800000000000002E-2</v>
      </c>
      <c r="L64">
        <v>2.7799999999999998E-2</v>
      </c>
      <c r="M64">
        <v>6.3899999999999998E-2</v>
      </c>
      <c r="N64">
        <v>7.9399999999999998E-2</v>
      </c>
      <c r="O64">
        <v>5.8599999999999999E-2</v>
      </c>
      <c r="P64">
        <v>6.0600000000000001E-2</v>
      </c>
      <c r="Q64">
        <v>5.9900000000000002E-2</v>
      </c>
      <c r="R64">
        <v>6.9099999999999995E-2</v>
      </c>
      <c r="S64">
        <v>7.5399999999999995E-2</v>
      </c>
      <c r="T64">
        <v>9.4299999999999995E-2</v>
      </c>
      <c r="U64">
        <v>8.1699999999999995E-2</v>
      </c>
      <c r="V64">
        <v>8.1699999999999995E-2</v>
      </c>
      <c r="W64">
        <v>8.5699999999999998E-2</v>
      </c>
      <c r="X64">
        <v>8.5400000000000004E-2</v>
      </c>
      <c r="Y64">
        <v>8.6400000000000005E-2</v>
      </c>
      <c r="Z64">
        <v>7.0999999999999994E-2</v>
      </c>
      <c r="AA64">
        <v>6.4199999999999993E-2</v>
      </c>
      <c r="AB64">
        <v>6.4199999999999993E-2</v>
      </c>
      <c r="AC64">
        <v>6.4199999999999993E-2</v>
      </c>
      <c r="AD64" t="s">
        <v>73</v>
      </c>
    </row>
    <row r="65" spans="1:30" x14ac:dyDescent="0.3">
      <c r="A65" t="s">
        <v>562</v>
      </c>
      <c r="B65" s="5" t="s">
        <v>563</v>
      </c>
      <c r="C65" t="s">
        <v>180</v>
      </c>
      <c r="D65" s="5" t="s">
        <v>181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  <c r="J65" t="s">
        <v>73</v>
      </c>
      <c r="K65" t="s">
        <v>73</v>
      </c>
      <c r="L65" t="s">
        <v>73</v>
      </c>
      <c r="M65" t="s">
        <v>73</v>
      </c>
      <c r="N65" t="s">
        <v>73</v>
      </c>
      <c r="O65" t="s">
        <v>73</v>
      </c>
      <c r="P65" t="s">
        <v>73</v>
      </c>
      <c r="Q65" t="s">
        <v>73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73</v>
      </c>
      <c r="X65" t="s">
        <v>73</v>
      </c>
      <c r="Y65" t="s">
        <v>73</v>
      </c>
      <c r="Z65" t="s">
        <v>73</v>
      </c>
      <c r="AA65" t="s">
        <v>73</v>
      </c>
      <c r="AB65" t="s">
        <v>73</v>
      </c>
      <c r="AC65" t="s">
        <v>73</v>
      </c>
      <c r="AD65" t="s">
        <v>73</v>
      </c>
    </row>
    <row r="66" spans="1:30" x14ac:dyDescent="0.3">
      <c r="A66" t="s">
        <v>562</v>
      </c>
      <c r="B66" s="5" t="s">
        <v>563</v>
      </c>
      <c r="C66" t="s">
        <v>17</v>
      </c>
      <c r="D66" s="5" t="s">
        <v>182</v>
      </c>
      <c r="E66">
        <v>0.1368</v>
      </c>
      <c r="F66">
        <v>0.1943</v>
      </c>
      <c r="G66">
        <v>0.154</v>
      </c>
      <c r="H66">
        <v>3.2000000000000001E-2</v>
      </c>
      <c r="I66">
        <v>0.17549999999999999</v>
      </c>
      <c r="J66">
        <v>0.188</v>
      </c>
      <c r="K66">
        <v>0.17130000000000001</v>
      </c>
      <c r="L66">
        <v>0.1729</v>
      </c>
      <c r="M66">
        <v>0.1608</v>
      </c>
      <c r="N66">
        <v>0.1807</v>
      </c>
      <c r="O66">
        <v>0.18859999999999999</v>
      </c>
      <c r="P66">
        <v>0.23050000000000001</v>
      </c>
      <c r="Q66">
        <v>0.32479999999999998</v>
      </c>
      <c r="R66">
        <v>0.28070000000000001</v>
      </c>
      <c r="S66">
        <v>0.33979999999999999</v>
      </c>
      <c r="T66">
        <v>0.48499999999999999</v>
      </c>
      <c r="U66">
        <v>0.46479999999999999</v>
      </c>
      <c r="V66">
        <v>0.33560000000000001</v>
      </c>
      <c r="W66">
        <v>0.3518</v>
      </c>
      <c r="X66">
        <v>0.3372</v>
      </c>
      <c r="Y66">
        <v>0.40610000000000002</v>
      </c>
      <c r="Z66">
        <v>0.26300000000000001</v>
      </c>
      <c r="AA66">
        <v>0.45319999999999999</v>
      </c>
      <c r="AB66">
        <v>0.4773</v>
      </c>
      <c r="AC66">
        <v>0.50270000000000004</v>
      </c>
      <c r="AD66" t="s">
        <v>73</v>
      </c>
    </row>
    <row r="67" spans="1:30" x14ac:dyDescent="0.3">
      <c r="A67" t="s">
        <v>562</v>
      </c>
      <c r="B67" s="5" t="s">
        <v>563</v>
      </c>
      <c r="C67" t="s">
        <v>183</v>
      </c>
      <c r="D67" s="5" t="s">
        <v>184</v>
      </c>
      <c r="E67" t="s">
        <v>73</v>
      </c>
      <c r="F67" t="s">
        <v>73</v>
      </c>
      <c r="G67" t="s">
        <v>73</v>
      </c>
      <c r="H67" t="s">
        <v>73</v>
      </c>
      <c r="I67" t="s">
        <v>73</v>
      </c>
      <c r="J67" t="s">
        <v>73</v>
      </c>
      <c r="K67" t="s">
        <v>73</v>
      </c>
      <c r="L67" t="s">
        <v>73</v>
      </c>
      <c r="M67" t="s">
        <v>73</v>
      </c>
      <c r="N67" t="s">
        <v>73</v>
      </c>
      <c r="O67" t="s">
        <v>73</v>
      </c>
      <c r="P67" t="s">
        <v>73</v>
      </c>
      <c r="Q67" t="s">
        <v>73</v>
      </c>
      <c r="R67" t="s">
        <v>73</v>
      </c>
      <c r="S67" t="s">
        <v>73</v>
      </c>
      <c r="T67" t="s">
        <v>73</v>
      </c>
      <c r="U67" t="s">
        <v>73</v>
      </c>
      <c r="V67" t="s">
        <v>73</v>
      </c>
      <c r="W67" t="s">
        <v>73</v>
      </c>
      <c r="X67" t="s">
        <v>73</v>
      </c>
      <c r="Y67" t="s">
        <v>73</v>
      </c>
      <c r="Z67" t="s">
        <v>73</v>
      </c>
      <c r="AA67" t="s">
        <v>73</v>
      </c>
      <c r="AB67" t="s">
        <v>73</v>
      </c>
      <c r="AC67" t="s">
        <v>73</v>
      </c>
      <c r="AD67" t="s">
        <v>73</v>
      </c>
    </row>
    <row r="68" spans="1:30" x14ac:dyDescent="0.3">
      <c r="A68" t="s">
        <v>562</v>
      </c>
      <c r="B68" s="5" t="s">
        <v>563</v>
      </c>
      <c r="C68" t="s">
        <v>185</v>
      </c>
      <c r="D68" s="5" t="s">
        <v>186</v>
      </c>
      <c r="E68" t="s">
        <v>73</v>
      </c>
      <c r="F68" t="s">
        <v>73</v>
      </c>
      <c r="G68" t="s">
        <v>73</v>
      </c>
      <c r="H68" t="s">
        <v>73</v>
      </c>
      <c r="I68" t="s">
        <v>73</v>
      </c>
      <c r="J68" t="s">
        <v>73</v>
      </c>
      <c r="K68" t="s">
        <v>73</v>
      </c>
      <c r="L68" t="s">
        <v>73</v>
      </c>
      <c r="M68" t="s">
        <v>73</v>
      </c>
      <c r="N68" t="s">
        <v>73</v>
      </c>
      <c r="O68" t="s">
        <v>73</v>
      </c>
      <c r="P68" t="s">
        <v>73</v>
      </c>
      <c r="Q68" t="s">
        <v>73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73</v>
      </c>
      <c r="X68" t="s">
        <v>73</v>
      </c>
      <c r="Y68" t="s">
        <v>73</v>
      </c>
      <c r="Z68" t="s">
        <v>73</v>
      </c>
      <c r="AA68" t="s">
        <v>73</v>
      </c>
      <c r="AB68" t="s">
        <v>73</v>
      </c>
      <c r="AC68" t="s">
        <v>73</v>
      </c>
      <c r="AD68" t="s">
        <v>73</v>
      </c>
    </row>
    <row r="69" spans="1:30" x14ac:dyDescent="0.3">
      <c r="A69" t="s">
        <v>562</v>
      </c>
      <c r="B69" s="5" t="s">
        <v>563</v>
      </c>
      <c r="C69" t="s">
        <v>18</v>
      </c>
      <c r="D69" s="5" t="s">
        <v>187</v>
      </c>
      <c r="E69">
        <v>1.6000000000000001E-3</v>
      </c>
      <c r="F69">
        <v>1.6000000000000001E-3</v>
      </c>
      <c r="G69">
        <v>1.6000000000000001E-3</v>
      </c>
      <c r="H69">
        <v>1.6000000000000001E-3</v>
      </c>
      <c r="I69">
        <v>1.6000000000000001E-3</v>
      </c>
      <c r="J69">
        <v>1.6000000000000001E-3</v>
      </c>
      <c r="K69">
        <v>3.0999999999999999E-3</v>
      </c>
      <c r="L69">
        <v>3.0999999999999999E-3</v>
      </c>
      <c r="M69">
        <v>0</v>
      </c>
      <c r="N69">
        <v>1.6000000000000001E-3</v>
      </c>
      <c r="O69">
        <v>3.0999999999999999E-3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73</v>
      </c>
    </row>
    <row r="70" spans="1:30" x14ac:dyDescent="0.3">
      <c r="A70" t="s">
        <v>562</v>
      </c>
      <c r="B70" s="5" t="s">
        <v>563</v>
      </c>
      <c r="C70" t="s">
        <v>19</v>
      </c>
      <c r="D70" s="5" t="s">
        <v>188</v>
      </c>
      <c r="E70">
        <v>3.6665000000000001</v>
      </c>
      <c r="F70">
        <v>3.8549000000000002</v>
      </c>
      <c r="G70">
        <v>3.7583000000000002</v>
      </c>
      <c r="H70">
        <v>3.7924000000000002</v>
      </c>
      <c r="I70">
        <v>3.8014000000000001</v>
      </c>
      <c r="J70">
        <v>2.9853000000000001</v>
      </c>
      <c r="K70">
        <v>2.8081</v>
      </c>
      <c r="L70">
        <v>3.0596000000000001</v>
      </c>
      <c r="M70">
        <v>2.6953</v>
      </c>
      <c r="N70">
        <v>2.7469999999999999</v>
      </c>
      <c r="O70">
        <v>2.7610000000000001</v>
      </c>
      <c r="P70">
        <v>2.4005999999999998</v>
      </c>
      <c r="Q70">
        <v>2.7471000000000001</v>
      </c>
      <c r="R70">
        <v>2.6398999999999999</v>
      </c>
      <c r="S70">
        <v>2.5766</v>
      </c>
      <c r="T70">
        <v>2.7206999999999999</v>
      </c>
      <c r="U70">
        <v>2.7342</v>
      </c>
      <c r="V70">
        <v>2.6147</v>
      </c>
      <c r="W70">
        <v>2.4916999999999998</v>
      </c>
      <c r="X70">
        <v>2.5127999999999999</v>
      </c>
      <c r="Y70">
        <v>1.9241999999999999</v>
      </c>
      <c r="Z70">
        <v>2.0379999999999998</v>
      </c>
      <c r="AA70">
        <v>1.9056</v>
      </c>
      <c r="AB70">
        <v>1.9311</v>
      </c>
      <c r="AC70">
        <v>1.9573</v>
      </c>
      <c r="AD70" t="s">
        <v>73</v>
      </c>
    </row>
    <row r="71" spans="1:30" x14ac:dyDescent="0.3">
      <c r="A71" t="s">
        <v>562</v>
      </c>
      <c r="B71" s="5" t="s">
        <v>563</v>
      </c>
      <c r="C71" t="s">
        <v>189</v>
      </c>
      <c r="D71" s="5" t="s">
        <v>190</v>
      </c>
      <c r="E71" t="s">
        <v>73</v>
      </c>
      <c r="F71" t="s">
        <v>73</v>
      </c>
      <c r="G71" t="s">
        <v>73</v>
      </c>
      <c r="H71" t="s">
        <v>73</v>
      </c>
      <c r="I71" t="s">
        <v>73</v>
      </c>
      <c r="J71" t="s">
        <v>73</v>
      </c>
      <c r="K71" t="s">
        <v>73</v>
      </c>
      <c r="L71" t="s">
        <v>73</v>
      </c>
      <c r="M71" t="s">
        <v>73</v>
      </c>
      <c r="N71" t="s">
        <v>73</v>
      </c>
      <c r="O71" t="s">
        <v>73</v>
      </c>
      <c r="P71" t="s">
        <v>73</v>
      </c>
      <c r="Q71" t="s">
        <v>73</v>
      </c>
      <c r="R71" t="s">
        <v>73</v>
      </c>
      <c r="S71" t="s">
        <v>73</v>
      </c>
      <c r="T71" t="s">
        <v>73</v>
      </c>
      <c r="U71" t="s">
        <v>73</v>
      </c>
      <c r="V71" t="s">
        <v>73</v>
      </c>
      <c r="W71" t="s">
        <v>73</v>
      </c>
      <c r="X71" t="s">
        <v>73</v>
      </c>
      <c r="Y71" t="s">
        <v>73</v>
      </c>
      <c r="Z71" t="s">
        <v>73</v>
      </c>
      <c r="AA71" t="s">
        <v>73</v>
      </c>
      <c r="AB71" t="s">
        <v>73</v>
      </c>
      <c r="AC71" t="s">
        <v>73</v>
      </c>
      <c r="AD71" t="s">
        <v>73</v>
      </c>
    </row>
    <row r="72" spans="1:30" x14ac:dyDescent="0.3">
      <c r="A72" t="s">
        <v>562</v>
      </c>
      <c r="B72" s="5" t="s">
        <v>563</v>
      </c>
      <c r="C72" t="s">
        <v>191</v>
      </c>
      <c r="D72" s="5" t="s">
        <v>192</v>
      </c>
      <c r="E72" t="s">
        <v>73</v>
      </c>
      <c r="F72" t="s">
        <v>73</v>
      </c>
      <c r="G72" t="s">
        <v>73</v>
      </c>
      <c r="H72" t="s">
        <v>73</v>
      </c>
      <c r="I72" t="s">
        <v>73</v>
      </c>
      <c r="J72" t="s">
        <v>73</v>
      </c>
      <c r="K72" t="s">
        <v>73</v>
      </c>
      <c r="L72" t="s">
        <v>73</v>
      </c>
      <c r="M72" t="s">
        <v>73</v>
      </c>
      <c r="N72" t="s">
        <v>73</v>
      </c>
      <c r="O72" t="s">
        <v>73</v>
      </c>
      <c r="P72" t="s">
        <v>73</v>
      </c>
      <c r="Q72" t="s">
        <v>73</v>
      </c>
      <c r="R72" t="s">
        <v>73</v>
      </c>
      <c r="S72" t="s">
        <v>73</v>
      </c>
      <c r="T72" t="s">
        <v>73</v>
      </c>
      <c r="U72" t="s">
        <v>73</v>
      </c>
      <c r="V72" t="s">
        <v>73</v>
      </c>
      <c r="W72" t="s">
        <v>73</v>
      </c>
      <c r="X72" t="s">
        <v>73</v>
      </c>
      <c r="Y72" t="s">
        <v>73</v>
      </c>
      <c r="Z72" t="s">
        <v>73</v>
      </c>
      <c r="AA72" t="s">
        <v>73</v>
      </c>
      <c r="AB72" t="s">
        <v>73</v>
      </c>
      <c r="AC72" t="s">
        <v>73</v>
      </c>
      <c r="AD72" t="s">
        <v>73</v>
      </c>
    </row>
    <row r="73" spans="1:30" x14ac:dyDescent="0.3">
      <c r="A73" t="s">
        <v>562</v>
      </c>
      <c r="B73" s="5" t="s">
        <v>563</v>
      </c>
      <c r="C73" t="s">
        <v>193</v>
      </c>
      <c r="D73" s="5" t="s">
        <v>194</v>
      </c>
      <c r="E73" t="s">
        <v>73</v>
      </c>
      <c r="F73" t="s">
        <v>73</v>
      </c>
      <c r="G73" t="s">
        <v>73</v>
      </c>
      <c r="H73" t="s">
        <v>73</v>
      </c>
      <c r="I73" t="s">
        <v>73</v>
      </c>
      <c r="J73" t="s">
        <v>73</v>
      </c>
      <c r="K73" t="s">
        <v>73</v>
      </c>
      <c r="L73" t="s">
        <v>73</v>
      </c>
      <c r="M73" t="s">
        <v>73</v>
      </c>
      <c r="N73" t="s">
        <v>73</v>
      </c>
      <c r="O73" t="s">
        <v>73</v>
      </c>
      <c r="P73" t="s">
        <v>73</v>
      </c>
      <c r="Q73" t="s">
        <v>73</v>
      </c>
      <c r="R73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73</v>
      </c>
      <c r="X73" t="s">
        <v>73</v>
      </c>
      <c r="Y73" t="s">
        <v>73</v>
      </c>
      <c r="Z73" t="s">
        <v>73</v>
      </c>
      <c r="AA73" t="s">
        <v>73</v>
      </c>
      <c r="AB73" t="s">
        <v>73</v>
      </c>
      <c r="AC73" t="s">
        <v>73</v>
      </c>
      <c r="AD73" t="s">
        <v>73</v>
      </c>
    </row>
    <row r="74" spans="1:30" x14ac:dyDescent="0.3">
      <c r="A74" t="s">
        <v>562</v>
      </c>
      <c r="B74" s="5" t="s">
        <v>563</v>
      </c>
      <c r="C74" t="s">
        <v>195</v>
      </c>
      <c r="D74" s="5" t="s">
        <v>196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9.9900000000000003E-2</v>
      </c>
      <c r="O74">
        <v>7.8600000000000003E-2</v>
      </c>
      <c r="P74">
        <v>8.4900000000000003E-2</v>
      </c>
      <c r="Q74">
        <v>9.9900000000000003E-2</v>
      </c>
      <c r="R74">
        <v>6.9099999999999995E-2</v>
      </c>
      <c r="S74">
        <v>7.6899999999999996E-2</v>
      </c>
      <c r="T74">
        <v>5.6399999999999999E-2</v>
      </c>
      <c r="U74">
        <v>5.7700000000000001E-2</v>
      </c>
      <c r="V74">
        <v>6.4799999999999996E-2</v>
      </c>
      <c r="W74">
        <v>7.1900000000000006E-2</v>
      </c>
      <c r="X74">
        <v>7.2499999999999995E-2</v>
      </c>
      <c r="Y74">
        <v>0.10299999999999999</v>
      </c>
      <c r="Z74">
        <v>8.4099999999999994E-2</v>
      </c>
      <c r="AA74">
        <v>8.6400000000000005E-2</v>
      </c>
      <c r="AB74">
        <v>8.7400000000000005E-2</v>
      </c>
      <c r="AC74">
        <v>8.8499999999999995E-2</v>
      </c>
      <c r="AD74" t="s">
        <v>73</v>
      </c>
    </row>
    <row r="75" spans="1:30" x14ac:dyDescent="0.3">
      <c r="A75" t="s">
        <v>562</v>
      </c>
      <c r="B75" s="5" t="s">
        <v>563</v>
      </c>
      <c r="C75" t="s">
        <v>20</v>
      </c>
      <c r="D75" s="5" t="s">
        <v>197</v>
      </c>
      <c r="E75">
        <v>0.45889999999999997</v>
      </c>
      <c r="F75">
        <v>0.44469999999999998</v>
      </c>
      <c r="G75">
        <v>0.44790000000000002</v>
      </c>
      <c r="H75">
        <v>0.48399999999999999</v>
      </c>
      <c r="I75">
        <v>1.2426999999999999</v>
      </c>
      <c r="J75">
        <v>1.2850999999999999</v>
      </c>
      <c r="K75">
        <v>0.82879999999999998</v>
      </c>
      <c r="L75">
        <v>0.874</v>
      </c>
      <c r="M75">
        <v>1.0092000000000001</v>
      </c>
      <c r="N75">
        <v>0.83289999999999997</v>
      </c>
      <c r="O75">
        <v>1.0643</v>
      </c>
      <c r="P75">
        <v>1.08</v>
      </c>
      <c r="Q75">
        <v>1.0599000000000001</v>
      </c>
      <c r="R75">
        <v>1.1040000000000001</v>
      </c>
      <c r="S75">
        <v>1.1969000000000001</v>
      </c>
      <c r="T75">
        <v>1.2637</v>
      </c>
      <c r="U75">
        <v>1.1919999999999999</v>
      </c>
      <c r="V75">
        <v>1.2335</v>
      </c>
      <c r="W75">
        <v>0.88560000000000005</v>
      </c>
      <c r="X75">
        <v>0.84019999999999995</v>
      </c>
      <c r="Y75">
        <v>0.73429999999999995</v>
      </c>
      <c r="Z75">
        <v>0.63119999999999998</v>
      </c>
      <c r="AA75">
        <v>0.68079999999999996</v>
      </c>
      <c r="AB75">
        <v>0.65110000000000001</v>
      </c>
      <c r="AC75">
        <v>0.62170000000000003</v>
      </c>
      <c r="AD75" t="s">
        <v>73</v>
      </c>
    </row>
    <row r="76" spans="1:30" x14ac:dyDescent="0.3">
      <c r="A76" t="s">
        <v>562</v>
      </c>
      <c r="B76" s="5" t="s">
        <v>563</v>
      </c>
      <c r="C76" t="s">
        <v>198</v>
      </c>
      <c r="D76" s="5" t="s">
        <v>199</v>
      </c>
      <c r="E76" t="s">
        <v>73</v>
      </c>
      <c r="F76" t="s">
        <v>73</v>
      </c>
      <c r="G76" t="s">
        <v>73</v>
      </c>
      <c r="H76" t="s">
        <v>73</v>
      </c>
      <c r="I76" t="s">
        <v>73</v>
      </c>
      <c r="J76" t="s">
        <v>73</v>
      </c>
      <c r="K76" t="s">
        <v>73</v>
      </c>
      <c r="L76" t="s">
        <v>73</v>
      </c>
      <c r="M76" t="s">
        <v>73</v>
      </c>
      <c r="N76" t="s">
        <v>73</v>
      </c>
      <c r="O76" t="s">
        <v>73</v>
      </c>
      <c r="P76" t="s">
        <v>73</v>
      </c>
      <c r="Q76" t="s">
        <v>73</v>
      </c>
      <c r="R76" t="s">
        <v>73</v>
      </c>
      <c r="S76" t="s">
        <v>73</v>
      </c>
      <c r="T76" t="s">
        <v>73</v>
      </c>
      <c r="U76" t="s">
        <v>73</v>
      </c>
      <c r="V76" t="s">
        <v>73</v>
      </c>
      <c r="W76" t="s">
        <v>73</v>
      </c>
      <c r="X76" t="s">
        <v>73</v>
      </c>
      <c r="Y76" t="s">
        <v>73</v>
      </c>
      <c r="Z76" t="s">
        <v>73</v>
      </c>
      <c r="AA76" t="s">
        <v>73</v>
      </c>
      <c r="AB76" t="s">
        <v>73</v>
      </c>
      <c r="AC76" t="s">
        <v>73</v>
      </c>
      <c r="AD76" t="s">
        <v>73</v>
      </c>
    </row>
    <row r="77" spans="1:30" x14ac:dyDescent="0.3">
      <c r="A77" t="s">
        <v>562</v>
      </c>
      <c r="B77" s="5" t="s">
        <v>563</v>
      </c>
      <c r="C77" t="s">
        <v>200</v>
      </c>
      <c r="D77" s="5" t="s">
        <v>201</v>
      </c>
      <c r="E77" t="s">
        <v>73</v>
      </c>
      <c r="F77" t="s">
        <v>73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  <c r="L77" t="s">
        <v>73</v>
      </c>
      <c r="M77" t="s">
        <v>73</v>
      </c>
      <c r="N77" t="s">
        <v>73</v>
      </c>
      <c r="O77" t="s">
        <v>73</v>
      </c>
      <c r="P77" t="s">
        <v>73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73</v>
      </c>
      <c r="X77" t="s">
        <v>73</v>
      </c>
      <c r="Y77" t="s">
        <v>73</v>
      </c>
      <c r="Z77" t="s">
        <v>73</v>
      </c>
      <c r="AA77" t="s">
        <v>73</v>
      </c>
      <c r="AB77" t="s">
        <v>73</v>
      </c>
      <c r="AC77" t="s">
        <v>73</v>
      </c>
      <c r="AD77" t="s">
        <v>73</v>
      </c>
    </row>
    <row r="78" spans="1:30" x14ac:dyDescent="0.3">
      <c r="A78" t="s">
        <v>562</v>
      </c>
      <c r="B78" s="5" t="s">
        <v>563</v>
      </c>
      <c r="C78" t="s">
        <v>21</v>
      </c>
      <c r="D78" s="5" t="s">
        <v>202</v>
      </c>
      <c r="E78">
        <v>0.37190000000000001</v>
      </c>
      <c r="F78">
        <v>0.33939999999999998</v>
      </c>
      <c r="G78">
        <v>0.33</v>
      </c>
      <c r="H78">
        <v>0.33310000000000001</v>
      </c>
      <c r="I78">
        <v>0.29859999999999998</v>
      </c>
      <c r="J78">
        <v>0.29859999999999998</v>
      </c>
      <c r="K78">
        <v>0.253</v>
      </c>
      <c r="L78">
        <v>0.24199999999999999</v>
      </c>
      <c r="M78">
        <v>0.14460000000000001</v>
      </c>
      <c r="N78">
        <v>0.1933</v>
      </c>
      <c r="O78">
        <v>0.24199999999999999</v>
      </c>
      <c r="P78">
        <v>0.20169999999999999</v>
      </c>
      <c r="Q78">
        <v>0.1938</v>
      </c>
      <c r="R78">
        <v>0.17730000000000001</v>
      </c>
      <c r="S78">
        <v>0.1966</v>
      </c>
      <c r="T78">
        <v>0.20150000000000001</v>
      </c>
      <c r="U78">
        <v>0.2056</v>
      </c>
      <c r="V78">
        <v>0.21110000000000001</v>
      </c>
      <c r="W78">
        <v>0.1875</v>
      </c>
      <c r="X78">
        <v>0.19189999999999999</v>
      </c>
      <c r="Y78">
        <v>0.19350000000000001</v>
      </c>
      <c r="Z78">
        <v>0.14799999999999999</v>
      </c>
      <c r="AA78">
        <v>0.17030000000000001</v>
      </c>
      <c r="AB78">
        <v>0.16800000000000001</v>
      </c>
      <c r="AC78">
        <v>0.16900000000000001</v>
      </c>
      <c r="AD78" t="s">
        <v>73</v>
      </c>
    </row>
    <row r="79" spans="1:30" x14ac:dyDescent="0.3">
      <c r="A79" t="s">
        <v>562</v>
      </c>
      <c r="B79" s="5" t="s">
        <v>563</v>
      </c>
      <c r="C79" t="s">
        <v>203</v>
      </c>
      <c r="D79" s="5" t="s">
        <v>204</v>
      </c>
      <c r="E79" t="s">
        <v>73</v>
      </c>
      <c r="F79" t="s">
        <v>73</v>
      </c>
      <c r="G79" t="s">
        <v>73</v>
      </c>
      <c r="H79" t="s">
        <v>73</v>
      </c>
      <c r="I79" t="s">
        <v>73</v>
      </c>
      <c r="J79" t="s">
        <v>73</v>
      </c>
      <c r="K79" t="s">
        <v>73</v>
      </c>
      <c r="L79" t="s">
        <v>73</v>
      </c>
      <c r="M79" t="s">
        <v>73</v>
      </c>
      <c r="N79" t="s">
        <v>73</v>
      </c>
      <c r="O79" t="s">
        <v>73</v>
      </c>
      <c r="P79" t="s">
        <v>73</v>
      </c>
      <c r="Q79" t="s">
        <v>73</v>
      </c>
      <c r="R79" t="s">
        <v>73</v>
      </c>
      <c r="S79" t="s">
        <v>73</v>
      </c>
      <c r="T79" t="s">
        <v>73</v>
      </c>
      <c r="U79" t="s">
        <v>73</v>
      </c>
      <c r="V79" t="s">
        <v>73</v>
      </c>
      <c r="W79" t="s">
        <v>73</v>
      </c>
      <c r="X79" t="s">
        <v>73</v>
      </c>
      <c r="Y79" t="s">
        <v>73</v>
      </c>
      <c r="Z79" t="s">
        <v>73</v>
      </c>
      <c r="AA79" t="s">
        <v>73</v>
      </c>
      <c r="AB79" t="s">
        <v>73</v>
      </c>
      <c r="AC79" t="s">
        <v>73</v>
      </c>
      <c r="AD79" t="s">
        <v>73</v>
      </c>
    </row>
    <row r="80" spans="1:30" x14ac:dyDescent="0.3">
      <c r="A80" t="s">
        <v>562</v>
      </c>
      <c r="B80" s="5" t="s">
        <v>563</v>
      </c>
      <c r="C80" t="s">
        <v>205</v>
      </c>
      <c r="D80" s="5" t="s">
        <v>206</v>
      </c>
      <c r="E80" t="s">
        <v>73</v>
      </c>
      <c r="F80" t="s">
        <v>73</v>
      </c>
      <c r="G80" t="s">
        <v>73</v>
      </c>
      <c r="H80" t="s">
        <v>73</v>
      </c>
      <c r="I80" t="s">
        <v>73</v>
      </c>
      <c r="J80" t="s">
        <v>73</v>
      </c>
      <c r="K80" t="s">
        <v>73</v>
      </c>
      <c r="L80" t="s">
        <v>73</v>
      </c>
      <c r="M80" t="s">
        <v>73</v>
      </c>
      <c r="N80" t="s">
        <v>73</v>
      </c>
      <c r="O80" t="s">
        <v>73</v>
      </c>
      <c r="P80" t="s">
        <v>73</v>
      </c>
      <c r="Q80" t="s">
        <v>73</v>
      </c>
      <c r="R80" t="s">
        <v>73</v>
      </c>
      <c r="S80" t="s">
        <v>73</v>
      </c>
      <c r="T80" t="s">
        <v>73</v>
      </c>
      <c r="U80" t="s">
        <v>73</v>
      </c>
      <c r="V80" t="s">
        <v>73</v>
      </c>
      <c r="W80" t="s">
        <v>73</v>
      </c>
      <c r="X80" t="s">
        <v>73</v>
      </c>
      <c r="Y80" t="s">
        <v>73</v>
      </c>
      <c r="Z80" t="s">
        <v>73</v>
      </c>
      <c r="AA80" t="s">
        <v>73</v>
      </c>
      <c r="AB80" t="s">
        <v>73</v>
      </c>
      <c r="AC80" t="s">
        <v>73</v>
      </c>
      <c r="AD80" t="s">
        <v>73</v>
      </c>
    </row>
    <row r="81" spans="1:30" x14ac:dyDescent="0.3">
      <c r="A81" t="s">
        <v>562</v>
      </c>
      <c r="B81" s="5" t="s">
        <v>563</v>
      </c>
      <c r="C81" t="s">
        <v>207</v>
      </c>
      <c r="D81" s="5" t="s">
        <v>208</v>
      </c>
      <c r="E81" t="s">
        <v>73</v>
      </c>
      <c r="F81" t="s">
        <v>73</v>
      </c>
      <c r="G81" t="s">
        <v>73</v>
      </c>
      <c r="H81" t="s">
        <v>73</v>
      </c>
      <c r="I81" t="s">
        <v>73</v>
      </c>
      <c r="J81" t="s">
        <v>73</v>
      </c>
      <c r="K81" t="s">
        <v>73</v>
      </c>
      <c r="L81" t="s">
        <v>73</v>
      </c>
      <c r="M81" t="s">
        <v>73</v>
      </c>
      <c r="N81" t="s">
        <v>73</v>
      </c>
      <c r="O81" t="s">
        <v>73</v>
      </c>
      <c r="P81" t="s">
        <v>73</v>
      </c>
      <c r="Q81" t="s">
        <v>73</v>
      </c>
      <c r="R81" t="s">
        <v>73</v>
      </c>
      <c r="S81" t="s">
        <v>73</v>
      </c>
      <c r="T81" t="s">
        <v>73</v>
      </c>
      <c r="U81" t="s">
        <v>73</v>
      </c>
      <c r="V81" t="s">
        <v>73</v>
      </c>
      <c r="W81" t="s">
        <v>73</v>
      </c>
      <c r="X81" t="s">
        <v>73</v>
      </c>
      <c r="Y81" t="s">
        <v>73</v>
      </c>
      <c r="Z81" t="s">
        <v>73</v>
      </c>
      <c r="AA81" t="s">
        <v>73</v>
      </c>
      <c r="AB81" t="s">
        <v>73</v>
      </c>
      <c r="AC81" t="s">
        <v>73</v>
      </c>
      <c r="AD81" t="s">
        <v>73</v>
      </c>
    </row>
    <row r="82" spans="1:30" x14ac:dyDescent="0.3">
      <c r="A82" t="s">
        <v>562</v>
      </c>
      <c r="B82" s="5" t="s">
        <v>563</v>
      </c>
      <c r="C82" t="s">
        <v>209</v>
      </c>
      <c r="D82" s="5" t="s">
        <v>210</v>
      </c>
      <c r="E82">
        <v>0.25609999999999999</v>
      </c>
      <c r="F82">
        <v>0.20960000000000001</v>
      </c>
      <c r="G82">
        <v>0.16189999999999999</v>
      </c>
      <c r="H82">
        <v>9.9500000000000005E-2</v>
      </c>
      <c r="I82">
        <v>0.2104</v>
      </c>
      <c r="J82">
        <v>0.2072</v>
      </c>
      <c r="K82">
        <v>0.28589999999999999</v>
      </c>
      <c r="L82">
        <v>0.19489999999999999</v>
      </c>
      <c r="M82">
        <v>0.24299999999999999</v>
      </c>
      <c r="N82">
        <v>0.27210000000000001</v>
      </c>
      <c r="O82">
        <v>0.26050000000000001</v>
      </c>
      <c r="P82">
        <v>0.29089999999999999</v>
      </c>
      <c r="Q82">
        <v>0.33079999999999998</v>
      </c>
      <c r="R82">
        <v>0.38840000000000002</v>
      </c>
      <c r="S82">
        <v>0.41120000000000001</v>
      </c>
      <c r="T82">
        <v>0.34279999999999999</v>
      </c>
      <c r="U82">
        <v>0.3836</v>
      </c>
      <c r="V82">
        <v>0.40560000000000002</v>
      </c>
      <c r="W82">
        <v>0.4788</v>
      </c>
      <c r="X82">
        <v>0.44230000000000003</v>
      </c>
      <c r="Y82">
        <v>0.56840000000000002</v>
      </c>
      <c r="Z82">
        <v>0.43469999999999998</v>
      </c>
      <c r="AA82">
        <v>0.38030000000000003</v>
      </c>
      <c r="AB82">
        <v>0.38490000000000002</v>
      </c>
      <c r="AC82">
        <v>0.38950000000000001</v>
      </c>
      <c r="AD82" t="s">
        <v>73</v>
      </c>
    </row>
    <row r="83" spans="1:30" x14ac:dyDescent="0.3">
      <c r="A83" t="s">
        <v>562</v>
      </c>
      <c r="B83" s="5" t="s">
        <v>563</v>
      </c>
      <c r="C83" t="s">
        <v>211</v>
      </c>
      <c r="D83" s="5" t="s">
        <v>212</v>
      </c>
      <c r="E83" t="s">
        <v>73</v>
      </c>
      <c r="F83" t="s">
        <v>73</v>
      </c>
      <c r="G83" t="s">
        <v>73</v>
      </c>
      <c r="H83" t="s">
        <v>73</v>
      </c>
      <c r="I83" t="s">
        <v>73</v>
      </c>
      <c r="J83" t="s">
        <v>73</v>
      </c>
      <c r="K83" t="s">
        <v>73</v>
      </c>
      <c r="L83" t="s">
        <v>73</v>
      </c>
      <c r="M83" t="s">
        <v>73</v>
      </c>
      <c r="N83" t="s">
        <v>73</v>
      </c>
      <c r="O83" t="s">
        <v>73</v>
      </c>
      <c r="P83" t="s">
        <v>73</v>
      </c>
      <c r="Q83" t="s">
        <v>73</v>
      </c>
      <c r="R83" t="s">
        <v>73</v>
      </c>
      <c r="S83" t="s">
        <v>73</v>
      </c>
      <c r="T83" t="s">
        <v>73</v>
      </c>
      <c r="U83" t="s">
        <v>73</v>
      </c>
      <c r="V83" t="s">
        <v>73</v>
      </c>
      <c r="W83" t="s">
        <v>73</v>
      </c>
      <c r="X83" t="s">
        <v>73</v>
      </c>
      <c r="Y83" t="s">
        <v>73</v>
      </c>
      <c r="Z83" t="s">
        <v>73</v>
      </c>
      <c r="AA83" t="s">
        <v>73</v>
      </c>
      <c r="AB83" t="s">
        <v>73</v>
      </c>
      <c r="AC83" t="s">
        <v>73</v>
      </c>
      <c r="AD83" t="s">
        <v>73</v>
      </c>
    </row>
    <row r="84" spans="1:30" x14ac:dyDescent="0.3">
      <c r="A84" t="s">
        <v>562</v>
      </c>
      <c r="B84" s="5" t="s">
        <v>563</v>
      </c>
      <c r="C84" t="s">
        <v>213</v>
      </c>
      <c r="D84" s="5" t="s">
        <v>214</v>
      </c>
      <c r="E84" t="s">
        <v>73</v>
      </c>
      <c r="F84" t="s">
        <v>73</v>
      </c>
      <c r="G84" t="s">
        <v>73</v>
      </c>
      <c r="H84" t="s">
        <v>73</v>
      </c>
      <c r="I84" t="s">
        <v>73</v>
      </c>
      <c r="J84" t="s">
        <v>73</v>
      </c>
      <c r="K84" t="s">
        <v>73</v>
      </c>
      <c r="L84" t="s">
        <v>73</v>
      </c>
      <c r="M84" t="s">
        <v>73</v>
      </c>
      <c r="N84" t="s">
        <v>73</v>
      </c>
      <c r="O84" t="s">
        <v>73</v>
      </c>
      <c r="P84" t="s">
        <v>73</v>
      </c>
      <c r="Q84" t="s">
        <v>73</v>
      </c>
      <c r="R84" t="s">
        <v>73</v>
      </c>
      <c r="S84" t="s">
        <v>73</v>
      </c>
      <c r="T84" t="s">
        <v>73</v>
      </c>
      <c r="U84" t="s">
        <v>73</v>
      </c>
      <c r="V84" t="s">
        <v>73</v>
      </c>
      <c r="W84" t="s">
        <v>73</v>
      </c>
      <c r="X84" t="s">
        <v>73</v>
      </c>
      <c r="Y84" t="s">
        <v>73</v>
      </c>
      <c r="Z84" t="s">
        <v>73</v>
      </c>
      <c r="AA84" t="s">
        <v>73</v>
      </c>
      <c r="AB84" t="s">
        <v>73</v>
      </c>
      <c r="AC84" t="s">
        <v>73</v>
      </c>
      <c r="AD84" t="s">
        <v>73</v>
      </c>
    </row>
    <row r="85" spans="1:30" x14ac:dyDescent="0.3">
      <c r="A85" t="s">
        <v>562</v>
      </c>
      <c r="B85" s="5" t="s">
        <v>563</v>
      </c>
      <c r="C85" t="s">
        <v>215</v>
      </c>
      <c r="D85" s="5" t="s">
        <v>216</v>
      </c>
      <c r="E85" t="s">
        <v>73</v>
      </c>
      <c r="F85" t="s">
        <v>73</v>
      </c>
      <c r="G85" t="s">
        <v>73</v>
      </c>
      <c r="H85" t="s">
        <v>73</v>
      </c>
      <c r="I85" t="s">
        <v>73</v>
      </c>
      <c r="J85" t="s">
        <v>73</v>
      </c>
      <c r="K85" t="s">
        <v>73</v>
      </c>
      <c r="L85" t="s">
        <v>73</v>
      </c>
      <c r="M85" t="s">
        <v>73</v>
      </c>
      <c r="N85" t="s">
        <v>73</v>
      </c>
      <c r="O85" t="s">
        <v>73</v>
      </c>
      <c r="P85" t="s">
        <v>73</v>
      </c>
      <c r="Q85" t="s">
        <v>73</v>
      </c>
      <c r="R85" t="s">
        <v>73</v>
      </c>
      <c r="S85" t="s">
        <v>73</v>
      </c>
      <c r="T85" t="s">
        <v>73</v>
      </c>
      <c r="U85" t="s">
        <v>73</v>
      </c>
      <c r="V85" t="s">
        <v>73</v>
      </c>
      <c r="W85" t="s">
        <v>73</v>
      </c>
      <c r="X85" t="s">
        <v>73</v>
      </c>
      <c r="Y85" t="s">
        <v>73</v>
      </c>
      <c r="Z85" t="s">
        <v>73</v>
      </c>
      <c r="AA85" t="s">
        <v>73</v>
      </c>
      <c r="AB85" t="s">
        <v>73</v>
      </c>
      <c r="AC85" t="s">
        <v>73</v>
      </c>
      <c r="AD85" t="s">
        <v>73</v>
      </c>
    </row>
    <row r="86" spans="1:30" x14ac:dyDescent="0.3">
      <c r="A86" t="s">
        <v>562</v>
      </c>
      <c r="B86" s="5" t="s">
        <v>563</v>
      </c>
      <c r="C86" t="s">
        <v>217</v>
      </c>
      <c r="D86" s="5" t="s">
        <v>218</v>
      </c>
      <c r="E86" t="s">
        <v>73</v>
      </c>
      <c r="F86" t="s">
        <v>73</v>
      </c>
      <c r="G86" t="s">
        <v>73</v>
      </c>
      <c r="H86" t="s">
        <v>73</v>
      </c>
      <c r="I86" t="s">
        <v>73</v>
      </c>
      <c r="J86" t="s">
        <v>73</v>
      </c>
      <c r="K86" t="s">
        <v>73</v>
      </c>
      <c r="L86" t="s">
        <v>73</v>
      </c>
      <c r="M86" t="s">
        <v>73</v>
      </c>
      <c r="N86" t="s">
        <v>73</v>
      </c>
      <c r="O86" t="s">
        <v>73</v>
      </c>
      <c r="P86" t="s">
        <v>73</v>
      </c>
      <c r="Q86" t="s">
        <v>73</v>
      </c>
      <c r="R86" t="s">
        <v>73</v>
      </c>
      <c r="S86" t="s">
        <v>73</v>
      </c>
      <c r="T86" t="s">
        <v>73</v>
      </c>
      <c r="U86" t="s">
        <v>73</v>
      </c>
      <c r="V86" t="s">
        <v>73</v>
      </c>
      <c r="W86" t="s">
        <v>73</v>
      </c>
      <c r="X86" t="s">
        <v>73</v>
      </c>
      <c r="Y86" t="s">
        <v>73</v>
      </c>
      <c r="Z86" t="s">
        <v>73</v>
      </c>
      <c r="AA86" t="s">
        <v>73</v>
      </c>
      <c r="AB86" t="s">
        <v>73</v>
      </c>
      <c r="AC86" t="s">
        <v>73</v>
      </c>
      <c r="AD86" t="s">
        <v>73</v>
      </c>
    </row>
    <row r="87" spans="1:30" x14ac:dyDescent="0.3">
      <c r="A87" t="s">
        <v>562</v>
      </c>
      <c r="B87" s="5" t="s">
        <v>563</v>
      </c>
      <c r="C87" t="s">
        <v>219</v>
      </c>
      <c r="D87" s="5" t="s">
        <v>220</v>
      </c>
      <c r="E87" t="s">
        <v>73</v>
      </c>
      <c r="F87" t="s">
        <v>73</v>
      </c>
      <c r="G87" t="s">
        <v>73</v>
      </c>
      <c r="H87" t="s">
        <v>73</v>
      </c>
      <c r="I87" t="s">
        <v>73</v>
      </c>
      <c r="J87" t="s">
        <v>73</v>
      </c>
      <c r="K87" t="s">
        <v>73</v>
      </c>
      <c r="L87" t="s">
        <v>73</v>
      </c>
      <c r="M87" t="s">
        <v>73</v>
      </c>
      <c r="N87" t="s">
        <v>73</v>
      </c>
      <c r="O87" t="s">
        <v>73</v>
      </c>
      <c r="P87" t="s">
        <v>73</v>
      </c>
      <c r="Q87" t="s">
        <v>73</v>
      </c>
      <c r="R87" t="s">
        <v>73</v>
      </c>
      <c r="S87" t="s">
        <v>73</v>
      </c>
      <c r="T87" t="s">
        <v>73</v>
      </c>
      <c r="U87" t="s">
        <v>73</v>
      </c>
      <c r="V87" t="s">
        <v>73</v>
      </c>
      <c r="W87" t="s">
        <v>73</v>
      </c>
      <c r="X87" t="s">
        <v>73</v>
      </c>
      <c r="Y87" t="s">
        <v>73</v>
      </c>
      <c r="Z87" t="s">
        <v>73</v>
      </c>
      <c r="AA87" t="s">
        <v>73</v>
      </c>
      <c r="AB87" t="s">
        <v>73</v>
      </c>
      <c r="AC87" t="s">
        <v>73</v>
      </c>
      <c r="AD87" t="s">
        <v>73</v>
      </c>
    </row>
    <row r="88" spans="1:30" x14ac:dyDescent="0.3">
      <c r="A88" t="s">
        <v>562</v>
      </c>
      <c r="B88" s="5" t="s">
        <v>563</v>
      </c>
      <c r="C88" t="s">
        <v>221</v>
      </c>
      <c r="D88" s="5" t="s">
        <v>222</v>
      </c>
      <c r="E88" t="s">
        <v>73</v>
      </c>
      <c r="F88" t="s">
        <v>73</v>
      </c>
      <c r="G88" t="s">
        <v>73</v>
      </c>
      <c r="H88" t="s">
        <v>73</v>
      </c>
      <c r="I88" t="s">
        <v>73</v>
      </c>
      <c r="J88" t="s">
        <v>73</v>
      </c>
      <c r="K88" t="s">
        <v>73</v>
      </c>
      <c r="L88" t="s">
        <v>73</v>
      </c>
      <c r="M88" t="s">
        <v>73</v>
      </c>
      <c r="N88" t="s">
        <v>73</v>
      </c>
      <c r="O88" t="s">
        <v>73</v>
      </c>
      <c r="P88" t="s">
        <v>73</v>
      </c>
      <c r="Q88" t="s">
        <v>73</v>
      </c>
      <c r="R88" t="s">
        <v>73</v>
      </c>
      <c r="S88" t="s">
        <v>73</v>
      </c>
      <c r="T88" t="s">
        <v>73</v>
      </c>
      <c r="U88" t="s">
        <v>73</v>
      </c>
      <c r="V88" t="s">
        <v>73</v>
      </c>
      <c r="W88" t="s">
        <v>73</v>
      </c>
      <c r="X88" t="s">
        <v>73</v>
      </c>
      <c r="Y88" t="s">
        <v>73</v>
      </c>
      <c r="Z88" t="s">
        <v>73</v>
      </c>
      <c r="AA88" t="s">
        <v>73</v>
      </c>
      <c r="AB88" t="s">
        <v>73</v>
      </c>
      <c r="AC88" t="s">
        <v>73</v>
      </c>
      <c r="AD88" t="s">
        <v>73</v>
      </c>
    </row>
    <row r="89" spans="1:30" x14ac:dyDescent="0.3">
      <c r="A89" t="s">
        <v>562</v>
      </c>
      <c r="B89" s="5" t="s">
        <v>563</v>
      </c>
      <c r="C89" t="s">
        <v>223</v>
      </c>
      <c r="D89" s="5" t="s">
        <v>224</v>
      </c>
      <c r="E89">
        <v>0.77939999999999998</v>
      </c>
      <c r="F89">
        <v>0.80930000000000002</v>
      </c>
      <c r="G89">
        <v>0.76060000000000005</v>
      </c>
      <c r="H89">
        <v>0.71970000000000001</v>
      </c>
      <c r="I89">
        <v>0.67679999999999996</v>
      </c>
      <c r="J89">
        <v>0.67259999999999998</v>
      </c>
      <c r="K89">
        <v>0.68720000000000003</v>
      </c>
      <c r="L89">
        <v>0.64900000000000002</v>
      </c>
      <c r="M89">
        <v>0.45989999999999998</v>
      </c>
      <c r="N89">
        <v>0.4662</v>
      </c>
      <c r="O89">
        <v>0.32600000000000001</v>
      </c>
      <c r="P89">
        <v>0.3473</v>
      </c>
      <c r="Q89">
        <v>0.3347</v>
      </c>
      <c r="R89">
        <v>0.34100000000000003</v>
      </c>
      <c r="S89">
        <v>0.29749999999999999</v>
      </c>
      <c r="T89">
        <v>0.21060000000000001</v>
      </c>
      <c r="U89">
        <v>0.15240000000000001</v>
      </c>
      <c r="V89">
        <v>0.1681</v>
      </c>
      <c r="W89">
        <v>0.17080000000000001</v>
      </c>
      <c r="X89">
        <v>0.16700000000000001</v>
      </c>
      <c r="Y89">
        <v>0.16089999999999999</v>
      </c>
      <c r="Z89">
        <v>0.14499999999999999</v>
      </c>
      <c r="AA89">
        <v>0.1036</v>
      </c>
      <c r="AB89">
        <v>0.1036</v>
      </c>
      <c r="AC89">
        <v>0.10199999999999999</v>
      </c>
      <c r="AD89" t="s">
        <v>73</v>
      </c>
    </row>
    <row r="90" spans="1:30" x14ac:dyDescent="0.3">
      <c r="A90" t="s">
        <v>562</v>
      </c>
      <c r="B90" s="5" t="s">
        <v>563</v>
      </c>
      <c r="C90" t="s">
        <v>225</v>
      </c>
      <c r="D90" s="5" t="s">
        <v>226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2.0000000000000001E-4</v>
      </c>
      <c r="V90">
        <v>0</v>
      </c>
      <c r="W90">
        <v>0</v>
      </c>
      <c r="X90">
        <v>0</v>
      </c>
      <c r="Y90">
        <v>0</v>
      </c>
      <c r="Z90">
        <v>5.9999999999999995E-4</v>
      </c>
      <c r="AA90">
        <v>6.9999999999999999E-4</v>
      </c>
      <c r="AB90">
        <v>8.0000000000000004E-4</v>
      </c>
      <c r="AC90">
        <v>8.9999999999999998E-4</v>
      </c>
      <c r="AD90" t="s">
        <v>73</v>
      </c>
    </row>
    <row r="91" spans="1:30" x14ac:dyDescent="0.3">
      <c r="A91" t="s">
        <v>562</v>
      </c>
      <c r="B91" s="5" t="s">
        <v>563</v>
      </c>
      <c r="C91" t="s">
        <v>22</v>
      </c>
      <c r="D91" s="5" t="s">
        <v>227</v>
      </c>
      <c r="E91">
        <v>16.884799999999998</v>
      </c>
      <c r="F91">
        <v>17.426300000000001</v>
      </c>
      <c r="G91">
        <v>16.0441</v>
      </c>
      <c r="H91">
        <v>17.107099999999999</v>
      </c>
      <c r="I91">
        <v>17.994900000000001</v>
      </c>
      <c r="J91">
        <v>19.412400000000002</v>
      </c>
      <c r="K91">
        <v>21.1051</v>
      </c>
      <c r="L91">
        <v>22.126799999999999</v>
      </c>
      <c r="M91">
        <v>23.2943</v>
      </c>
      <c r="N91">
        <v>23.8766</v>
      </c>
      <c r="O91">
        <v>25.241199999999999</v>
      </c>
      <c r="P91">
        <v>25.939299999999999</v>
      </c>
      <c r="Q91">
        <v>25.860199999999999</v>
      </c>
      <c r="R91">
        <v>25.558700000000002</v>
      </c>
      <c r="S91">
        <v>25.662400000000002</v>
      </c>
      <c r="T91">
        <v>26.160699999999999</v>
      </c>
      <c r="U91">
        <v>25.338799999999999</v>
      </c>
      <c r="V91">
        <v>25.857399999999998</v>
      </c>
      <c r="W91">
        <v>26.91</v>
      </c>
      <c r="X91">
        <v>29.193200000000001</v>
      </c>
      <c r="Y91">
        <v>30.969100000000001</v>
      </c>
      <c r="Z91">
        <v>29.244599999999998</v>
      </c>
      <c r="AA91">
        <v>30.768999999999998</v>
      </c>
      <c r="AB91">
        <v>31.920999999999999</v>
      </c>
      <c r="AC91">
        <v>32.791499999999999</v>
      </c>
      <c r="AD91" t="s">
        <v>73</v>
      </c>
    </row>
    <row r="92" spans="1:30" x14ac:dyDescent="0.3">
      <c r="A92" t="s">
        <v>562</v>
      </c>
      <c r="B92" s="5" t="s">
        <v>563</v>
      </c>
      <c r="C92" t="s">
        <v>23</v>
      </c>
      <c r="D92" s="5" t="s">
        <v>228</v>
      </c>
      <c r="E92">
        <v>3.5589</v>
      </c>
      <c r="F92">
        <v>3.5691999999999999</v>
      </c>
      <c r="G92">
        <v>3.9940000000000002</v>
      </c>
      <c r="H92">
        <v>4.1094999999999997</v>
      </c>
      <c r="I92">
        <v>4.3403</v>
      </c>
      <c r="J92">
        <v>4.5872999999999999</v>
      </c>
      <c r="K92">
        <v>4.2312000000000003</v>
      </c>
      <c r="L92">
        <v>4.5324999999999998</v>
      </c>
      <c r="M92">
        <v>4.7980999999999998</v>
      </c>
      <c r="N92">
        <v>5.8956999999999997</v>
      </c>
      <c r="O92">
        <v>5.3935000000000004</v>
      </c>
      <c r="P92">
        <v>5.0754999999999999</v>
      </c>
      <c r="Q92">
        <v>5.8411</v>
      </c>
      <c r="R92">
        <v>5.0164</v>
      </c>
      <c r="S92">
        <v>5.1607000000000003</v>
      </c>
      <c r="T92">
        <v>5.8387000000000002</v>
      </c>
      <c r="U92">
        <v>5.4363999999999999</v>
      </c>
      <c r="V92">
        <v>5.7918000000000003</v>
      </c>
      <c r="W92">
        <v>6.1571999999999996</v>
      </c>
      <c r="X92">
        <v>5.9428000000000001</v>
      </c>
      <c r="Y92">
        <v>5.5838000000000001</v>
      </c>
      <c r="Z92">
        <v>5.8428000000000004</v>
      </c>
      <c r="AA92">
        <v>4.8951000000000002</v>
      </c>
      <c r="AB92">
        <v>4.8246000000000002</v>
      </c>
      <c r="AC92">
        <v>4.7816000000000001</v>
      </c>
      <c r="AD92" t="s">
        <v>73</v>
      </c>
    </row>
    <row r="93" spans="1:30" x14ac:dyDescent="0.3">
      <c r="A93" t="s">
        <v>562</v>
      </c>
      <c r="B93" s="5" t="s">
        <v>563</v>
      </c>
      <c r="C93" t="s">
        <v>24</v>
      </c>
      <c r="D93" s="5" t="s">
        <v>229</v>
      </c>
      <c r="E93">
        <v>1.5406</v>
      </c>
      <c r="F93">
        <v>1.4957</v>
      </c>
      <c r="G93">
        <v>1.49</v>
      </c>
      <c r="H93">
        <v>1.5629999999999999</v>
      </c>
      <c r="I93">
        <v>1.7683</v>
      </c>
      <c r="J93">
        <v>1.5547</v>
      </c>
      <c r="K93">
        <v>1.8962000000000001</v>
      </c>
      <c r="L93">
        <v>1.6395</v>
      </c>
      <c r="M93">
        <v>1.8815</v>
      </c>
      <c r="N93">
        <v>1.7490000000000001</v>
      </c>
      <c r="O93">
        <v>1.8254999999999999</v>
      </c>
      <c r="P93">
        <v>1.4561999999999999</v>
      </c>
      <c r="Q93">
        <v>1.4976</v>
      </c>
      <c r="R93">
        <v>1.2628999999999999</v>
      </c>
      <c r="S93">
        <v>1.4278999999999999</v>
      </c>
      <c r="T93">
        <v>1.0666</v>
      </c>
      <c r="U93">
        <v>1.4067000000000001</v>
      </c>
      <c r="V93">
        <v>1.5361</v>
      </c>
      <c r="W93">
        <v>1.6365000000000001</v>
      </c>
      <c r="X93">
        <v>1.6267</v>
      </c>
      <c r="Y93">
        <v>1.6263000000000001</v>
      </c>
      <c r="Z93">
        <v>1.6054999999999999</v>
      </c>
      <c r="AA93">
        <v>1.5991</v>
      </c>
      <c r="AB93">
        <v>1.6233</v>
      </c>
      <c r="AC93">
        <v>1.6479999999999999</v>
      </c>
      <c r="AD93" t="s">
        <v>73</v>
      </c>
    </row>
    <row r="94" spans="1:30" x14ac:dyDescent="0.3">
      <c r="A94" t="s">
        <v>562</v>
      </c>
      <c r="B94" s="5" t="s">
        <v>563</v>
      </c>
      <c r="C94" t="s">
        <v>230</v>
      </c>
      <c r="D94" s="5" t="s">
        <v>231</v>
      </c>
      <c r="E94">
        <v>0.40310000000000001</v>
      </c>
      <c r="F94">
        <v>0.39250000000000002</v>
      </c>
      <c r="G94">
        <v>0.69020000000000004</v>
      </c>
      <c r="H94">
        <v>3.1800000000000002E-2</v>
      </c>
      <c r="I94">
        <v>5.4000000000000003E-3</v>
      </c>
      <c r="J94">
        <v>0.19620000000000001</v>
      </c>
      <c r="K94">
        <v>0.21909999999999999</v>
      </c>
      <c r="L94">
        <v>0.16769999999999999</v>
      </c>
      <c r="M94">
        <v>0.21690000000000001</v>
      </c>
      <c r="N94">
        <v>0.23569999999999999</v>
      </c>
      <c r="O94">
        <v>0.19139999999999999</v>
      </c>
      <c r="P94">
        <v>0.21310000000000001</v>
      </c>
      <c r="Q94">
        <v>0.24079999999999999</v>
      </c>
      <c r="R94">
        <v>0.30349999999999999</v>
      </c>
      <c r="S94">
        <v>0.33350000000000002</v>
      </c>
      <c r="T94">
        <v>0.28510000000000002</v>
      </c>
      <c r="U94">
        <v>0.39300000000000002</v>
      </c>
      <c r="V94">
        <v>0.25950000000000001</v>
      </c>
      <c r="W94">
        <v>0.34810000000000002</v>
      </c>
      <c r="X94">
        <v>0.35039999999999999</v>
      </c>
      <c r="Y94">
        <v>0.1244</v>
      </c>
      <c r="Z94">
        <v>0.1148</v>
      </c>
      <c r="AA94">
        <v>0.15559999999999999</v>
      </c>
      <c r="AB94">
        <v>0.13780000000000001</v>
      </c>
      <c r="AC94">
        <v>0.12280000000000001</v>
      </c>
      <c r="AD94" t="s">
        <v>73</v>
      </c>
    </row>
    <row r="95" spans="1:30" x14ac:dyDescent="0.3">
      <c r="A95" t="s">
        <v>562</v>
      </c>
      <c r="B95" s="5" t="s">
        <v>563</v>
      </c>
      <c r="C95" t="s">
        <v>25</v>
      </c>
      <c r="D95" s="5" t="s">
        <v>232</v>
      </c>
      <c r="E95">
        <v>0.1021</v>
      </c>
      <c r="F95">
        <v>9.11E-2</v>
      </c>
      <c r="G95">
        <v>9.11E-2</v>
      </c>
      <c r="H95">
        <v>0.1273</v>
      </c>
      <c r="I95">
        <v>8.4900000000000003E-2</v>
      </c>
      <c r="J95">
        <v>5.3400000000000003E-2</v>
      </c>
      <c r="K95">
        <v>7.9500000000000001E-2</v>
      </c>
      <c r="L95">
        <v>5.0900000000000001E-2</v>
      </c>
      <c r="M95">
        <v>8.9700000000000002E-2</v>
      </c>
      <c r="N95">
        <v>0.1142</v>
      </c>
      <c r="O95">
        <v>9.0700000000000003E-2</v>
      </c>
      <c r="P95">
        <v>0.1198</v>
      </c>
      <c r="Q95">
        <v>9.06E-2</v>
      </c>
      <c r="R95">
        <v>0.13569999999999999</v>
      </c>
      <c r="S95">
        <v>0.13550000000000001</v>
      </c>
      <c r="T95">
        <v>0.1532</v>
      </c>
      <c r="U95">
        <v>0.1515</v>
      </c>
      <c r="V95">
        <v>0.16700000000000001</v>
      </c>
      <c r="W95">
        <v>0.1648</v>
      </c>
      <c r="X95">
        <v>0.17380000000000001</v>
      </c>
      <c r="Y95">
        <v>0.18390000000000001</v>
      </c>
      <c r="Z95">
        <v>0.1731</v>
      </c>
      <c r="AA95">
        <v>0.1489</v>
      </c>
      <c r="AB95">
        <v>0.14879999999999999</v>
      </c>
      <c r="AC95">
        <v>0.1487</v>
      </c>
      <c r="AD95" t="s">
        <v>73</v>
      </c>
    </row>
    <row r="96" spans="1:30" x14ac:dyDescent="0.3">
      <c r="A96" t="s">
        <v>562</v>
      </c>
      <c r="B96" s="5" t="s">
        <v>563</v>
      </c>
      <c r="C96" t="s">
        <v>233</v>
      </c>
      <c r="D96" s="5" t="s">
        <v>234</v>
      </c>
      <c r="E96" t="s">
        <v>73</v>
      </c>
      <c r="F96" t="s">
        <v>73</v>
      </c>
      <c r="G96" t="s">
        <v>73</v>
      </c>
      <c r="H96" t="s">
        <v>73</v>
      </c>
      <c r="I96" t="s">
        <v>73</v>
      </c>
      <c r="J96" t="s">
        <v>73</v>
      </c>
      <c r="K96" t="s">
        <v>73</v>
      </c>
      <c r="L96" t="s">
        <v>73</v>
      </c>
      <c r="M96" t="s">
        <v>73</v>
      </c>
      <c r="N96" t="s">
        <v>73</v>
      </c>
      <c r="O96" t="s">
        <v>73</v>
      </c>
      <c r="P96" t="s">
        <v>73</v>
      </c>
      <c r="Q96" t="s">
        <v>73</v>
      </c>
      <c r="R96" t="s">
        <v>73</v>
      </c>
      <c r="S96" t="s">
        <v>73</v>
      </c>
      <c r="T96" t="s">
        <v>73</v>
      </c>
      <c r="U96" t="s">
        <v>73</v>
      </c>
      <c r="V96" t="s">
        <v>73</v>
      </c>
      <c r="W96" t="s">
        <v>73</v>
      </c>
      <c r="X96" t="s">
        <v>73</v>
      </c>
      <c r="Y96" t="s">
        <v>73</v>
      </c>
      <c r="Z96" t="s">
        <v>73</v>
      </c>
      <c r="AA96" t="s">
        <v>73</v>
      </c>
      <c r="AB96" t="s">
        <v>73</v>
      </c>
      <c r="AC96" t="s">
        <v>73</v>
      </c>
      <c r="AD96" t="s">
        <v>73</v>
      </c>
    </row>
    <row r="97" spans="1:30" x14ac:dyDescent="0.3">
      <c r="A97" t="s">
        <v>562</v>
      </c>
      <c r="B97" s="5" t="s">
        <v>563</v>
      </c>
      <c r="C97" t="s">
        <v>235</v>
      </c>
      <c r="D97" s="5" t="s">
        <v>236</v>
      </c>
      <c r="E97">
        <v>6.13E-2</v>
      </c>
      <c r="F97">
        <v>6.7400000000000002E-2</v>
      </c>
      <c r="G97">
        <v>6.88E-2</v>
      </c>
      <c r="H97">
        <v>7.7200000000000005E-2</v>
      </c>
      <c r="I97">
        <v>6.8000000000000005E-2</v>
      </c>
      <c r="J97">
        <v>3.0200000000000001E-2</v>
      </c>
      <c r="K97">
        <v>3.95E-2</v>
      </c>
      <c r="L97">
        <v>3.1300000000000001E-2</v>
      </c>
      <c r="M97">
        <v>3.2399999999999998E-2</v>
      </c>
      <c r="N97">
        <v>5.4800000000000001E-2</v>
      </c>
      <c r="O97">
        <v>3.6200000000000003E-2</v>
      </c>
      <c r="P97">
        <v>3.9800000000000002E-2</v>
      </c>
      <c r="Q97">
        <v>3.8300000000000001E-2</v>
      </c>
      <c r="R97">
        <v>3.4500000000000003E-2</v>
      </c>
      <c r="S97">
        <v>4.3499999999999997E-2</v>
      </c>
      <c r="T97">
        <v>5.4199999999999998E-2</v>
      </c>
      <c r="U97">
        <v>8.1100000000000005E-2</v>
      </c>
      <c r="V97">
        <v>6.2E-2</v>
      </c>
      <c r="W97">
        <v>6.54E-2</v>
      </c>
      <c r="X97">
        <v>4.5699999999999998E-2</v>
      </c>
      <c r="Y97">
        <v>6.5299999999999997E-2</v>
      </c>
      <c r="Z97">
        <v>7.17E-2</v>
      </c>
      <c r="AA97">
        <v>8.2400000000000001E-2</v>
      </c>
      <c r="AB97">
        <v>8.77E-2</v>
      </c>
      <c r="AC97">
        <v>9.3399999999999997E-2</v>
      </c>
      <c r="AD97" t="s">
        <v>73</v>
      </c>
    </row>
    <row r="98" spans="1:30" x14ac:dyDescent="0.3">
      <c r="A98" t="s">
        <v>562</v>
      </c>
      <c r="B98" s="5" t="s">
        <v>563</v>
      </c>
      <c r="C98" t="s">
        <v>26</v>
      </c>
      <c r="D98" s="5" t="s">
        <v>237</v>
      </c>
      <c r="E98">
        <v>1.2141999999999999</v>
      </c>
      <c r="F98">
        <v>1.2194</v>
      </c>
      <c r="G98">
        <v>1.1854</v>
      </c>
      <c r="H98">
        <v>1.1288</v>
      </c>
      <c r="I98">
        <v>0.96430000000000005</v>
      </c>
      <c r="J98">
        <v>0.92710000000000004</v>
      </c>
      <c r="K98">
        <v>0.93079999999999996</v>
      </c>
      <c r="L98">
        <v>0.96699999999999997</v>
      </c>
      <c r="M98">
        <v>0.81769999999999998</v>
      </c>
      <c r="N98">
        <v>0.87949999999999995</v>
      </c>
      <c r="O98">
        <v>0.93079999999999996</v>
      </c>
      <c r="P98">
        <v>0.83650000000000002</v>
      </c>
      <c r="Q98">
        <v>0.89939999999999998</v>
      </c>
      <c r="R98">
        <v>0.92500000000000004</v>
      </c>
      <c r="S98">
        <v>0.86899999999999999</v>
      </c>
      <c r="T98">
        <v>0.95330000000000004</v>
      </c>
      <c r="U98">
        <v>0.88470000000000004</v>
      </c>
      <c r="V98">
        <v>0.8821</v>
      </c>
      <c r="W98">
        <v>0.84179999999999999</v>
      </c>
      <c r="X98">
        <v>0.83550000000000002</v>
      </c>
      <c r="Y98">
        <v>0.90300000000000002</v>
      </c>
      <c r="Z98">
        <v>0.62109999999999999</v>
      </c>
      <c r="AA98">
        <v>0.61919999999999997</v>
      </c>
      <c r="AB98">
        <v>0.57289999999999996</v>
      </c>
      <c r="AC98">
        <v>0.53590000000000004</v>
      </c>
      <c r="AD98" t="s">
        <v>73</v>
      </c>
    </row>
    <row r="99" spans="1:30" x14ac:dyDescent="0.3">
      <c r="A99" t="s">
        <v>562</v>
      </c>
      <c r="B99" s="5" t="s">
        <v>563</v>
      </c>
      <c r="C99" t="s">
        <v>238</v>
      </c>
      <c r="D99" s="5" t="s">
        <v>239</v>
      </c>
      <c r="E99" t="s">
        <v>73</v>
      </c>
      <c r="F99" t="s">
        <v>73</v>
      </c>
      <c r="G99" t="s">
        <v>73</v>
      </c>
      <c r="H99" t="s">
        <v>73</v>
      </c>
      <c r="I99" t="s">
        <v>73</v>
      </c>
      <c r="J99" t="s">
        <v>73</v>
      </c>
      <c r="K99" t="s">
        <v>73</v>
      </c>
      <c r="L99" t="s">
        <v>73</v>
      </c>
      <c r="M99" t="s">
        <v>73</v>
      </c>
      <c r="N99" t="s">
        <v>73</v>
      </c>
      <c r="O99" t="s">
        <v>73</v>
      </c>
      <c r="P99" t="s">
        <v>73</v>
      </c>
      <c r="Q99" t="s">
        <v>73</v>
      </c>
      <c r="R99" t="s">
        <v>73</v>
      </c>
      <c r="S99" t="s">
        <v>73</v>
      </c>
      <c r="T99" t="s">
        <v>73</v>
      </c>
      <c r="U99" t="s">
        <v>73</v>
      </c>
      <c r="V99" t="s">
        <v>73</v>
      </c>
      <c r="W99" t="s">
        <v>73</v>
      </c>
      <c r="X99" t="s">
        <v>73</v>
      </c>
      <c r="Y99" t="s">
        <v>73</v>
      </c>
      <c r="Z99" t="s">
        <v>73</v>
      </c>
      <c r="AA99" t="s">
        <v>73</v>
      </c>
      <c r="AB99" t="s">
        <v>73</v>
      </c>
      <c r="AC99" t="s">
        <v>73</v>
      </c>
      <c r="AD99" t="s">
        <v>73</v>
      </c>
    </row>
    <row r="100" spans="1:30" x14ac:dyDescent="0.3">
      <c r="A100" t="s">
        <v>562</v>
      </c>
      <c r="B100" s="5" t="s">
        <v>563</v>
      </c>
      <c r="C100" t="s">
        <v>27</v>
      </c>
      <c r="D100" s="5" t="s">
        <v>240</v>
      </c>
      <c r="E100">
        <v>1.0471999999999999</v>
      </c>
      <c r="F100">
        <v>1.0795999999999999</v>
      </c>
      <c r="G100">
        <v>1.1503000000000001</v>
      </c>
      <c r="H100">
        <v>1.0531999999999999</v>
      </c>
      <c r="I100">
        <v>0.99970000000000003</v>
      </c>
      <c r="J100">
        <v>0.93810000000000004</v>
      </c>
      <c r="K100">
        <v>0.1152</v>
      </c>
      <c r="L100">
        <v>0.76659999999999995</v>
      </c>
      <c r="M100">
        <v>0.86619999999999997</v>
      </c>
      <c r="N100">
        <v>0.72419999999999995</v>
      </c>
      <c r="O100">
        <v>0.66310000000000002</v>
      </c>
      <c r="P100">
        <v>0.77829999999999999</v>
      </c>
      <c r="Q100">
        <v>0.72340000000000004</v>
      </c>
      <c r="R100">
        <v>0.7258</v>
      </c>
      <c r="S100">
        <v>0.66420000000000001</v>
      </c>
      <c r="T100">
        <v>0.63480000000000003</v>
      </c>
      <c r="U100">
        <v>0.68510000000000004</v>
      </c>
      <c r="V100">
        <v>0.66769999999999996</v>
      </c>
      <c r="W100">
        <v>0.63829999999999998</v>
      </c>
      <c r="X100">
        <v>0.61799999999999999</v>
      </c>
      <c r="Y100">
        <v>0.64290000000000003</v>
      </c>
      <c r="Z100">
        <v>0.61060000000000003</v>
      </c>
      <c r="AA100">
        <v>0.65720000000000001</v>
      </c>
      <c r="AB100">
        <v>0.63300000000000001</v>
      </c>
      <c r="AC100">
        <v>0.62649999999999995</v>
      </c>
      <c r="AD100" t="s">
        <v>73</v>
      </c>
    </row>
    <row r="101" spans="1:30" x14ac:dyDescent="0.3">
      <c r="A101" t="s">
        <v>562</v>
      </c>
      <c r="B101" s="5" t="s">
        <v>563</v>
      </c>
      <c r="C101" t="s">
        <v>241</v>
      </c>
      <c r="D101" s="5" t="s">
        <v>242</v>
      </c>
      <c r="E101">
        <v>2.1299999999999999E-2</v>
      </c>
      <c r="F101">
        <v>2.1299999999999999E-2</v>
      </c>
      <c r="G101">
        <v>8.6999999999999994E-3</v>
      </c>
      <c r="H101">
        <v>0.01</v>
      </c>
      <c r="I101">
        <v>1.1900000000000001E-2</v>
      </c>
      <c r="J101">
        <v>2.87E-2</v>
      </c>
      <c r="K101">
        <v>1.0800000000000001E-2</v>
      </c>
      <c r="L101">
        <v>1.26E-2</v>
      </c>
      <c r="M101">
        <v>1.8499999999999999E-2</v>
      </c>
      <c r="N101">
        <v>1.8100000000000002E-2</v>
      </c>
      <c r="O101">
        <v>2.1100000000000001E-2</v>
      </c>
      <c r="P101">
        <v>2.1100000000000001E-2</v>
      </c>
      <c r="Q101">
        <v>2.76E-2</v>
      </c>
      <c r="R101">
        <v>2.3900000000000001E-2</v>
      </c>
      <c r="S101">
        <v>2.4799999999999999E-2</v>
      </c>
      <c r="T101">
        <v>2.47E-2</v>
      </c>
      <c r="U101">
        <v>2.3699999999999999E-2</v>
      </c>
      <c r="V101">
        <v>2.1000000000000001E-2</v>
      </c>
      <c r="W101">
        <v>2.4799999999999999E-2</v>
      </c>
      <c r="X101">
        <v>2.8799999999999999E-2</v>
      </c>
      <c r="Y101">
        <v>2.1499999999999998E-2</v>
      </c>
      <c r="Z101">
        <v>1.4999999999999999E-2</v>
      </c>
      <c r="AA101">
        <v>2.3599999999999999E-2</v>
      </c>
      <c r="AB101">
        <v>2.3900000000000001E-2</v>
      </c>
      <c r="AC101">
        <v>2.4199999999999999E-2</v>
      </c>
      <c r="AD101" t="s">
        <v>73</v>
      </c>
    </row>
    <row r="102" spans="1:30" x14ac:dyDescent="0.3">
      <c r="A102" t="s">
        <v>562</v>
      </c>
      <c r="B102" s="5" t="s">
        <v>563</v>
      </c>
      <c r="C102" t="s">
        <v>243</v>
      </c>
      <c r="D102" s="5" t="s">
        <v>244</v>
      </c>
      <c r="E102">
        <v>8.7999999999999995E-2</v>
      </c>
      <c r="F102">
        <v>0.1226</v>
      </c>
      <c r="G102">
        <v>0.1414</v>
      </c>
      <c r="H102">
        <v>0.1414</v>
      </c>
      <c r="I102">
        <v>0.11940000000000001</v>
      </c>
      <c r="J102">
        <v>0.1226</v>
      </c>
      <c r="K102">
        <v>0.12889999999999999</v>
      </c>
      <c r="L102">
        <v>0.13489999999999999</v>
      </c>
      <c r="M102">
        <v>0.154</v>
      </c>
      <c r="N102">
        <v>0.154</v>
      </c>
      <c r="O102">
        <v>0.18540000000000001</v>
      </c>
      <c r="P102">
        <v>0.17910000000000001</v>
      </c>
      <c r="Q102">
        <v>0.1898</v>
      </c>
      <c r="R102">
        <v>0.1077</v>
      </c>
      <c r="S102">
        <v>0.2041</v>
      </c>
      <c r="T102">
        <v>0.2296</v>
      </c>
      <c r="U102">
        <v>0.29289999999999999</v>
      </c>
      <c r="V102">
        <v>0.2782</v>
      </c>
      <c r="W102">
        <v>0.31140000000000001</v>
      </c>
      <c r="X102">
        <v>0.2205</v>
      </c>
      <c r="Y102">
        <v>0.28789999999999999</v>
      </c>
      <c r="Z102">
        <v>0.2248</v>
      </c>
      <c r="AA102">
        <v>0.1943</v>
      </c>
      <c r="AB102">
        <v>0.19450000000000001</v>
      </c>
      <c r="AC102">
        <v>0.19550000000000001</v>
      </c>
      <c r="AD102" t="s">
        <v>73</v>
      </c>
    </row>
    <row r="103" spans="1:30" x14ac:dyDescent="0.3">
      <c r="A103" t="s">
        <v>562</v>
      </c>
      <c r="B103" s="5" t="s">
        <v>563</v>
      </c>
      <c r="C103" t="s">
        <v>245</v>
      </c>
      <c r="D103" s="5" t="s">
        <v>246</v>
      </c>
      <c r="E103">
        <v>8.6900000000000005E-2</v>
      </c>
      <c r="F103">
        <v>8.4000000000000005E-2</v>
      </c>
      <c r="G103">
        <v>7.2999999999999995E-2</v>
      </c>
      <c r="H103">
        <v>9.1200000000000003E-2</v>
      </c>
      <c r="I103">
        <v>0.10929999999999999</v>
      </c>
      <c r="J103">
        <v>9.3399999999999997E-2</v>
      </c>
      <c r="K103">
        <v>0.1197</v>
      </c>
      <c r="L103">
        <v>6.8400000000000002E-2</v>
      </c>
      <c r="M103">
        <v>0.10100000000000001</v>
      </c>
      <c r="N103">
        <v>6.6400000000000001E-2</v>
      </c>
      <c r="O103">
        <v>0.1115</v>
      </c>
      <c r="P103">
        <v>7.8700000000000006E-2</v>
      </c>
      <c r="Q103">
        <v>0.1065</v>
      </c>
      <c r="R103">
        <v>0.19139999999999999</v>
      </c>
      <c r="S103">
        <v>0.14199999999999999</v>
      </c>
      <c r="T103">
        <v>9.7000000000000003E-2</v>
      </c>
      <c r="U103">
        <v>0.15909999999999999</v>
      </c>
      <c r="V103">
        <v>0.14899999999999999</v>
      </c>
      <c r="W103">
        <v>0.14480000000000001</v>
      </c>
      <c r="X103">
        <v>0.1837</v>
      </c>
      <c r="Y103">
        <v>0.25119999999999998</v>
      </c>
      <c r="Z103">
        <v>0.19650000000000001</v>
      </c>
      <c r="AA103">
        <v>0.15890000000000001</v>
      </c>
      <c r="AB103">
        <v>0.1603</v>
      </c>
      <c r="AC103">
        <v>0.16170000000000001</v>
      </c>
      <c r="AD103" t="s">
        <v>73</v>
      </c>
    </row>
    <row r="104" spans="1:30" x14ac:dyDescent="0.3">
      <c r="A104" t="s">
        <v>562</v>
      </c>
      <c r="B104" s="5" t="s">
        <v>563</v>
      </c>
      <c r="C104" t="s">
        <v>247</v>
      </c>
      <c r="D104" s="5" t="s">
        <v>248</v>
      </c>
      <c r="E104" t="s">
        <v>73</v>
      </c>
      <c r="F104" t="s">
        <v>73</v>
      </c>
      <c r="G104" t="s">
        <v>73</v>
      </c>
      <c r="H104" t="s">
        <v>73</v>
      </c>
      <c r="I104" t="s">
        <v>73</v>
      </c>
      <c r="J104" t="s">
        <v>73</v>
      </c>
      <c r="K104" t="s">
        <v>73</v>
      </c>
      <c r="L104" t="s">
        <v>73</v>
      </c>
      <c r="M104" t="s">
        <v>73</v>
      </c>
      <c r="N104" t="s">
        <v>73</v>
      </c>
      <c r="O104" t="s">
        <v>73</v>
      </c>
      <c r="P104" t="s">
        <v>73</v>
      </c>
      <c r="Q104" t="s">
        <v>73</v>
      </c>
      <c r="R104" t="s">
        <v>73</v>
      </c>
      <c r="S104" t="s">
        <v>73</v>
      </c>
      <c r="T104" t="s">
        <v>73</v>
      </c>
      <c r="U104" t="s">
        <v>73</v>
      </c>
      <c r="V104" t="s">
        <v>73</v>
      </c>
      <c r="W104" t="s">
        <v>73</v>
      </c>
      <c r="X104" t="s">
        <v>73</v>
      </c>
      <c r="Y104" t="s">
        <v>73</v>
      </c>
      <c r="Z104" t="s">
        <v>73</v>
      </c>
      <c r="AA104" t="s">
        <v>73</v>
      </c>
      <c r="AB104" t="s">
        <v>73</v>
      </c>
      <c r="AC104" t="s">
        <v>73</v>
      </c>
      <c r="AD104" t="s">
        <v>73</v>
      </c>
    </row>
    <row r="105" spans="1:30" x14ac:dyDescent="0.3">
      <c r="A105" t="s">
        <v>562</v>
      </c>
      <c r="B105" s="5" t="s">
        <v>563</v>
      </c>
      <c r="C105" t="s">
        <v>249</v>
      </c>
      <c r="D105" s="5" t="s">
        <v>250</v>
      </c>
      <c r="E105">
        <v>0.27029999999999998</v>
      </c>
      <c r="F105">
        <v>0.2253</v>
      </c>
      <c r="G105">
        <v>0.2213</v>
      </c>
      <c r="H105">
        <v>0.2213</v>
      </c>
      <c r="I105">
        <v>0.2011</v>
      </c>
      <c r="J105">
        <v>0.16969999999999999</v>
      </c>
      <c r="K105">
        <v>0.2011</v>
      </c>
      <c r="L105">
        <v>0.22939999999999999</v>
      </c>
      <c r="M105">
        <v>0.1389</v>
      </c>
      <c r="N105">
        <v>0.121</v>
      </c>
      <c r="O105">
        <v>0.35139999999999999</v>
      </c>
      <c r="P105">
        <v>0.40860000000000002</v>
      </c>
      <c r="Q105">
        <v>0.35360000000000003</v>
      </c>
      <c r="R105">
        <v>0.2848</v>
      </c>
      <c r="S105">
        <v>0.2351</v>
      </c>
      <c r="T105">
        <v>0.158</v>
      </c>
      <c r="U105">
        <v>0.214</v>
      </c>
      <c r="V105">
        <v>0.20080000000000001</v>
      </c>
      <c r="W105">
        <v>0.29659999999999997</v>
      </c>
      <c r="X105">
        <v>0.11700000000000001</v>
      </c>
      <c r="Y105">
        <v>1.2699999999999999E-2</v>
      </c>
      <c r="Z105">
        <v>2.4400000000000002E-2</v>
      </c>
      <c r="AA105">
        <v>1.7399999999999999E-2</v>
      </c>
      <c r="AB105">
        <v>1.7299999999999999E-2</v>
      </c>
      <c r="AC105">
        <v>1.72E-2</v>
      </c>
      <c r="AD105" t="s">
        <v>73</v>
      </c>
    </row>
    <row r="106" spans="1:30" x14ac:dyDescent="0.3">
      <c r="A106" t="s">
        <v>562</v>
      </c>
      <c r="B106" s="5" t="s">
        <v>563</v>
      </c>
      <c r="C106" t="s">
        <v>34</v>
      </c>
      <c r="D106" s="5" t="s">
        <v>251</v>
      </c>
      <c r="E106">
        <v>0.2984</v>
      </c>
      <c r="F106">
        <v>0.3196</v>
      </c>
      <c r="G106">
        <v>0.21029999999999999</v>
      </c>
      <c r="H106">
        <v>0.20699999999999999</v>
      </c>
      <c r="I106">
        <v>0.26369999999999999</v>
      </c>
      <c r="J106">
        <v>0.20949999999999999</v>
      </c>
      <c r="K106">
        <v>0.18099999999999999</v>
      </c>
      <c r="L106">
        <v>0.17979999999999999</v>
      </c>
      <c r="M106">
        <v>0.1681</v>
      </c>
      <c r="N106">
        <v>0.1603</v>
      </c>
      <c r="O106">
        <v>0.15240000000000001</v>
      </c>
      <c r="P106">
        <v>0.1414</v>
      </c>
      <c r="Q106">
        <v>0.14460000000000001</v>
      </c>
      <c r="R106">
        <v>0.35349999999999998</v>
      </c>
      <c r="S106">
        <v>0.35099999999999998</v>
      </c>
      <c r="T106">
        <v>0.42299999999999999</v>
      </c>
      <c r="U106">
        <v>0.436</v>
      </c>
      <c r="V106">
        <v>0.41360000000000002</v>
      </c>
      <c r="W106">
        <v>0.159</v>
      </c>
      <c r="X106">
        <v>0.15359999999999999</v>
      </c>
      <c r="Y106">
        <v>0.14799999999999999</v>
      </c>
      <c r="Z106">
        <v>0.1641</v>
      </c>
      <c r="AA106">
        <v>0.13539999999999999</v>
      </c>
      <c r="AB106">
        <v>8.1199999999999994E-2</v>
      </c>
      <c r="AC106">
        <v>5.9400000000000001E-2</v>
      </c>
      <c r="AD106" t="s">
        <v>73</v>
      </c>
    </row>
    <row r="107" spans="1:30" x14ac:dyDescent="0.3">
      <c r="A107" t="s">
        <v>562</v>
      </c>
      <c r="B107" s="5" t="s">
        <v>563</v>
      </c>
      <c r="C107" t="s">
        <v>252</v>
      </c>
      <c r="D107" s="5" t="s">
        <v>253</v>
      </c>
      <c r="E107" t="s">
        <v>73</v>
      </c>
      <c r="F107" t="s">
        <v>73</v>
      </c>
      <c r="G107" t="s">
        <v>73</v>
      </c>
      <c r="H107" t="s">
        <v>73</v>
      </c>
      <c r="I107" t="s">
        <v>73</v>
      </c>
      <c r="J107" t="s">
        <v>73</v>
      </c>
      <c r="K107" t="s">
        <v>73</v>
      </c>
      <c r="L107" t="s">
        <v>73</v>
      </c>
      <c r="M107" t="s">
        <v>73</v>
      </c>
      <c r="N107" t="s">
        <v>73</v>
      </c>
      <c r="O107" t="s">
        <v>73</v>
      </c>
      <c r="P107" t="s">
        <v>73</v>
      </c>
      <c r="Q107" t="s">
        <v>73</v>
      </c>
      <c r="R107" t="s">
        <v>73</v>
      </c>
      <c r="S107" t="s">
        <v>73</v>
      </c>
      <c r="T107" t="s">
        <v>73</v>
      </c>
      <c r="U107" t="s">
        <v>73</v>
      </c>
      <c r="V107" t="s">
        <v>73</v>
      </c>
      <c r="W107" t="s">
        <v>73</v>
      </c>
      <c r="X107" t="s">
        <v>73</v>
      </c>
      <c r="Y107" t="s">
        <v>73</v>
      </c>
      <c r="Z107" t="s">
        <v>73</v>
      </c>
      <c r="AA107" t="s">
        <v>73</v>
      </c>
      <c r="AB107" t="s">
        <v>73</v>
      </c>
      <c r="AC107" t="s">
        <v>73</v>
      </c>
      <c r="AD107" t="s">
        <v>73</v>
      </c>
    </row>
    <row r="108" spans="1:30" x14ac:dyDescent="0.3">
      <c r="A108" t="s">
        <v>562</v>
      </c>
      <c r="B108" s="5" t="s">
        <v>563</v>
      </c>
      <c r="C108" t="s">
        <v>254</v>
      </c>
      <c r="D108" s="5" t="s">
        <v>255</v>
      </c>
      <c r="E108">
        <v>1.1000000000000001E-3</v>
      </c>
      <c r="F108">
        <v>3.8E-3</v>
      </c>
      <c r="G108">
        <v>1.6000000000000001E-3</v>
      </c>
      <c r="H108">
        <v>1.6000000000000001E-3</v>
      </c>
      <c r="I108">
        <v>1.6000000000000001E-3</v>
      </c>
      <c r="J108">
        <v>1.6000000000000001E-3</v>
      </c>
      <c r="K108">
        <v>1.6000000000000001E-3</v>
      </c>
      <c r="L108">
        <v>1.6000000000000001E-3</v>
      </c>
      <c r="M108">
        <v>1.6000000000000001E-3</v>
      </c>
      <c r="N108">
        <v>1.6000000000000001E-3</v>
      </c>
      <c r="O108">
        <v>1.6000000000000001E-3</v>
      </c>
      <c r="P108">
        <v>1.6000000000000001E-3</v>
      </c>
      <c r="Q108">
        <v>2.3999999999999998E-3</v>
      </c>
      <c r="R108">
        <v>3.0999999999999999E-3</v>
      </c>
      <c r="S108">
        <v>3.0999999999999999E-3</v>
      </c>
      <c r="T108">
        <v>3.0999999999999999E-3</v>
      </c>
      <c r="U108">
        <v>3.0999999999999999E-3</v>
      </c>
      <c r="V108">
        <v>3.0999999999999999E-3</v>
      </c>
      <c r="W108">
        <v>3.0999999999999999E-3</v>
      </c>
      <c r="X108">
        <v>3.0999999999999999E-3</v>
      </c>
      <c r="Y108">
        <v>4.0000000000000001E-3</v>
      </c>
      <c r="Z108">
        <v>3.0999999999999999E-3</v>
      </c>
      <c r="AA108">
        <v>3.0999999999999999E-3</v>
      </c>
      <c r="AB108">
        <v>3.0999999999999999E-3</v>
      </c>
      <c r="AC108">
        <v>3.0999999999999999E-3</v>
      </c>
      <c r="AD108" t="s">
        <v>73</v>
      </c>
    </row>
    <row r="109" spans="1:30" x14ac:dyDescent="0.3">
      <c r="A109" t="s">
        <v>562</v>
      </c>
      <c r="B109" s="5" t="s">
        <v>563</v>
      </c>
      <c r="C109" t="s">
        <v>256</v>
      </c>
      <c r="D109" s="5" t="s">
        <v>257</v>
      </c>
      <c r="E109">
        <v>8.7099999999999997E-2</v>
      </c>
      <c r="F109">
        <v>2.1999999999999999E-2</v>
      </c>
      <c r="G109">
        <v>2.1999999999999999E-2</v>
      </c>
      <c r="H109">
        <v>2.7E-2</v>
      </c>
      <c r="I109">
        <v>1.54E-2</v>
      </c>
      <c r="J109">
        <v>1.01E-2</v>
      </c>
      <c r="K109">
        <v>1.5100000000000001E-2</v>
      </c>
      <c r="L109">
        <v>6.0000000000000001E-3</v>
      </c>
      <c r="M109">
        <v>1.1900000000000001E-2</v>
      </c>
      <c r="N109">
        <v>8.7099999999999997E-2</v>
      </c>
      <c r="O109">
        <v>6.6900000000000001E-2</v>
      </c>
      <c r="P109">
        <v>9.2399999999999996E-2</v>
      </c>
      <c r="Q109">
        <v>0.10059999999999999</v>
      </c>
      <c r="R109">
        <v>8.9599999999999999E-2</v>
      </c>
      <c r="S109">
        <v>8.3900000000000002E-2</v>
      </c>
      <c r="T109">
        <v>3.5400000000000001E-2</v>
      </c>
      <c r="U109">
        <v>2.8500000000000001E-2</v>
      </c>
      <c r="V109">
        <v>0.1326</v>
      </c>
      <c r="W109">
        <v>0.11310000000000001</v>
      </c>
      <c r="X109">
        <v>0.1492</v>
      </c>
      <c r="Y109">
        <v>0.1026</v>
      </c>
      <c r="Z109">
        <v>0.12820000000000001</v>
      </c>
      <c r="AA109">
        <v>7.7499999999999999E-2</v>
      </c>
      <c r="AB109">
        <v>7.1400000000000005E-2</v>
      </c>
      <c r="AC109">
        <v>6.8400000000000002E-2</v>
      </c>
      <c r="AD109" t="s">
        <v>73</v>
      </c>
    </row>
    <row r="110" spans="1:30" x14ac:dyDescent="0.3">
      <c r="A110" t="s">
        <v>562</v>
      </c>
      <c r="B110" s="5" t="s">
        <v>563</v>
      </c>
      <c r="C110" t="s">
        <v>258</v>
      </c>
      <c r="D110" s="5" t="s">
        <v>259</v>
      </c>
      <c r="E110" t="s">
        <v>73</v>
      </c>
      <c r="F110" t="s">
        <v>73</v>
      </c>
      <c r="G110" t="s">
        <v>73</v>
      </c>
      <c r="H110" t="s">
        <v>73</v>
      </c>
      <c r="I110" t="s">
        <v>73</v>
      </c>
      <c r="J110" t="s">
        <v>73</v>
      </c>
      <c r="K110" t="s">
        <v>73</v>
      </c>
      <c r="L110" t="s">
        <v>73</v>
      </c>
      <c r="M110" t="s">
        <v>73</v>
      </c>
      <c r="N110" t="s">
        <v>73</v>
      </c>
      <c r="O110" t="s">
        <v>73</v>
      </c>
      <c r="P110" t="s">
        <v>73</v>
      </c>
      <c r="Q110" t="s">
        <v>73</v>
      </c>
      <c r="R110" t="s">
        <v>73</v>
      </c>
      <c r="S110" t="s">
        <v>73</v>
      </c>
      <c r="T110" t="s">
        <v>73</v>
      </c>
      <c r="U110" t="s">
        <v>73</v>
      </c>
      <c r="V110" t="s">
        <v>73</v>
      </c>
      <c r="W110" t="s">
        <v>73</v>
      </c>
      <c r="X110" t="s">
        <v>73</v>
      </c>
      <c r="Y110" t="s">
        <v>73</v>
      </c>
      <c r="Z110" t="s">
        <v>73</v>
      </c>
      <c r="AA110" t="s">
        <v>73</v>
      </c>
      <c r="AB110" t="s">
        <v>73</v>
      </c>
      <c r="AC110" t="s">
        <v>73</v>
      </c>
      <c r="AD110" t="s">
        <v>73</v>
      </c>
    </row>
    <row r="111" spans="1:30" x14ac:dyDescent="0.3">
      <c r="A111" t="s">
        <v>562</v>
      </c>
      <c r="B111" s="5" t="s">
        <v>563</v>
      </c>
      <c r="C111" t="s">
        <v>28</v>
      </c>
      <c r="D111" s="5" t="s">
        <v>260</v>
      </c>
      <c r="E111">
        <v>6.59E-2</v>
      </c>
      <c r="F111">
        <v>9.4600000000000004E-2</v>
      </c>
      <c r="G111">
        <v>8.5599999999999996E-2</v>
      </c>
      <c r="H111">
        <v>8.7099999999999997E-2</v>
      </c>
      <c r="I111">
        <v>8.1799999999999998E-2</v>
      </c>
      <c r="J111">
        <v>6.3299999999999995E-2</v>
      </c>
      <c r="K111">
        <v>8.1500000000000003E-2</v>
      </c>
      <c r="L111">
        <v>8.77E-2</v>
      </c>
      <c r="M111">
        <v>0.1053</v>
      </c>
      <c r="N111">
        <v>0.1011</v>
      </c>
      <c r="O111">
        <v>9.64E-2</v>
      </c>
      <c r="P111">
        <v>9.7000000000000003E-2</v>
      </c>
      <c r="Q111">
        <v>0.15409999999999999</v>
      </c>
      <c r="R111">
        <v>0.1598</v>
      </c>
      <c r="S111">
        <v>0.14879999999999999</v>
      </c>
      <c r="T111">
        <v>0.2006</v>
      </c>
      <c r="U111">
        <v>0.1946</v>
      </c>
      <c r="V111">
        <v>0.18140000000000001</v>
      </c>
      <c r="W111">
        <v>0.18179999999999999</v>
      </c>
      <c r="X111">
        <v>0.1933</v>
      </c>
      <c r="Y111">
        <v>0.20949999999999999</v>
      </c>
      <c r="Z111">
        <v>0.21129999999999999</v>
      </c>
      <c r="AA111">
        <v>0.2051</v>
      </c>
      <c r="AB111">
        <v>0.20399999999999999</v>
      </c>
      <c r="AC111">
        <v>0.2031</v>
      </c>
      <c r="AD111" t="s">
        <v>73</v>
      </c>
    </row>
    <row r="112" spans="1:30" x14ac:dyDescent="0.3">
      <c r="A112" t="s">
        <v>562</v>
      </c>
      <c r="B112" s="5" t="s">
        <v>563</v>
      </c>
      <c r="C112" t="s">
        <v>261</v>
      </c>
      <c r="D112" s="5" t="s">
        <v>262</v>
      </c>
      <c r="E112">
        <v>6.6199999999999995E-2</v>
      </c>
      <c r="F112">
        <v>6.8599999999999994E-2</v>
      </c>
      <c r="G112">
        <v>5.6000000000000001E-2</v>
      </c>
      <c r="H112">
        <v>5.6099999999999997E-2</v>
      </c>
      <c r="I112">
        <v>5.79E-2</v>
      </c>
      <c r="J112">
        <v>2.4899999999999999E-2</v>
      </c>
      <c r="K112">
        <v>2.5399999999999999E-2</v>
      </c>
      <c r="L112">
        <v>4.0899999999999999E-2</v>
      </c>
      <c r="M112">
        <v>1.7600000000000001E-2</v>
      </c>
      <c r="N112">
        <v>1.7100000000000001E-2</v>
      </c>
      <c r="O112">
        <v>3.8199999999999998E-2</v>
      </c>
      <c r="P112">
        <v>3.2500000000000001E-2</v>
      </c>
      <c r="Q112">
        <v>5.1400000000000001E-2</v>
      </c>
      <c r="R112">
        <v>5.2600000000000001E-2</v>
      </c>
      <c r="S112">
        <v>2.75E-2</v>
      </c>
      <c r="T112">
        <v>4.6399999999999997E-2</v>
      </c>
      <c r="U112">
        <v>5.1499999999999997E-2</v>
      </c>
      <c r="V112">
        <v>5.3999999999999999E-2</v>
      </c>
      <c r="W112">
        <v>3.3099999999999997E-2</v>
      </c>
      <c r="X112">
        <v>3.2300000000000002E-2</v>
      </c>
      <c r="Y112">
        <v>3.1800000000000002E-2</v>
      </c>
      <c r="Z112">
        <v>2.0799999999999999E-2</v>
      </c>
      <c r="AA112">
        <v>1.8599999999999998E-2</v>
      </c>
      <c r="AB112">
        <v>1.7899999999999999E-2</v>
      </c>
      <c r="AC112">
        <v>1.7399999999999999E-2</v>
      </c>
      <c r="AD112" t="s">
        <v>73</v>
      </c>
    </row>
    <row r="113" spans="1:30" x14ac:dyDescent="0.3">
      <c r="A113" t="s">
        <v>562</v>
      </c>
      <c r="B113" s="5" t="s">
        <v>563</v>
      </c>
      <c r="C113" t="s">
        <v>263</v>
      </c>
      <c r="D113" s="5" t="s">
        <v>264</v>
      </c>
      <c r="E113" t="s">
        <v>73</v>
      </c>
      <c r="F113" t="s">
        <v>73</v>
      </c>
      <c r="G113" t="s">
        <v>73</v>
      </c>
      <c r="H113" t="s">
        <v>73</v>
      </c>
      <c r="I113" t="s">
        <v>73</v>
      </c>
      <c r="J113" t="s">
        <v>73</v>
      </c>
      <c r="K113" t="s">
        <v>73</v>
      </c>
      <c r="L113" t="s">
        <v>73</v>
      </c>
      <c r="M113" t="s">
        <v>73</v>
      </c>
      <c r="N113" t="s">
        <v>73</v>
      </c>
      <c r="O113" t="s">
        <v>73</v>
      </c>
      <c r="P113" t="s">
        <v>73</v>
      </c>
      <c r="Q113" t="s">
        <v>73</v>
      </c>
      <c r="R113" t="s">
        <v>73</v>
      </c>
      <c r="S113" t="s">
        <v>73</v>
      </c>
      <c r="T113" t="s">
        <v>73</v>
      </c>
      <c r="U113" t="s">
        <v>73</v>
      </c>
      <c r="V113" t="s">
        <v>73</v>
      </c>
      <c r="W113" t="s">
        <v>73</v>
      </c>
      <c r="X113" t="s">
        <v>73</v>
      </c>
      <c r="Y113" t="s">
        <v>73</v>
      </c>
      <c r="Z113" t="s">
        <v>73</v>
      </c>
      <c r="AA113" t="s">
        <v>73</v>
      </c>
      <c r="AB113" t="s">
        <v>73</v>
      </c>
      <c r="AC113" t="s">
        <v>73</v>
      </c>
      <c r="AD113" t="s">
        <v>73</v>
      </c>
    </row>
    <row r="114" spans="1:30" x14ac:dyDescent="0.3">
      <c r="A114" t="s">
        <v>562</v>
      </c>
      <c r="B114" s="5" t="s">
        <v>563</v>
      </c>
      <c r="C114" t="s">
        <v>265</v>
      </c>
      <c r="D114" s="5" t="s">
        <v>266</v>
      </c>
      <c r="E114" t="s">
        <v>73</v>
      </c>
      <c r="F114" t="s">
        <v>73</v>
      </c>
      <c r="G114" t="s">
        <v>73</v>
      </c>
      <c r="H114" t="s">
        <v>73</v>
      </c>
      <c r="I114" t="s">
        <v>73</v>
      </c>
      <c r="J114" t="s">
        <v>73</v>
      </c>
      <c r="K114" t="s">
        <v>73</v>
      </c>
      <c r="L114" t="s">
        <v>73</v>
      </c>
      <c r="M114" t="s">
        <v>73</v>
      </c>
      <c r="N114" t="s">
        <v>73</v>
      </c>
      <c r="O114" t="s">
        <v>73</v>
      </c>
      <c r="P114" t="s">
        <v>73</v>
      </c>
      <c r="Q114" t="s">
        <v>73</v>
      </c>
      <c r="R114" t="s">
        <v>73</v>
      </c>
      <c r="S114" t="s">
        <v>73</v>
      </c>
      <c r="T114" t="s">
        <v>73</v>
      </c>
      <c r="U114" t="s">
        <v>73</v>
      </c>
      <c r="V114" t="s">
        <v>73</v>
      </c>
      <c r="W114" t="s">
        <v>73</v>
      </c>
      <c r="X114" t="s">
        <v>73</v>
      </c>
      <c r="Y114" t="s">
        <v>73</v>
      </c>
      <c r="Z114" t="s">
        <v>73</v>
      </c>
      <c r="AA114" t="s">
        <v>73</v>
      </c>
      <c r="AB114" t="s">
        <v>73</v>
      </c>
      <c r="AC114" t="s">
        <v>73</v>
      </c>
      <c r="AD114" t="s">
        <v>73</v>
      </c>
    </row>
    <row r="115" spans="1:30" x14ac:dyDescent="0.3">
      <c r="A115" t="s">
        <v>562</v>
      </c>
      <c r="B115" s="5" t="s">
        <v>563</v>
      </c>
      <c r="C115" t="s">
        <v>267</v>
      </c>
      <c r="D115" s="5" t="s">
        <v>268</v>
      </c>
      <c r="E115">
        <v>4.3900000000000002E-2</v>
      </c>
      <c r="F115">
        <v>6.3399999999999998E-2</v>
      </c>
      <c r="G115">
        <v>4.7699999999999999E-2</v>
      </c>
      <c r="H115">
        <v>3.1399999999999997E-2</v>
      </c>
      <c r="I115">
        <v>4.0899999999999999E-2</v>
      </c>
      <c r="J115">
        <v>5.0299999999999997E-2</v>
      </c>
      <c r="K115">
        <v>5.0299999999999997E-2</v>
      </c>
      <c r="L115">
        <v>5.0299999999999997E-2</v>
      </c>
      <c r="M115">
        <v>5.0299999999999997E-2</v>
      </c>
      <c r="N115">
        <v>5.0299999999999997E-2</v>
      </c>
      <c r="O115">
        <v>5.1299999999999998E-2</v>
      </c>
      <c r="P115">
        <v>5.0500000000000003E-2</v>
      </c>
      <c r="Q115">
        <v>5.5899999999999998E-2</v>
      </c>
      <c r="R115">
        <v>5.4699999999999999E-2</v>
      </c>
      <c r="S115">
        <v>3.1399999999999997E-2</v>
      </c>
      <c r="T115">
        <v>4.48E-2</v>
      </c>
      <c r="U115">
        <v>1.34E-2</v>
      </c>
      <c r="V115">
        <v>6.2899999999999998E-2</v>
      </c>
      <c r="W115">
        <v>2.6499999999999999E-2</v>
      </c>
      <c r="X115">
        <v>2.4400000000000002E-2</v>
      </c>
      <c r="Y115">
        <v>2.1700000000000001E-2</v>
      </c>
      <c r="Z115">
        <v>2.6800000000000001E-2</v>
      </c>
      <c r="AA115">
        <v>8.6999999999999994E-3</v>
      </c>
      <c r="AB115">
        <v>1.12E-2</v>
      </c>
      <c r="AC115">
        <v>1.12E-2</v>
      </c>
      <c r="AD115" t="s">
        <v>73</v>
      </c>
    </row>
    <row r="116" spans="1:30" x14ac:dyDescent="0.3">
      <c r="A116" t="s">
        <v>562</v>
      </c>
      <c r="B116" s="5" t="s">
        <v>563</v>
      </c>
      <c r="C116" t="s">
        <v>269</v>
      </c>
      <c r="D116" s="5" t="s">
        <v>270</v>
      </c>
      <c r="E116" t="s">
        <v>73</v>
      </c>
      <c r="F116" t="s">
        <v>73</v>
      </c>
      <c r="G116" t="s">
        <v>73</v>
      </c>
      <c r="H116" t="s">
        <v>73</v>
      </c>
      <c r="I116" t="s">
        <v>73</v>
      </c>
      <c r="J116" t="s">
        <v>73</v>
      </c>
      <c r="K116" t="s">
        <v>73</v>
      </c>
      <c r="L116" t="s">
        <v>73</v>
      </c>
      <c r="M116" t="s">
        <v>73</v>
      </c>
      <c r="N116" t="s">
        <v>73</v>
      </c>
      <c r="O116" t="s">
        <v>73</v>
      </c>
      <c r="P116" t="s">
        <v>73</v>
      </c>
      <c r="Q116" t="s">
        <v>73</v>
      </c>
      <c r="R116" t="s">
        <v>73</v>
      </c>
      <c r="S116" t="s">
        <v>73</v>
      </c>
      <c r="T116" t="s">
        <v>73</v>
      </c>
      <c r="U116" t="s">
        <v>73</v>
      </c>
      <c r="V116" t="s">
        <v>73</v>
      </c>
      <c r="W116" t="s">
        <v>73</v>
      </c>
      <c r="X116" t="s">
        <v>73</v>
      </c>
      <c r="Y116" t="s">
        <v>73</v>
      </c>
      <c r="Z116" t="s">
        <v>73</v>
      </c>
      <c r="AA116" t="s">
        <v>73</v>
      </c>
      <c r="AB116" t="s">
        <v>73</v>
      </c>
      <c r="AC116" t="s">
        <v>73</v>
      </c>
      <c r="AD116" t="s">
        <v>73</v>
      </c>
    </row>
    <row r="117" spans="1:30" x14ac:dyDescent="0.3">
      <c r="A117" t="s">
        <v>562</v>
      </c>
      <c r="B117" s="5" t="s">
        <v>563</v>
      </c>
      <c r="C117" t="s">
        <v>271</v>
      </c>
      <c r="D117" s="5" t="s">
        <v>272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0.28620000000000001</v>
      </c>
      <c r="N117">
        <v>0.32119999999999999</v>
      </c>
      <c r="O117">
        <v>0.27760000000000001</v>
      </c>
      <c r="P117">
        <v>0.28649999999999998</v>
      </c>
      <c r="Q117">
        <v>0.28549999999999998</v>
      </c>
      <c r="R117">
        <v>0.26819999999999999</v>
      </c>
      <c r="S117">
        <v>0.30730000000000002</v>
      </c>
      <c r="T117">
        <v>0.4264</v>
      </c>
      <c r="U117">
        <v>0.42799999999999999</v>
      </c>
      <c r="V117">
        <v>0.4652</v>
      </c>
      <c r="W117">
        <v>0.4345</v>
      </c>
      <c r="X117">
        <v>0.43319999999999997</v>
      </c>
      <c r="Y117">
        <v>0.47399999999999998</v>
      </c>
      <c r="Z117">
        <v>0.41110000000000002</v>
      </c>
      <c r="AA117">
        <v>0.28770000000000001</v>
      </c>
      <c r="AB117">
        <v>0.28870000000000001</v>
      </c>
      <c r="AC117">
        <v>0.28970000000000001</v>
      </c>
      <c r="AD117" t="s">
        <v>73</v>
      </c>
    </row>
    <row r="118" spans="1:30" x14ac:dyDescent="0.3">
      <c r="A118" t="s">
        <v>562</v>
      </c>
      <c r="B118" s="5" t="s">
        <v>563</v>
      </c>
      <c r="C118" t="s">
        <v>273</v>
      </c>
      <c r="D118" s="5" t="s">
        <v>274</v>
      </c>
      <c r="E118" t="s">
        <v>73</v>
      </c>
      <c r="F118" t="s">
        <v>73</v>
      </c>
      <c r="G118" t="s">
        <v>73</v>
      </c>
      <c r="H118" t="s">
        <v>73</v>
      </c>
      <c r="I118" t="s">
        <v>73</v>
      </c>
      <c r="J118" t="s">
        <v>73</v>
      </c>
      <c r="K118" t="s">
        <v>73</v>
      </c>
      <c r="L118" t="s">
        <v>73</v>
      </c>
      <c r="M118" t="s">
        <v>73</v>
      </c>
      <c r="N118" t="s">
        <v>73</v>
      </c>
      <c r="O118" t="s">
        <v>73</v>
      </c>
      <c r="P118" t="s">
        <v>73</v>
      </c>
      <c r="Q118" t="s">
        <v>73</v>
      </c>
      <c r="R118" t="s">
        <v>73</v>
      </c>
      <c r="S118" t="s">
        <v>73</v>
      </c>
      <c r="T118" t="s">
        <v>73</v>
      </c>
      <c r="U118" t="s">
        <v>73</v>
      </c>
      <c r="V118" t="s">
        <v>73</v>
      </c>
      <c r="W118" t="s">
        <v>73</v>
      </c>
      <c r="X118" t="s">
        <v>73</v>
      </c>
      <c r="Y118" t="s">
        <v>73</v>
      </c>
      <c r="Z118" t="s">
        <v>73</v>
      </c>
      <c r="AA118" t="s">
        <v>73</v>
      </c>
      <c r="AB118" t="s">
        <v>73</v>
      </c>
      <c r="AC118" t="s">
        <v>73</v>
      </c>
      <c r="AD118" t="s">
        <v>73</v>
      </c>
    </row>
    <row r="119" spans="1:30" x14ac:dyDescent="0.3">
      <c r="A119" t="s">
        <v>562</v>
      </c>
      <c r="B119" s="5" t="s">
        <v>563</v>
      </c>
      <c r="C119" t="s">
        <v>275</v>
      </c>
      <c r="D119" s="5" t="s">
        <v>276</v>
      </c>
      <c r="E119" t="s">
        <v>73</v>
      </c>
      <c r="F119" t="s">
        <v>73</v>
      </c>
      <c r="G119" t="s">
        <v>73</v>
      </c>
      <c r="H119" t="s">
        <v>73</v>
      </c>
      <c r="I119" t="s">
        <v>73</v>
      </c>
      <c r="J119" t="s">
        <v>73</v>
      </c>
      <c r="K119" t="s">
        <v>73</v>
      </c>
      <c r="L119" t="s">
        <v>73</v>
      </c>
      <c r="M119" t="s">
        <v>73</v>
      </c>
      <c r="N119" t="s">
        <v>73</v>
      </c>
      <c r="O119" t="s">
        <v>73</v>
      </c>
      <c r="P119" t="s">
        <v>73</v>
      </c>
      <c r="Q119" t="s">
        <v>73</v>
      </c>
      <c r="R119" t="s">
        <v>73</v>
      </c>
      <c r="S119" t="s">
        <v>73</v>
      </c>
      <c r="T119" t="s">
        <v>73</v>
      </c>
      <c r="U119" t="s">
        <v>73</v>
      </c>
      <c r="V119" t="s">
        <v>73</v>
      </c>
      <c r="W119" t="s">
        <v>73</v>
      </c>
      <c r="X119" t="s">
        <v>73</v>
      </c>
      <c r="Y119" t="s">
        <v>73</v>
      </c>
      <c r="Z119" t="s">
        <v>73</v>
      </c>
      <c r="AA119" t="s">
        <v>73</v>
      </c>
      <c r="AB119" t="s">
        <v>73</v>
      </c>
      <c r="AC119" t="s">
        <v>73</v>
      </c>
      <c r="AD119" t="s">
        <v>73</v>
      </c>
    </row>
    <row r="120" spans="1:30" x14ac:dyDescent="0.3">
      <c r="A120" t="s">
        <v>562</v>
      </c>
      <c r="B120" s="5" t="s">
        <v>563</v>
      </c>
      <c r="C120" t="s">
        <v>277</v>
      </c>
      <c r="D120" s="5" t="s">
        <v>278</v>
      </c>
      <c r="E120" t="s">
        <v>73</v>
      </c>
      <c r="F120" t="s">
        <v>73</v>
      </c>
      <c r="G120" t="s">
        <v>73</v>
      </c>
      <c r="H120" t="s">
        <v>73</v>
      </c>
      <c r="I120" t="s">
        <v>73</v>
      </c>
      <c r="J120" t="s">
        <v>73</v>
      </c>
      <c r="K120" t="s">
        <v>73</v>
      </c>
      <c r="L120" t="s">
        <v>73</v>
      </c>
      <c r="M120" t="s">
        <v>73</v>
      </c>
      <c r="N120" t="s">
        <v>73</v>
      </c>
      <c r="O120" t="s">
        <v>73</v>
      </c>
      <c r="P120" t="s">
        <v>73</v>
      </c>
      <c r="Q120" t="s">
        <v>73</v>
      </c>
      <c r="R120" t="s">
        <v>73</v>
      </c>
      <c r="S120" t="s">
        <v>73</v>
      </c>
      <c r="T120" t="s">
        <v>73</v>
      </c>
      <c r="U120" t="s">
        <v>73</v>
      </c>
      <c r="V120" t="s">
        <v>73</v>
      </c>
      <c r="W120" t="s">
        <v>73</v>
      </c>
      <c r="X120" t="s">
        <v>73</v>
      </c>
      <c r="Y120" t="s">
        <v>73</v>
      </c>
      <c r="Z120" t="s">
        <v>73</v>
      </c>
      <c r="AA120" t="s">
        <v>73</v>
      </c>
      <c r="AB120" t="s">
        <v>73</v>
      </c>
      <c r="AC120" t="s">
        <v>73</v>
      </c>
      <c r="AD120" t="s">
        <v>73</v>
      </c>
    </row>
    <row r="121" spans="1:30" x14ac:dyDescent="0.3">
      <c r="A121" t="s">
        <v>562</v>
      </c>
      <c r="B121" s="5" t="s">
        <v>563</v>
      </c>
      <c r="C121" t="s">
        <v>279</v>
      </c>
      <c r="D121" s="5" t="s">
        <v>280</v>
      </c>
      <c r="E121" t="s">
        <v>73</v>
      </c>
      <c r="F121" t="s">
        <v>73</v>
      </c>
      <c r="G121" t="s">
        <v>73</v>
      </c>
      <c r="H121" t="s">
        <v>73</v>
      </c>
      <c r="I121" t="s">
        <v>73</v>
      </c>
      <c r="J121" t="s">
        <v>73</v>
      </c>
      <c r="K121" t="s">
        <v>73</v>
      </c>
      <c r="L121" t="s">
        <v>73</v>
      </c>
      <c r="M121" t="s">
        <v>73</v>
      </c>
      <c r="N121" t="s">
        <v>73</v>
      </c>
      <c r="O121" t="s">
        <v>73</v>
      </c>
      <c r="P121" t="s">
        <v>73</v>
      </c>
      <c r="Q121" t="s">
        <v>73</v>
      </c>
      <c r="R121" t="s">
        <v>73</v>
      </c>
      <c r="S121" t="s">
        <v>73</v>
      </c>
      <c r="T121" t="s">
        <v>73</v>
      </c>
      <c r="U121" t="s">
        <v>73</v>
      </c>
      <c r="V121" t="s">
        <v>73</v>
      </c>
      <c r="W121" t="s">
        <v>73</v>
      </c>
      <c r="X121" t="s">
        <v>73</v>
      </c>
      <c r="Y121" t="s">
        <v>73</v>
      </c>
      <c r="Z121" t="s">
        <v>73</v>
      </c>
      <c r="AA121" t="s">
        <v>73</v>
      </c>
      <c r="AB121" t="s">
        <v>73</v>
      </c>
      <c r="AC121" t="s">
        <v>73</v>
      </c>
      <c r="AD121" t="s">
        <v>73</v>
      </c>
    </row>
    <row r="122" spans="1:30" x14ac:dyDescent="0.3">
      <c r="A122" t="s">
        <v>562</v>
      </c>
      <c r="B122" s="5" t="s">
        <v>563</v>
      </c>
      <c r="C122" t="s">
        <v>281</v>
      </c>
      <c r="D122" s="5" t="s">
        <v>282</v>
      </c>
      <c r="E122">
        <v>1.048</v>
      </c>
      <c r="F122">
        <v>0.99809999999999999</v>
      </c>
      <c r="G122">
        <v>1.0941000000000001</v>
      </c>
      <c r="H122">
        <v>1.1306</v>
      </c>
      <c r="I122">
        <v>1.5474000000000001</v>
      </c>
      <c r="J122">
        <v>1.2701</v>
      </c>
      <c r="K122">
        <v>1.3707</v>
      </c>
      <c r="L122">
        <v>1.4001999999999999</v>
      </c>
      <c r="M122">
        <v>1.0826</v>
      </c>
      <c r="N122">
        <v>1.5232000000000001</v>
      </c>
      <c r="O122">
        <v>1.2718</v>
      </c>
      <c r="P122">
        <v>1.3148</v>
      </c>
      <c r="Q122">
        <v>1.2739</v>
      </c>
      <c r="R122">
        <v>1.5279</v>
      </c>
      <c r="S122">
        <v>1.3657999999999999</v>
      </c>
      <c r="T122">
        <v>1.1268</v>
      </c>
      <c r="U122">
        <v>1.3017000000000001</v>
      </c>
      <c r="V122">
        <v>1.2646999999999999</v>
      </c>
      <c r="W122">
        <v>1.3815</v>
      </c>
      <c r="X122">
        <v>1.3778999999999999</v>
      </c>
      <c r="Y122">
        <v>1.1747000000000001</v>
      </c>
      <c r="Z122">
        <v>1.4544999999999999</v>
      </c>
      <c r="AA122">
        <v>1.2248000000000001</v>
      </c>
      <c r="AB122">
        <v>1.2058</v>
      </c>
      <c r="AC122">
        <v>1.1893</v>
      </c>
      <c r="AD122" t="s">
        <v>73</v>
      </c>
    </row>
    <row r="123" spans="1:30" x14ac:dyDescent="0.3">
      <c r="A123" t="s">
        <v>562</v>
      </c>
      <c r="B123" s="5" t="s">
        <v>563</v>
      </c>
      <c r="C123" t="s">
        <v>283</v>
      </c>
      <c r="D123" s="5" t="s">
        <v>284</v>
      </c>
      <c r="E123" t="s">
        <v>73</v>
      </c>
      <c r="F123" t="s">
        <v>73</v>
      </c>
      <c r="G123" t="s">
        <v>73</v>
      </c>
      <c r="H123" t="s">
        <v>73</v>
      </c>
      <c r="I123" t="s">
        <v>73</v>
      </c>
      <c r="J123" t="s">
        <v>73</v>
      </c>
      <c r="K123" t="s">
        <v>73</v>
      </c>
      <c r="L123" t="s">
        <v>73</v>
      </c>
      <c r="M123" t="s">
        <v>73</v>
      </c>
      <c r="N123" t="s">
        <v>73</v>
      </c>
      <c r="O123" t="s">
        <v>73</v>
      </c>
      <c r="P123" t="s">
        <v>73</v>
      </c>
      <c r="Q123" t="s">
        <v>73</v>
      </c>
      <c r="R123" t="s">
        <v>73</v>
      </c>
      <c r="S123" t="s">
        <v>73</v>
      </c>
      <c r="T123" t="s">
        <v>73</v>
      </c>
      <c r="U123" t="s">
        <v>73</v>
      </c>
      <c r="V123" t="s">
        <v>73</v>
      </c>
      <c r="W123" t="s">
        <v>73</v>
      </c>
      <c r="X123" t="s">
        <v>73</v>
      </c>
      <c r="Y123" t="s">
        <v>73</v>
      </c>
      <c r="Z123" t="s">
        <v>73</v>
      </c>
      <c r="AA123" t="s">
        <v>73</v>
      </c>
      <c r="AB123" t="s">
        <v>73</v>
      </c>
      <c r="AC123" t="s">
        <v>73</v>
      </c>
      <c r="AD123" t="s">
        <v>73</v>
      </c>
    </row>
    <row r="124" spans="1:30" x14ac:dyDescent="0.3">
      <c r="A124" t="s">
        <v>562</v>
      </c>
      <c r="B124" s="5" t="s">
        <v>563</v>
      </c>
      <c r="C124" t="s">
        <v>285</v>
      </c>
      <c r="D124" s="5" t="s">
        <v>286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0.1487</v>
      </c>
      <c r="S124">
        <v>0.11360000000000001</v>
      </c>
      <c r="T124">
        <v>0.11459999999999999</v>
      </c>
      <c r="U124">
        <v>0.2286</v>
      </c>
      <c r="V124">
        <v>0.36899999999999999</v>
      </c>
      <c r="W124">
        <v>0.33139999999999997</v>
      </c>
      <c r="X124">
        <v>0.28299999999999997</v>
      </c>
      <c r="Y124">
        <v>0.19159999999999999</v>
      </c>
      <c r="Z124">
        <v>0.1744</v>
      </c>
      <c r="AA124">
        <v>0.19919999999999999</v>
      </c>
      <c r="AB124">
        <v>0.1653</v>
      </c>
      <c r="AC124">
        <v>0.1429</v>
      </c>
      <c r="AD124" t="s">
        <v>73</v>
      </c>
    </row>
    <row r="125" spans="1:30" x14ac:dyDescent="0.3">
      <c r="A125" t="s">
        <v>562</v>
      </c>
      <c r="B125" s="5" t="s">
        <v>563</v>
      </c>
      <c r="C125" t="s">
        <v>287</v>
      </c>
      <c r="D125" s="5" t="s">
        <v>288</v>
      </c>
      <c r="E125" t="s">
        <v>73</v>
      </c>
      <c r="F125" t="s">
        <v>73</v>
      </c>
      <c r="G125" t="s">
        <v>73</v>
      </c>
      <c r="H125" t="s">
        <v>73</v>
      </c>
      <c r="I125" t="s">
        <v>73</v>
      </c>
      <c r="J125" t="s">
        <v>73</v>
      </c>
      <c r="K125" t="s">
        <v>73</v>
      </c>
      <c r="L125" t="s">
        <v>73</v>
      </c>
      <c r="M125" t="s">
        <v>73</v>
      </c>
      <c r="N125" t="s">
        <v>73</v>
      </c>
      <c r="O125" t="s">
        <v>73</v>
      </c>
      <c r="P125" t="s">
        <v>73</v>
      </c>
      <c r="Q125" t="s">
        <v>73</v>
      </c>
      <c r="R125" t="s">
        <v>73</v>
      </c>
      <c r="S125" t="s">
        <v>73</v>
      </c>
      <c r="T125" t="s">
        <v>73</v>
      </c>
      <c r="U125" t="s">
        <v>73</v>
      </c>
      <c r="V125" t="s">
        <v>73</v>
      </c>
      <c r="W125" t="s">
        <v>73</v>
      </c>
      <c r="X125" t="s">
        <v>73</v>
      </c>
      <c r="Y125" t="s">
        <v>73</v>
      </c>
      <c r="Z125" t="s">
        <v>73</v>
      </c>
      <c r="AA125" t="s">
        <v>73</v>
      </c>
      <c r="AB125" t="s">
        <v>73</v>
      </c>
      <c r="AC125" t="s">
        <v>73</v>
      </c>
      <c r="AD125" t="s">
        <v>73</v>
      </c>
    </row>
    <row r="126" spans="1:30" x14ac:dyDescent="0.3">
      <c r="A126" t="s">
        <v>562</v>
      </c>
      <c r="B126" s="5" t="s">
        <v>563</v>
      </c>
      <c r="C126" t="s">
        <v>289</v>
      </c>
      <c r="D126" s="5" t="s">
        <v>290</v>
      </c>
      <c r="E126" t="s">
        <v>73</v>
      </c>
      <c r="F126" t="s">
        <v>73</v>
      </c>
      <c r="G126" t="s">
        <v>73</v>
      </c>
      <c r="H126" t="s">
        <v>73</v>
      </c>
      <c r="I126" t="s">
        <v>73</v>
      </c>
      <c r="J126" t="s">
        <v>73</v>
      </c>
      <c r="K126" t="s">
        <v>73</v>
      </c>
      <c r="L126" t="s">
        <v>73</v>
      </c>
      <c r="M126" t="s">
        <v>73</v>
      </c>
      <c r="N126" t="s">
        <v>73</v>
      </c>
      <c r="O126" t="s">
        <v>73</v>
      </c>
      <c r="P126" t="s">
        <v>73</v>
      </c>
      <c r="Q126" t="s">
        <v>73</v>
      </c>
      <c r="R126" t="s">
        <v>73</v>
      </c>
      <c r="S126" t="s">
        <v>73</v>
      </c>
      <c r="T126" t="s">
        <v>73</v>
      </c>
      <c r="U126" t="s">
        <v>73</v>
      </c>
      <c r="V126" t="s">
        <v>73</v>
      </c>
      <c r="W126" t="s">
        <v>73</v>
      </c>
      <c r="X126" t="s">
        <v>73</v>
      </c>
      <c r="Y126" t="s">
        <v>73</v>
      </c>
      <c r="Z126" t="s">
        <v>73</v>
      </c>
      <c r="AA126" t="s">
        <v>73</v>
      </c>
      <c r="AB126" t="s">
        <v>73</v>
      </c>
      <c r="AC126" t="s">
        <v>73</v>
      </c>
      <c r="AD126" t="s">
        <v>73</v>
      </c>
    </row>
    <row r="127" spans="1:30" x14ac:dyDescent="0.3">
      <c r="A127" t="s">
        <v>562</v>
      </c>
      <c r="B127" s="5" t="s">
        <v>563</v>
      </c>
      <c r="C127" t="s">
        <v>291</v>
      </c>
      <c r="D127" s="5" t="s">
        <v>292</v>
      </c>
      <c r="E127" t="s">
        <v>73</v>
      </c>
      <c r="F127" t="s">
        <v>73</v>
      </c>
      <c r="G127" t="s">
        <v>73</v>
      </c>
      <c r="H127" t="s">
        <v>73</v>
      </c>
      <c r="I127" t="s">
        <v>73</v>
      </c>
      <c r="J127" t="s">
        <v>73</v>
      </c>
      <c r="K127" t="s">
        <v>73</v>
      </c>
      <c r="L127" t="s">
        <v>73</v>
      </c>
      <c r="M127" t="s">
        <v>73</v>
      </c>
      <c r="N127" t="s">
        <v>73</v>
      </c>
      <c r="O127" t="s">
        <v>73</v>
      </c>
      <c r="P127" t="s">
        <v>73</v>
      </c>
      <c r="Q127" t="s">
        <v>73</v>
      </c>
      <c r="R127" t="s">
        <v>73</v>
      </c>
      <c r="S127" t="s">
        <v>73</v>
      </c>
      <c r="T127" t="s">
        <v>73</v>
      </c>
      <c r="U127" t="s">
        <v>73</v>
      </c>
      <c r="V127" t="s">
        <v>73</v>
      </c>
      <c r="W127" t="s">
        <v>73</v>
      </c>
      <c r="X127" t="s">
        <v>73</v>
      </c>
      <c r="Y127" t="s">
        <v>73</v>
      </c>
      <c r="Z127" t="s">
        <v>73</v>
      </c>
      <c r="AA127" t="s">
        <v>73</v>
      </c>
      <c r="AB127" t="s">
        <v>73</v>
      </c>
      <c r="AC127" t="s">
        <v>73</v>
      </c>
      <c r="AD127" t="s">
        <v>73</v>
      </c>
    </row>
    <row r="128" spans="1:30" x14ac:dyDescent="0.3">
      <c r="A128" t="s">
        <v>562</v>
      </c>
      <c r="B128" s="5" t="s">
        <v>563</v>
      </c>
      <c r="C128" t="s">
        <v>293</v>
      </c>
      <c r="D128" s="5" t="s">
        <v>294</v>
      </c>
      <c r="E128">
        <v>0</v>
      </c>
      <c r="F128">
        <v>6.6E-3</v>
      </c>
      <c r="G128">
        <v>1.26E-2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2.0500000000000001E-2</v>
      </c>
      <c r="S128">
        <v>2.1499999999999998E-2</v>
      </c>
      <c r="T128">
        <v>1.1299999999999999E-2</v>
      </c>
      <c r="U128">
        <v>1.11E-2</v>
      </c>
      <c r="V128">
        <v>1.3599999999999999E-2</v>
      </c>
      <c r="W128">
        <v>1.9E-2</v>
      </c>
      <c r="X128">
        <v>1.24E-2</v>
      </c>
      <c r="Y128">
        <v>9.4999999999999998E-3</v>
      </c>
      <c r="Z128">
        <v>1.0200000000000001E-2</v>
      </c>
      <c r="AA128">
        <v>1.26E-2</v>
      </c>
      <c r="AB128">
        <v>1.3299999999999999E-2</v>
      </c>
      <c r="AC128">
        <v>1.41E-2</v>
      </c>
      <c r="AD128" t="s">
        <v>73</v>
      </c>
    </row>
    <row r="129" spans="1:30" x14ac:dyDescent="0.3">
      <c r="A129" t="s">
        <v>562</v>
      </c>
      <c r="B129" s="5" t="s">
        <v>563</v>
      </c>
      <c r="C129" t="s">
        <v>29</v>
      </c>
      <c r="D129" s="5" t="s">
        <v>295</v>
      </c>
      <c r="E129">
        <v>3.2873999999999999</v>
      </c>
      <c r="F129">
        <v>3.4619</v>
      </c>
      <c r="G129">
        <v>2.6432000000000002</v>
      </c>
      <c r="H129">
        <v>2.9180000000000001</v>
      </c>
      <c r="I129">
        <v>2.9710000000000001</v>
      </c>
      <c r="J129">
        <v>2.7517999999999998</v>
      </c>
      <c r="K129">
        <v>2.8073999999999999</v>
      </c>
      <c r="L129">
        <v>2.9097</v>
      </c>
      <c r="M129">
        <v>2.7513000000000001</v>
      </c>
      <c r="N129">
        <v>2.887</v>
      </c>
      <c r="O129">
        <v>2.9123999999999999</v>
      </c>
      <c r="P129">
        <v>2.8956</v>
      </c>
      <c r="Q129">
        <v>3.0444</v>
      </c>
      <c r="R129">
        <v>3.4335</v>
      </c>
      <c r="S129">
        <v>3.3668</v>
      </c>
      <c r="T129">
        <v>3.0914999999999999</v>
      </c>
      <c r="U129">
        <v>3.1865999999999999</v>
      </c>
      <c r="V129">
        <v>2.7616000000000001</v>
      </c>
      <c r="W129">
        <v>2.6265000000000001</v>
      </c>
      <c r="X129">
        <v>2.5564</v>
      </c>
      <c r="Y129">
        <v>2.7429999999999999</v>
      </c>
      <c r="Z129">
        <v>2.8075999999999999</v>
      </c>
      <c r="AA129">
        <v>2.5007000000000001</v>
      </c>
      <c r="AB129">
        <v>2.4712999999999998</v>
      </c>
      <c r="AC129">
        <v>2.4426000000000001</v>
      </c>
      <c r="AD129" t="s">
        <v>73</v>
      </c>
    </row>
    <row r="130" spans="1:30" x14ac:dyDescent="0.3">
      <c r="A130" t="s">
        <v>562</v>
      </c>
      <c r="B130" s="5" t="s">
        <v>563</v>
      </c>
      <c r="C130" t="s">
        <v>296</v>
      </c>
      <c r="D130" s="5" t="s">
        <v>297</v>
      </c>
      <c r="E130" t="s">
        <v>73</v>
      </c>
      <c r="F130" t="s">
        <v>73</v>
      </c>
      <c r="G130" t="s">
        <v>73</v>
      </c>
      <c r="H130" t="s">
        <v>73</v>
      </c>
      <c r="I130" t="s">
        <v>73</v>
      </c>
      <c r="J130" t="s">
        <v>73</v>
      </c>
      <c r="K130" t="s">
        <v>73</v>
      </c>
      <c r="L130" t="s">
        <v>73</v>
      </c>
      <c r="M130" t="s">
        <v>73</v>
      </c>
      <c r="N130" t="s">
        <v>73</v>
      </c>
      <c r="O130" t="s">
        <v>73</v>
      </c>
      <c r="P130" t="s">
        <v>73</v>
      </c>
      <c r="Q130" t="s">
        <v>73</v>
      </c>
      <c r="R130" t="s">
        <v>73</v>
      </c>
      <c r="S130" t="s">
        <v>73</v>
      </c>
      <c r="T130" t="s">
        <v>73</v>
      </c>
      <c r="U130" t="s">
        <v>73</v>
      </c>
      <c r="V130" t="s">
        <v>73</v>
      </c>
      <c r="W130" t="s">
        <v>73</v>
      </c>
      <c r="X130" t="s">
        <v>73</v>
      </c>
      <c r="Y130" t="s">
        <v>73</v>
      </c>
      <c r="Z130" t="s">
        <v>73</v>
      </c>
      <c r="AA130" t="s">
        <v>73</v>
      </c>
      <c r="AB130" t="s">
        <v>73</v>
      </c>
      <c r="AC130" t="s">
        <v>73</v>
      </c>
      <c r="AD130" t="s">
        <v>73</v>
      </c>
    </row>
    <row r="131" spans="1:30" x14ac:dyDescent="0.3">
      <c r="A131" t="s">
        <v>562</v>
      </c>
      <c r="B131" s="5" t="s">
        <v>563</v>
      </c>
      <c r="C131" t="s">
        <v>298</v>
      </c>
      <c r="D131" s="5" t="s">
        <v>299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1.7000000000000001E-2</v>
      </c>
      <c r="P131">
        <v>1.7299999999999999E-2</v>
      </c>
      <c r="Q131">
        <v>1.7299999999999999E-2</v>
      </c>
      <c r="R131">
        <v>9.8900000000000002E-2</v>
      </c>
      <c r="S131">
        <v>5.9900000000000002E-2</v>
      </c>
      <c r="T131">
        <v>7.9100000000000004E-2</v>
      </c>
      <c r="U131">
        <v>0.1288</v>
      </c>
      <c r="V131">
        <v>0.124</v>
      </c>
      <c r="W131">
        <v>0.2026</v>
      </c>
      <c r="X131">
        <v>0.12230000000000001</v>
      </c>
      <c r="Y131">
        <v>0.1454</v>
      </c>
      <c r="Z131">
        <v>0.1132</v>
      </c>
      <c r="AA131">
        <v>6.88E-2</v>
      </c>
      <c r="AB131">
        <v>7.0199999999999999E-2</v>
      </c>
      <c r="AC131">
        <v>7.17E-2</v>
      </c>
      <c r="AD131" t="s">
        <v>73</v>
      </c>
    </row>
    <row r="132" spans="1:30" x14ac:dyDescent="0.3">
      <c r="A132" t="s">
        <v>562</v>
      </c>
      <c r="B132" s="5" t="s">
        <v>563</v>
      </c>
      <c r="C132" t="s">
        <v>300</v>
      </c>
      <c r="D132" s="5" t="s">
        <v>301</v>
      </c>
      <c r="E132" t="s">
        <v>73</v>
      </c>
      <c r="F132" t="s">
        <v>73</v>
      </c>
      <c r="G132" t="s">
        <v>73</v>
      </c>
      <c r="H132" t="s">
        <v>73</v>
      </c>
      <c r="I132" t="s">
        <v>73</v>
      </c>
      <c r="J132" t="s">
        <v>73</v>
      </c>
      <c r="K132" t="s">
        <v>73</v>
      </c>
      <c r="L132" t="s">
        <v>73</v>
      </c>
      <c r="M132" t="s">
        <v>73</v>
      </c>
      <c r="N132" t="s">
        <v>73</v>
      </c>
      <c r="O132" t="s">
        <v>73</v>
      </c>
      <c r="P132" t="s">
        <v>73</v>
      </c>
      <c r="Q132" t="s">
        <v>73</v>
      </c>
      <c r="R132" t="s">
        <v>73</v>
      </c>
      <c r="S132" t="s">
        <v>73</v>
      </c>
      <c r="T132" t="s">
        <v>73</v>
      </c>
      <c r="U132" t="s">
        <v>73</v>
      </c>
      <c r="V132" t="s">
        <v>73</v>
      </c>
      <c r="W132" t="s">
        <v>73</v>
      </c>
      <c r="X132" t="s">
        <v>73</v>
      </c>
      <c r="Y132" t="s">
        <v>73</v>
      </c>
      <c r="Z132" t="s">
        <v>73</v>
      </c>
      <c r="AA132" t="s">
        <v>73</v>
      </c>
      <c r="AB132" t="s">
        <v>73</v>
      </c>
      <c r="AC132" t="s">
        <v>73</v>
      </c>
      <c r="AD132" t="s">
        <v>73</v>
      </c>
    </row>
    <row r="133" spans="1:30" x14ac:dyDescent="0.3">
      <c r="A133" t="s">
        <v>562</v>
      </c>
      <c r="B133" s="5" t="s">
        <v>563</v>
      </c>
      <c r="C133" t="s">
        <v>302</v>
      </c>
      <c r="D133" s="5" t="s">
        <v>303</v>
      </c>
      <c r="E133" t="s">
        <v>73</v>
      </c>
      <c r="F133" t="s">
        <v>73</v>
      </c>
      <c r="G133" t="s">
        <v>73</v>
      </c>
      <c r="H133" t="s">
        <v>73</v>
      </c>
      <c r="I133" t="s">
        <v>73</v>
      </c>
      <c r="J133" t="s">
        <v>73</v>
      </c>
      <c r="K133" t="s">
        <v>73</v>
      </c>
      <c r="L133" t="s">
        <v>73</v>
      </c>
      <c r="M133" t="s">
        <v>73</v>
      </c>
      <c r="N133" t="s">
        <v>73</v>
      </c>
      <c r="O133" t="s">
        <v>73</v>
      </c>
      <c r="P133" t="s">
        <v>73</v>
      </c>
      <c r="Q133" t="s">
        <v>73</v>
      </c>
      <c r="R133" t="s">
        <v>73</v>
      </c>
      <c r="S133" t="s">
        <v>73</v>
      </c>
      <c r="T133" t="s">
        <v>73</v>
      </c>
      <c r="U133" t="s">
        <v>73</v>
      </c>
      <c r="V133" t="s">
        <v>73</v>
      </c>
      <c r="W133" t="s">
        <v>73</v>
      </c>
      <c r="X133" t="s">
        <v>73</v>
      </c>
      <c r="Y133" t="s">
        <v>73</v>
      </c>
      <c r="Z133" t="s">
        <v>73</v>
      </c>
      <c r="AA133" t="s">
        <v>73</v>
      </c>
      <c r="AB133" t="s">
        <v>73</v>
      </c>
      <c r="AC133" t="s">
        <v>73</v>
      </c>
      <c r="AD133" t="s">
        <v>73</v>
      </c>
    </row>
    <row r="134" spans="1:30" x14ac:dyDescent="0.3">
      <c r="A134" t="s">
        <v>562</v>
      </c>
      <c r="B134" s="5" t="s">
        <v>563</v>
      </c>
      <c r="C134" t="s">
        <v>304</v>
      </c>
      <c r="D134" s="5" t="s">
        <v>305</v>
      </c>
      <c r="E134" t="s">
        <v>73</v>
      </c>
      <c r="F134" t="s">
        <v>73</v>
      </c>
      <c r="G134" t="s">
        <v>73</v>
      </c>
      <c r="H134" t="s">
        <v>73</v>
      </c>
      <c r="I134" t="s">
        <v>73</v>
      </c>
      <c r="J134" t="s">
        <v>73</v>
      </c>
      <c r="K134" t="s">
        <v>73</v>
      </c>
      <c r="L134" t="s">
        <v>73</v>
      </c>
      <c r="M134" t="s">
        <v>73</v>
      </c>
      <c r="N134" t="s">
        <v>73</v>
      </c>
      <c r="O134" t="s">
        <v>73</v>
      </c>
      <c r="P134" t="s">
        <v>73</v>
      </c>
      <c r="Q134" t="s">
        <v>73</v>
      </c>
      <c r="R134" t="s">
        <v>73</v>
      </c>
      <c r="S134" t="s">
        <v>73</v>
      </c>
      <c r="T134" t="s">
        <v>73</v>
      </c>
      <c r="U134" t="s">
        <v>73</v>
      </c>
      <c r="V134" t="s">
        <v>73</v>
      </c>
      <c r="W134" t="s">
        <v>73</v>
      </c>
      <c r="X134" t="s">
        <v>73</v>
      </c>
      <c r="Y134" t="s">
        <v>73</v>
      </c>
      <c r="Z134" t="s">
        <v>73</v>
      </c>
      <c r="AA134" t="s">
        <v>73</v>
      </c>
      <c r="AB134" t="s">
        <v>73</v>
      </c>
      <c r="AC134" t="s">
        <v>73</v>
      </c>
      <c r="AD134" t="s">
        <v>73</v>
      </c>
    </row>
    <row r="135" spans="1:30" x14ac:dyDescent="0.3">
      <c r="A135" t="s">
        <v>562</v>
      </c>
      <c r="B135" s="5" t="s">
        <v>563</v>
      </c>
      <c r="C135" t="s">
        <v>306</v>
      </c>
      <c r="D135" s="5" t="s">
        <v>307</v>
      </c>
      <c r="E135">
        <v>0.4627</v>
      </c>
      <c r="F135">
        <v>0.47249999999999998</v>
      </c>
      <c r="G135">
        <v>0.47820000000000001</v>
      </c>
      <c r="H135">
        <v>0.45939999999999998</v>
      </c>
      <c r="I135">
        <v>0.46500000000000002</v>
      </c>
      <c r="J135">
        <v>0.42480000000000001</v>
      </c>
      <c r="K135">
        <v>0.46300000000000002</v>
      </c>
      <c r="L135">
        <v>0.43059999999999998</v>
      </c>
      <c r="M135">
        <v>0.36670000000000003</v>
      </c>
      <c r="N135">
        <v>0.33629999999999999</v>
      </c>
      <c r="O135">
        <v>0.34989999999999999</v>
      </c>
      <c r="P135">
        <v>0.36559999999999998</v>
      </c>
      <c r="Q135">
        <v>0.37090000000000001</v>
      </c>
      <c r="R135">
        <v>0.56010000000000004</v>
      </c>
      <c r="S135">
        <v>0.52190000000000003</v>
      </c>
      <c r="T135">
        <v>0.4748</v>
      </c>
      <c r="U135">
        <v>0.49419999999999997</v>
      </c>
      <c r="V135">
        <v>0.65190000000000003</v>
      </c>
      <c r="W135">
        <v>0.57410000000000005</v>
      </c>
      <c r="X135">
        <v>0.52610000000000001</v>
      </c>
      <c r="Y135">
        <v>0.5262</v>
      </c>
      <c r="Z135">
        <v>0.24160000000000001</v>
      </c>
      <c r="AA135">
        <v>0.4083</v>
      </c>
      <c r="AB135">
        <v>0.35959999999999998</v>
      </c>
      <c r="AC135">
        <v>0.31690000000000002</v>
      </c>
      <c r="AD135" t="s">
        <v>73</v>
      </c>
    </row>
    <row r="136" spans="1:30" x14ac:dyDescent="0.3">
      <c r="A136" t="s">
        <v>562</v>
      </c>
      <c r="B136" s="5" t="s">
        <v>563</v>
      </c>
      <c r="C136" t="s">
        <v>308</v>
      </c>
      <c r="D136" s="5" t="s">
        <v>309</v>
      </c>
      <c r="E136" t="s">
        <v>73</v>
      </c>
      <c r="F136" t="s">
        <v>73</v>
      </c>
      <c r="G136" t="s">
        <v>73</v>
      </c>
      <c r="H136" t="s">
        <v>73</v>
      </c>
      <c r="I136" t="s">
        <v>73</v>
      </c>
      <c r="J136" t="s">
        <v>73</v>
      </c>
      <c r="K136" t="s">
        <v>73</v>
      </c>
      <c r="L136" t="s">
        <v>73</v>
      </c>
      <c r="M136" t="s">
        <v>73</v>
      </c>
      <c r="N136" t="s">
        <v>73</v>
      </c>
      <c r="O136" t="s">
        <v>73</v>
      </c>
      <c r="P136" t="s">
        <v>73</v>
      </c>
      <c r="Q136" t="s">
        <v>73</v>
      </c>
      <c r="R136" t="s">
        <v>73</v>
      </c>
      <c r="S136" t="s">
        <v>73</v>
      </c>
      <c r="T136" t="s">
        <v>73</v>
      </c>
      <c r="U136" t="s">
        <v>73</v>
      </c>
      <c r="V136" t="s">
        <v>73</v>
      </c>
      <c r="W136" t="s">
        <v>73</v>
      </c>
      <c r="X136" t="s">
        <v>73</v>
      </c>
      <c r="Y136" t="s">
        <v>73</v>
      </c>
      <c r="Z136" t="s">
        <v>73</v>
      </c>
      <c r="AA136" t="s">
        <v>73</v>
      </c>
      <c r="AB136" t="s">
        <v>73</v>
      </c>
      <c r="AC136" t="s">
        <v>73</v>
      </c>
      <c r="AD136" t="s">
        <v>73</v>
      </c>
    </row>
    <row r="137" spans="1:30" x14ac:dyDescent="0.3">
      <c r="A137" t="s">
        <v>562</v>
      </c>
      <c r="B137" s="5" t="s">
        <v>563</v>
      </c>
      <c r="C137" t="s">
        <v>310</v>
      </c>
      <c r="D137" s="5" t="s">
        <v>311</v>
      </c>
      <c r="E137">
        <v>0.25540000000000002</v>
      </c>
      <c r="F137">
        <v>0.1163</v>
      </c>
      <c r="G137">
        <v>0.19689999999999999</v>
      </c>
      <c r="H137">
        <v>0.19639999999999999</v>
      </c>
      <c r="I137">
        <v>8.9599999999999999E-2</v>
      </c>
      <c r="J137">
        <v>7.3999999999999996E-2</v>
      </c>
      <c r="K137">
        <v>7.8899999999999998E-2</v>
      </c>
      <c r="L137">
        <v>8.0500000000000002E-2</v>
      </c>
      <c r="M137">
        <v>8.7999999999999995E-2</v>
      </c>
      <c r="N137">
        <v>9.9000000000000005E-2</v>
      </c>
      <c r="O137">
        <v>0.1081</v>
      </c>
      <c r="P137">
        <v>0.12509999999999999</v>
      </c>
      <c r="Q137">
        <v>0.1477</v>
      </c>
      <c r="R137">
        <v>0.1711</v>
      </c>
      <c r="S137">
        <v>0.26200000000000001</v>
      </c>
      <c r="T137">
        <v>0.27929999999999999</v>
      </c>
      <c r="U137">
        <v>0.50609999999999999</v>
      </c>
      <c r="V137">
        <v>0.60029999999999994</v>
      </c>
      <c r="W137">
        <v>0.92479999999999996</v>
      </c>
      <c r="X137">
        <v>0.82189999999999996</v>
      </c>
      <c r="Y137">
        <v>1.2538</v>
      </c>
      <c r="Z137">
        <v>0.99</v>
      </c>
      <c r="AA137">
        <v>1.3472999999999999</v>
      </c>
      <c r="AB137">
        <v>1.4966999999999999</v>
      </c>
      <c r="AC137">
        <v>1.6687000000000001</v>
      </c>
      <c r="AD137" t="s">
        <v>73</v>
      </c>
    </row>
    <row r="138" spans="1:30" x14ac:dyDescent="0.3">
      <c r="A138" t="s">
        <v>562</v>
      </c>
      <c r="B138" s="5" t="s">
        <v>563</v>
      </c>
      <c r="C138" t="s">
        <v>312</v>
      </c>
      <c r="D138" s="5" t="s">
        <v>313</v>
      </c>
      <c r="E138" t="s">
        <v>73</v>
      </c>
      <c r="F138" t="s">
        <v>73</v>
      </c>
      <c r="G138" t="s">
        <v>73</v>
      </c>
      <c r="H138" t="s">
        <v>73</v>
      </c>
      <c r="I138" t="s">
        <v>73</v>
      </c>
      <c r="J138" t="s">
        <v>73</v>
      </c>
      <c r="K138" t="s">
        <v>73</v>
      </c>
      <c r="L138" t="s">
        <v>73</v>
      </c>
      <c r="M138" t="s">
        <v>73</v>
      </c>
      <c r="N138" t="s">
        <v>73</v>
      </c>
      <c r="O138" t="s">
        <v>73</v>
      </c>
      <c r="P138" t="s">
        <v>73</v>
      </c>
      <c r="Q138" t="s">
        <v>73</v>
      </c>
      <c r="R138" t="s">
        <v>73</v>
      </c>
      <c r="S138" t="s">
        <v>73</v>
      </c>
      <c r="T138" t="s">
        <v>73</v>
      </c>
      <c r="U138" t="s">
        <v>73</v>
      </c>
      <c r="V138" t="s">
        <v>73</v>
      </c>
      <c r="W138" t="s">
        <v>73</v>
      </c>
      <c r="X138" t="s">
        <v>73</v>
      </c>
      <c r="Y138" t="s">
        <v>73</v>
      </c>
      <c r="Z138" t="s">
        <v>73</v>
      </c>
      <c r="AA138" t="s">
        <v>73</v>
      </c>
      <c r="AB138" t="s">
        <v>73</v>
      </c>
      <c r="AC138" t="s">
        <v>73</v>
      </c>
      <c r="AD138" t="s">
        <v>73</v>
      </c>
    </row>
    <row r="139" spans="1:30" x14ac:dyDescent="0.3">
      <c r="A139" t="s">
        <v>562</v>
      </c>
      <c r="B139" s="5" t="s">
        <v>563</v>
      </c>
      <c r="C139" t="s">
        <v>314</v>
      </c>
      <c r="D139" s="5" t="s">
        <v>315</v>
      </c>
      <c r="E139" t="s">
        <v>73</v>
      </c>
      <c r="F139" t="s">
        <v>73</v>
      </c>
      <c r="G139" t="s">
        <v>73</v>
      </c>
      <c r="H139" t="s">
        <v>73</v>
      </c>
      <c r="I139" t="s">
        <v>73</v>
      </c>
      <c r="J139" t="s">
        <v>73</v>
      </c>
      <c r="K139" t="s">
        <v>73</v>
      </c>
      <c r="L139" t="s">
        <v>73</v>
      </c>
      <c r="M139" t="s">
        <v>73</v>
      </c>
      <c r="N139" t="s">
        <v>73</v>
      </c>
      <c r="O139" t="s">
        <v>73</v>
      </c>
      <c r="P139" t="s">
        <v>73</v>
      </c>
      <c r="Q139" t="s">
        <v>73</v>
      </c>
      <c r="R139" t="s">
        <v>73</v>
      </c>
      <c r="S139" t="s">
        <v>73</v>
      </c>
      <c r="T139" t="s">
        <v>73</v>
      </c>
      <c r="U139" t="s">
        <v>73</v>
      </c>
      <c r="V139" t="s">
        <v>73</v>
      </c>
      <c r="W139" t="s">
        <v>73</v>
      </c>
      <c r="X139" t="s">
        <v>73</v>
      </c>
      <c r="Y139" t="s">
        <v>73</v>
      </c>
      <c r="Z139" t="s">
        <v>73</v>
      </c>
      <c r="AA139" t="s">
        <v>73</v>
      </c>
      <c r="AB139" t="s">
        <v>73</v>
      </c>
      <c r="AC139" t="s">
        <v>73</v>
      </c>
      <c r="AD139" t="s">
        <v>73</v>
      </c>
    </row>
    <row r="140" spans="1:30" x14ac:dyDescent="0.3">
      <c r="A140" t="s">
        <v>562</v>
      </c>
      <c r="B140" s="5" t="s">
        <v>563</v>
      </c>
      <c r="C140" t="s">
        <v>316</v>
      </c>
      <c r="D140" s="5" t="s">
        <v>317</v>
      </c>
      <c r="E140">
        <v>8.8900000000000007E-2</v>
      </c>
      <c r="F140">
        <v>8.6199999999999999E-2</v>
      </c>
      <c r="G140">
        <v>9.0899999999999995E-2</v>
      </c>
      <c r="H140">
        <v>8.4900000000000003E-2</v>
      </c>
      <c r="I140">
        <v>2.9399999999999999E-2</v>
      </c>
      <c r="J140">
        <v>4.0000000000000002E-4</v>
      </c>
      <c r="K140">
        <v>3.8E-3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0.1033</v>
      </c>
      <c r="R140">
        <v>0.17249999999999999</v>
      </c>
      <c r="S140">
        <v>0.1429</v>
      </c>
      <c r="T140">
        <v>0.1764</v>
      </c>
      <c r="U140">
        <v>0.17249999999999999</v>
      </c>
      <c r="V140">
        <v>0.1938</v>
      </c>
      <c r="W140">
        <v>0.22670000000000001</v>
      </c>
      <c r="X140">
        <v>0.2341</v>
      </c>
      <c r="Y140">
        <v>0.17630000000000001</v>
      </c>
      <c r="Z140">
        <v>0.23599999999999999</v>
      </c>
      <c r="AA140">
        <v>0.1114</v>
      </c>
      <c r="AB140">
        <v>9.8100000000000007E-2</v>
      </c>
      <c r="AC140">
        <v>8.6999999999999994E-2</v>
      </c>
      <c r="AD140" t="s">
        <v>73</v>
      </c>
    </row>
    <row r="141" spans="1:30" x14ac:dyDescent="0.3">
      <c r="A141" t="s">
        <v>562</v>
      </c>
      <c r="B141" s="5" t="s">
        <v>563</v>
      </c>
      <c r="C141" t="s">
        <v>30</v>
      </c>
      <c r="D141" s="5" t="s">
        <v>318</v>
      </c>
      <c r="E141">
        <v>4.87E-2</v>
      </c>
      <c r="F141">
        <v>3.8199999999999998E-2</v>
      </c>
      <c r="G141">
        <v>2.6700000000000002E-2</v>
      </c>
      <c r="H141">
        <v>2.6700000000000002E-2</v>
      </c>
      <c r="I141">
        <v>3.2000000000000001E-2</v>
      </c>
      <c r="J141">
        <v>2.6700000000000002E-2</v>
      </c>
      <c r="K141">
        <v>2.46E-2</v>
      </c>
      <c r="L141">
        <v>4.1399999999999999E-2</v>
      </c>
      <c r="M141">
        <v>3.09E-2</v>
      </c>
      <c r="N141">
        <v>3.7199999999999997E-2</v>
      </c>
      <c r="O141">
        <v>4.19E-2</v>
      </c>
      <c r="P141">
        <v>2.7199999999999998E-2</v>
      </c>
      <c r="Q141">
        <v>2.7199999999999998E-2</v>
      </c>
      <c r="R141">
        <v>2.7199999999999998E-2</v>
      </c>
      <c r="S141">
        <v>2.7199999999999998E-2</v>
      </c>
      <c r="T141">
        <v>2.8799999999999999E-2</v>
      </c>
      <c r="U141">
        <v>3.04E-2</v>
      </c>
      <c r="V141">
        <v>3.04E-2</v>
      </c>
      <c r="W141">
        <v>2.7199999999999998E-2</v>
      </c>
      <c r="X141">
        <v>0.1135</v>
      </c>
      <c r="Y141">
        <v>0.14449999999999999</v>
      </c>
      <c r="Z141">
        <v>0.15279999999999999</v>
      </c>
      <c r="AA141">
        <v>0.14549999999999999</v>
      </c>
      <c r="AB141">
        <v>0.16850000000000001</v>
      </c>
      <c r="AC141">
        <v>0.1958</v>
      </c>
      <c r="AD141" t="s">
        <v>73</v>
      </c>
    </row>
    <row r="142" spans="1:30" x14ac:dyDescent="0.3">
      <c r="A142" t="s">
        <v>562</v>
      </c>
      <c r="B142" s="5" t="s">
        <v>563</v>
      </c>
      <c r="C142" t="s">
        <v>319</v>
      </c>
      <c r="D142" s="5" t="s">
        <v>320</v>
      </c>
      <c r="E142" t="s">
        <v>73</v>
      </c>
      <c r="F142" t="s">
        <v>73</v>
      </c>
      <c r="G142" t="s">
        <v>73</v>
      </c>
      <c r="H142" t="s">
        <v>73</v>
      </c>
      <c r="I142" t="s">
        <v>73</v>
      </c>
      <c r="J142" t="s">
        <v>73</v>
      </c>
      <c r="K142" t="s">
        <v>73</v>
      </c>
      <c r="L142" t="s">
        <v>73</v>
      </c>
      <c r="M142" t="s">
        <v>73</v>
      </c>
      <c r="N142" t="s">
        <v>73</v>
      </c>
      <c r="O142" t="s">
        <v>73</v>
      </c>
      <c r="P142" t="s">
        <v>73</v>
      </c>
      <c r="Q142" t="s">
        <v>73</v>
      </c>
      <c r="R142" t="s">
        <v>73</v>
      </c>
      <c r="S142" t="s">
        <v>73</v>
      </c>
      <c r="T142" t="s">
        <v>73</v>
      </c>
      <c r="U142" t="s">
        <v>73</v>
      </c>
      <c r="V142" t="s">
        <v>73</v>
      </c>
      <c r="W142" t="s">
        <v>73</v>
      </c>
      <c r="X142" t="s">
        <v>73</v>
      </c>
      <c r="Y142" t="s">
        <v>73</v>
      </c>
      <c r="Z142" t="s">
        <v>73</v>
      </c>
      <c r="AA142" t="s">
        <v>73</v>
      </c>
      <c r="AB142" t="s">
        <v>73</v>
      </c>
      <c r="AC142" t="s">
        <v>73</v>
      </c>
      <c r="AD142" t="s">
        <v>73</v>
      </c>
    </row>
    <row r="143" spans="1:30" x14ac:dyDescent="0.3">
      <c r="A143" t="s">
        <v>562</v>
      </c>
      <c r="B143" s="5" t="s">
        <v>563</v>
      </c>
      <c r="C143" t="s">
        <v>51</v>
      </c>
      <c r="D143" s="5" t="s">
        <v>321</v>
      </c>
      <c r="E143">
        <v>0.44119999999999998</v>
      </c>
      <c r="F143">
        <v>0.51049999999999995</v>
      </c>
      <c r="G143">
        <v>0.58309999999999995</v>
      </c>
      <c r="H143">
        <v>0.63929999999999998</v>
      </c>
      <c r="I143">
        <v>0.66359999999999997</v>
      </c>
      <c r="J143">
        <v>0.54369999999999996</v>
      </c>
      <c r="K143">
        <v>0.54710000000000003</v>
      </c>
      <c r="L143">
        <v>0.54649999999999999</v>
      </c>
      <c r="M143">
        <v>0.56740000000000002</v>
      </c>
      <c r="N143">
        <v>0.63290000000000002</v>
      </c>
      <c r="O143">
        <v>0.65920000000000001</v>
      </c>
      <c r="P143">
        <v>0.64949999999999997</v>
      </c>
      <c r="Q143">
        <v>0.68959999999999999</v>
      </c>
      <c r="R143">
        <v>0.63919999999999999</v>
      </c>
      <c r="S143">
        <v>0.71399999999999997</v>
      </c>
      <c r="T143">
        <v>0.77059999999999995</v>
      </c>
      <c r="U143">
        <v>0.70589999999999997</v>
      </c>
      <c r="V143">
        <v>0.81359999999999999</v>
      </c>
      <c r="W143">
        <v>1.0173000000000001</v>
      </c>
      <c r="X143">
        <v>1.0283</v>
      </c>
      <c r="Y143">
        <v>0.99619999999999997</v>
      </c>
      <c r="Z143">
        <v>0.90059999999999996</v>
      </c>
      <c r="AA143">
        <v>0.71040000000000003</v>
      </c>
      <c r="AB143">
        <v>0.70069999999999999</v>
      </c>
      <c r="AC143">
        <v>0.69110000000000005</v>
      </c>
      <c r="AD143" t="s">
        <v>73</v>
      </c>
    </row>
    <row r="144" spans="1:30" x14ac:dyDescent="0.3">
      <c r="A144" t="s">
        <v>562</v>
      </c>
      <c r="B144" s="5" t="s">
        <v>563</v>
      </c>
      <c r="C144" t="s">
        <v>322</v>
      </c>
      <c r="D144" s="5" t="s">
        <v>323</v>
      </c>
      <c r="E144">
        <v>0.03</v>
      </c>
      <c r="F144">
        <v>2.3E-2</v>
      </c>
      <c r="G144">
        <v>2.2800000000000001E-2</v>
      </c>
      <c r="H144">
        <v>4.0800000000000003E-2</v>
      </c>
      <c r="I144">
        <v>3.1600000000000003E-2</v>
      </c>
      <c r="J144">
        <v>1.7100000000000001E-2</v>
      </c>
      <c r="K144">
        <v>4.82E-2</v>
      </c>
      <c r="L144">
        <v>7.0199999999999999E-2</v>
      </c>
      <c r="M144">
        <v>7.5600000000000001E-2</v>
      </c>
      <c r="N144">
        <v>7.7799999999999994E-2</v>
      </c>
      <c r="O144">
        <v>7.8799999999999995E-2</v>
      </c>
      <c r="P144">
        <v>4.3499999999999997E-2</v>
      </c>
      <c r="Q144">
        <v>8.1199999999999994E-2</v>
      </c>
      <c r="R144">
        <v>7.5600000000000001E-2</v>
      </c>
      <c r="S144">
        <v>5.5399999999999998E-2</v>
      </c>
      <c r="T144">
        <v>0.1167</v>
      </c>
      <c r="U144">
        <v>0.1094</v>
      </c>
      <c r="V144">
        <v>0.15490000000000001</v>
      </c>
      <c r="W144">
        <v>6.6900000000000001E-2</v>
      </c>
      <c r="X144">
        <v>9.5600000000000004E-2</v>
      </c>
      <c r="Y144">
        <v>0.1532</v>
      </c>
      <c r="Z144">
        <v>0.13769999999999999</v>
      </c>
      <c r="AA144">
        <v>9.7000000000000003E-2</v>
      </c>
      <c r="AB144">
        <v>9.01E-2</v>
      </c>
      <c r="AC144">
        <v>8.4099999999999994E-2</v>
      </c>
      <c r="AD144" t="s">
        <v>73</v>
      </c>
    </row>
    <row r="145" spans="1:30" x14ac:dyDescent="0.3">
      <c r="A145" t="s">
        <v>562</v>
      </c>
      <c r="B145" s="5" t="s">
        <v>563</v>
      </c>
      <c r="C145" t="s">
        <v>324</v>
      </c>
      <c r="D145" s="5" t="s">
        <v>325</v>
      </c>
      <c r="E145" t="s">
        <v>73</v>
      </c>
      <c r="F145" t="s">
        <v>73</v>
      </c>
      <c r="G145" t="s">
        <v>73</v>
      </c>
      <c r="H145" t="s">
        <v>73</v>
      </c>
      <c r="I145" t="s">
        <v>73</v>
      </c>
      <c r="J145" t="s">
        <v>73</v>
      </c>
      <c r="K145" t="s">
        <v>73</v>
      </c>
      <c r="L145" t="s">
        <v>73</v>
      </c>
      <c r="M145" t="s">
        <v>73</v>
      </c>
      <c r="N145" t="s">
        <v>73</v>
      </c>
      <c r="O145" t="s">
        <v>73</v>
      </c>
      <c r="P145" t="s">
        <v>73</v>
      </c>
      <c r="Q145" t="s">
        <v>73</v>
      </c>
      <c r="R145" t="s">
        <v>73</v>
      </c>
      <c r="S145" t="s">
        <v>73</v>
      </c>
      <c r="T145" t="s">
        <v>73</v>
      </c>
      <c r="U145" t="s">
        <v>73</v>
      </c>
      <c r="V145" t="s">
        <v>73</v>
      </c>
      <c r="W145" t="s">
        <v>73</v>
      </c>
      <c r="X145" t="s">
        <v>73</v>
      </c>
      <c r="Y145" t="s">
        <v>73</v>
      </c>
      <c r="Z145" t="s">
        <v>73</v>
      </c>
      <c r="AA145" t="s">
        <v>73</v>
      </c>
      <c r="AB145" t="s">
        <v>73</v>
      </c>
      <c r="AC145" t="s">
        <v>73</v>
      </c>
      <c r="AD145" t="s">
        <v>73</v>
      </c>
    </row>
    <row r="146" spans="1:30" x14ac:dyDescent="0.3">
      <c r="A146" t="s">
        <v>562</v>
      </c>
      <c r="B146" s="5" t="s">
        <v>563</v>
      </c>
      <c r="C146" t="s">
        <v>326</v>
      </c>
      <c r="D146" s="5" t="s">
        <v>327</v>
      </c>
      <c r="E146">
        <v>0.1293</v>
      </c>
      <c r="F146">
        <v>0.2152</v>
      </c>
      <c r="G146">
        <v>0.104</v>
      </c>
      <c r="H146">
        <v>0.20469999999999999</v>
      </c>
      <c r="I146">
        <v>0.1537</v>
      </c>
      <c r="J146">
        <v>0.1623</v>
      </c>
      <c r="K146">
        <v>0.2359</v>
      </c>
      <c r="L146">
        <v>0.16059999999999999</v>
      </c>
      <c r="M146">
        <v>0.29099999999999998</v>
      </c>
      <c r="N146">
        <v>0.1943</v>
      </c>
      <c r="O146">
        <v>0.4904</v>
      </c>
      <c r="P146">
        <v>0.1421</v>
      </c>
      <c r="Q146">
        <v>0.33300000000000002</v>
      </c>
      <c r="R146">
        <v>0.56920000000000004</v>
      </c>
      <c r="S146">
        <v>0.32590000000000002</v>
      </c>
      <c r="T146">
        <v>0.26169999999999999</v>
      </c>
      <c r="U146">
        <v>0.31759999999999999</v>
      </c>
      <c r="V146">
        <v>0.65329999999999999</v>
      </c>
      <c r="W146">
        <v>0.60650000000000004</v>
      </c>
      <c r="X146">
        <v>0.64600000000000002</v>
      </c>
      <c r="Y146">
        <v>0.77790000000000004</v>
      </c>
      <c r="Z146">
        <v>1.2703</v>
      </c>
      <c r="AA146">
        <v>0.9849</v>
      </c>
      <c r="AB146">
        <v>1.0511999999999999</v>
      </c>
      <c r="AC146">
        <v>1.1235999999999999</v>
      </c>
      <c r="AD146" t="s">
        <v>73</v>
      </c>
    </row>
    <row r="147" spans="1:30" x14ac:dyDescent="0.3">
      <c r="A147" t="s">
        <v>562</v>
      </c>
      <c r="B147" s="5" t="s">
        <v>563</v>
      </c>
      <c r="C147" t="s">
        <v>328</v>
      </c>
      <c r="D147" s="5" t="s">
        <v>329</v>
      </c>
      <c r="E147">
        <v>3.0300000000000001E-2</v>
      </c>
      <c r="F147">
        <v>1.5699999999999999E-2</v>
      </c>
      <c r="G147">
        <v>2.1700000000000001E-2</v>
      </c>
      <c r="H147">
        <v>1.26E-2</v>
      </c>
      <c r="I147">
        <v>1.0500000000000001E-2</v>
      </c>
      <c r="J147">
        <v>1.1299999999999999E-2</v>
      </c>
      <c r="K147">
        <v>1.5699999999999999E-2</v>
      </c>
      <c r="L147">
        <v>1.29E-2</v>
      </c>
      <c r="M147">
        <v>6.6E-3</v>
      </c>
      <c r="N147">
        <v>3.5000000000000001E-3</v>
      </c>
      <c r="O147">
        <v>1.6E-2</v>
      </c>
      <c r="P147">
        <v>1.43E-2</v>
      </c>
      <c r="Q147">
        <v>1.9300000000000001E-2</v>
      </c>
      <c r="R147">
        <v>2.53E-2</v>
      </c>
      <c r="S147">
        <v>2.2499999999999999E-2</v>
      </c>
      <c r="T147">
        <v>2.01E-2</v>
      </c>
      <c r="U147">
        <v>2.1399999999999999E-2</v>
      </c>
      <c r="V147">
        <v>2.4E-2</v>
      </c>
      <c r="W147">
        <v>1.4800000000000001E-2</v>
      </c>
      <c r="X147">
        <v>2.41E-2</v>
      </c>
      <c r="Y147">
        <v>3.8100000000000002E-2</v>
      </c>
      <c r="Z147">
        <v>2.06E-2</v>
      </c>
      <c r="AA147">
        <v>2.0400000000000001E-2</v>
      </c>
      <c r="AB147">
        <v>2.01E-2</v>
      </c>
      <c r="AC147">
        <v>1.9900000000000001E-2</v>
      </c>
      <c r="AD147" t="s">
        <v>73</v>
      </c>
    </row>
    <row r="148" spans="1:30" x14ac:dyDescent="0.3">
      <c r="A148" t="s">
        <v>562</v>
      </c>
      <c r="B148" s="5" t="s">
        <v>563</v>
      </c>
      <c r="C148" t="s">
        <v>330</v>
      </c>
      <c r="D148" s="5" t="s">
        <v>331</v>
      </c>
      <c r="E148" t="s">
        <v>73</v>
      </c>
      <c r="F148" t="s">
        <v>73</v>
      </c>
      <c r="G148" t="s">
        <v>73</v>
      </c>
      <c r="H148" t="s">
        <v>73</v>
      </c>
      <c r="I148" t="s">
        <v>73</v>
      </c>
      <c r="J148" t="s">
        <v>73</v>
      </c>
      <c r="K148" t="s">
        <v>73</v>
      </c>
      <c r="L148" t="s">
        <v>73</v>
      </c>
      <c r="M148" t="s">
        <v>73</v>
      </c>
      <c r="N148" t="s">
        <v>73</v>
      </c>
      <c r="O148" t="s">
        <v>73</v>
      </c>
      <c r="P148" t="s">
        <v>73</v>
      </c>
      <c r="Q148" t="s">
        <v>73</v>
      </c>
      <c r="R148" t="s">
        <v>73</v>
      </c>
      <c r="S148" t="s">
        <v>73</v>
      </c>
      <c r="T148" t="s">
        <v>73</v>
      </c>
      <c r="U148" t="s">
        <v>73</v>
      </c>
      <c r="V148" t="s">
        <v>73</v>
      </c>
      <c r="W148" t="s">
        <v>73</v>
      </c>
      <c r="X148" t="s">
        <v>73</v>
      </c>
      <c r="Y148" t="s">
        <v>73</v>
      </c>
      <c r="Z148" t="s">
        <v>73</v>
      </c>
      <c r="AA148" t="s">
        <v>73</v>
      </c>
      <c r="AB148" t="s">
        <v>73</v>
      </c>
      <c r="AC148" t="s">
        <v>73</v>
      </c>
      <c r="AD148" t="s">
        <v>73</v>
      </c>
    </row>
    <row r="149" spans="1:30" x14ac:dyDescent="0.3">
      <c r="A149" t="s">
        <v>562</v>
      </c>
      <c r="B149" s="5" t="s">
        <v>563</v>
      </c>
      <c r="C149" t="s">
        <v>31</v>
      </c>
      <c r="D149" s="5" t="s">
        <v>332</v>
      </c>
      <c r="E149">
        <v>9.4000000000000004E-3</v>
      </c>
      <c r="F149">
        <v>1.26E-2</v>
      </c>
      <c r="G149">
        <v>9.4000000000000004E-3</v>
      </c>
      <c r="H149">
        <v>9.4000000000000004E-3</v>
      </c>
      <c r="I149">
        <v>1.5699999999999999E-2</v>
      </c>
      <c r="J149">
        <v>1.89E-2</v>
      </c>
      <c r="K149">
        <v>1.5699999999999999E-2</v>
      </c>
      <c r="L149">
        <v>6.3E-3</v>
      </c>
      <c r="M149">
        <v>0</v>
      </c>
      <c r="N149">
        <v>0</v>
      </c>
      <c r="O149">
        <v>0</v>
      </c>
      <c r="P149">
        <v>9.4000000000000004E-3</v>
      </c>
      <c r="Q149">
        <v>9.4000000000000004E-3</v>
      </c>
      <c r="R149">
        <v>9.9000000000000008E-3</v>
      </c>
      <c r="S149">
        <v>8.3000000000000001E-3</v>
      </c>
      <c r="T149">
        <v>7.1999999999999998E-3</v>
      </c>
      <c r="U149">
        <v>6.7000000000000002E-3</v>
      </c>
      <c r="V149">
        <v>5.4000000000000003E-3</v>
      </c>
      <c r="W149">
        <v>5.1000000000000004E-3</v>
      </c>
      <c r="X149">
        <v>6.1999999999999998E-3</v>
      </c>
      <c r="Y149">
        <v>5.5999999999999999E-3</v>
      </c>
      <c r="Z149">
        <v>5.1000000000000004E-3</v>
      </c>
      <c r="AA149">
        <v>4.0000000000000002E-4</v>
      </c>
      <c r="AB149">
        <v>4.0000000000000002E-4</v>
      </c>
      <c r="AC149">
        <v>4.0000000000000002E-4</v>
      </c>
      <c r="AD149" t="s">
        <v>73</v>
      </c>
    </row>
    <row r="150" spans="1:30" x14ac:dyDescent="0.3">
      <c r="A150" t="s">
        <v>562</v>
      </c>
      <c r="B150" s="5" t="s">
        <v>563</v>
      </c>
      <c r="C150" t="s">
        <v>333</v>
      </c>
      <c r="D150" s="5" t="s">
        <v>334</v>
      </c>
      <c r="E150" t="s">
        <v>73</v>
      </c>
      <c r="F150" t="s">
        <v>73</v>
      </c>
      <c r="G150" t="s">
        <v>73</v>
      </c>
      <c r="H150" t="s">
        <v>73</v>
      </c>
      <c r="I150" t="s">
        <v>73</v>
      </c>
      <c r="J150" t="s">
        <v>73</v>
      </c>
      <c r="K150" t="s">
        <v>73</v>
      </c>
      <c r="L150" t="s">
        <v>73</v>
      </c>
      <c r="M150" t="s">
        <v>73</v>
      </c>
      <c r="N150" t="s">
        <v>73</v>
      </c>
      <c r="O150" t="s">
        <v>73</v>
      </c>
      <c r="P150" t="s">
        <v>73</v>
      </c>
      <c r="Q150" t="s">
        <v>73</v>
      </c>
      <c r="R150" t="s">
        <v>73</v>
      </c>
      <c r="S150" t="s">
        <v>73</v>
      </c>
      <c r="T150" t="s">
        <v>73</v>
      </c>
      <c r="U150" t="s">
        <v>73</v>
      </c>
      <c r="V150" t="s">
        <v>73</v>
      </c>
      <c r="W150" t="s">
        <v>73</v>
      </c>
      <c r="X150" t="s">
        <v>73</v>
      </c>
      <c r="Y150" t="s">
        <v>73</v>
      </c>
      <c r="Z150" t="s">
        <v>73</v>
      </c>
      <c r="AA150" t="s">
        <v>73</v>
      </c>
      <c r="AB150" t="s">
        <v>73</v>
      </c>
      <c r="AC150" t="s">
        <v>73</v>
      </c>
      <c r="AD150" t="s">
        <v>73</v>
      </c>
    </row>
    <row r="151" spans="1:30" x14ac:dyDescent="0.3">
      <c r="A151" t="s">
        <v>562</v>
      </c>
      <c r="B151" s="5" t="s">
        <v>563</v>
      </c>
      <c r="C151" t="s">
        <v>335</v>
      </c>
      <c r="D151" s="5" t="s">
        <v>336</v>
      </c>
      <c r="E151">
        <v>3.3969</v>
      </c>
      <c r="F151">
        <v>3.464</v>
      </c>
      <c r="G151">
        <v>3.5190999999999999</v>
      </c>
      <c r="H151">
        <v>3.7867000000000002</v>
      </c>
      <c r="I151">
        <v>4.1952999999999996</v>
      </c>
      <c r="J151">
        <v>4.4629000000000003</v>
      </c>
      <c r="K151">
        <v>4.0206</v>
      </c>
      <c r="L151">
        <v>4.4555999999999996</v>
      </c>
      <c r="M151">
        <v>4.5801999999999996</v>
      </c>
      <c r="N151">
        <v>5.3310000000000004</v>
      </c>
      <c r="O151">
        <v>4.7229999999999999</v>
      </c>
      <c r="P151">
        <v>4.7519</v>
      </c>
      <c r="Q151">
        <v>4.2850000000000001</v>
      </c>
      <c r="R151">
        <v>4.7903000000000002</v>
      </c>
      <c r="S151">
        <v>5.0096999999999996</v>
      </c>
      <c r="T151">
        <v>3.9965999999999999</v>
      </c>
      <c r="U151">
        <v>5.5086000000000004</v>
      </c>
      <c r="V151">
        <v>5.1559999999999997</v>
      </c>
      <c r="W151">
        <v>5.2210000000000001</v>
      </c>
      <c r="X151">
        <v>5.1981999999999999</v>
      </c>
      <c r="Y151">
        <v>5.4888000000000003</v>
      </c>
      <c r="Z151">
        <v>5.5853999999999999</v>
      </c>
      <c r="AA151">
        <v>5.1254</v>
      </c>
      <c r="AB151">
        <v>5.1192000000000002</v>
      </c>
      <c r="AC151">
        <v>5.1368999999999998</v>
      </c>
      <c r="AD151" t="s">
        <v>73</v>
      </c>
    </row>
    <row r="152" spans="1:30" x14ac:dyDescent="0.3">
      <c r="A152" t="s">
        <v>562</v>
      </c>
      <c r="B152" s="5" t="s">
        <v>563</v>
      </c>
      <c r="C152" t="s">
        <v>337</v>
      </c>
      <c r="D152" s="5" t="s">
        <v>338</v>
      </c>
      <c r="E152" t="s">
        <v>73</v>
      </c>
      <c r="F152" t="s">
        <v>73</v>
      </c>
      <c r="G152" t="s">
        <v>73</v>
      </c>
      <c r="H152" t="s">
        <v>73</v>
      </c>
      <c r="I152" t="s">
        <v>73</v>
      </c>
      <c r="J152" t="s">
        <v>73</v>
      </c>
      <c r="K152" t="s">
        <v>73</v>
      </c>
      <c r="L152" t="s">
        <v>73</v>
      </c>
      <c r="M152" t="s">
        <v>73</v>
      </c>
      <c r="N152" t="s">
        <v>73</v>
      </c>
      <c r="O152" t="s">
        <v>73</v>
      </c>
      <c r="P152" t="s">
        <v>73</v>
      </c>
      <c r="Q152" t="s">
        <v>73</v>
      </c>
      <c r="R152" t="s">
        <v>73</v>
      </c>
      <c r="S152" t="s">
        <v>73</v>
      </c>
      <c r="T152" t="s">
        <v>73</v>
      </c>
      <c r="U152" t="s">
        <v>73</v>
      </c>
      <c r="V152" t="s">
        <v>73</v>
      </c>
      <c r="W152" t="s">
        <v>73</v>
      </c>
      <c r="X152" t="s">
        <v>73</v>
      </c>
      <c r="Y152" t="s">
        <v>73</v>
      </c>
      <c r="Z152" t="s">
        <v>73</v>
      </c>
      <c r="AA152" t="s">
        <v>73</v>
      </c>
      <c r="AB152" t="s">
        <v>73</v>
      </c>
      <c r="AC152" t="s">
        <v>73</v>
      </c>
      <c r="AD152" t="s">
        <v>73</v>
      </c>
    </row>
    <row r="153" spans="1:30" x14ac:dyDescent="0.3">
      <c r="A153" t="s">
        <v>562</v>
      </c>
      <c r="B153" s="5" t="s">
        <v>563</v>
      </c>
      <c r="C153" t="s">
        <v>339</v>
      </c>
      <c r="D153" s="5" t="s">
        <v>340</v>
      </c>
      <c r="E153" t="s">
        <v>73</v>
      </c>
      <c r="F153" t="s">
        <v>73</v>
      </c>
      <c r="G153" t="s">
        <v>73</v>
      </c>
      <c r="H153" t="s">
        <v>73</v>
      </c>
      <c r="I153" t="s">
        <v>73</v>
      </c>
      <c r="J153" t="s">
        <v>73</v>
      </c>
      <c r="K153" t="s">
        <v>73</v>
      </c>
      <c r="L153" t="s">
        <v>73</v>
      </c>
      <c r="M153" t="s">
        <v>73</v>
      </c>
      <c r="N153" t="s">
        <v>73</v>
      </c>
      <c r="O153" t="s">
        <v>73</v>
      </c>
      <c r="P153" t="s">
        <v>73</v>
      </c>
      <c r="Q153" t="s">
        <v>73</v>
      </c>
      <c r="R153" t="s">
        <v>73</v>
      </c>
      <c r="S153" t="s">
        <v>73</v>
      </c>
      <c r="T153" t="s">
        <v>73</v>
      </c>
      <c r="U153" t="s">
        <v>73</v>
      </c>
      <c r="V153" t="s">
        <v>73</v>
      </c>
      <c r="W153" t="s">
        <v>73</v>
      </c>
      <c r="X153" t="s">
        <v>73</v>
      </c>
      <c r="Y153" t="s">
        <v>73</v>
      </c>
      <c r="Z153" t="s">
        <v>73</v>
      </c>
      <c r="AA153" t="s">
        <v>73</v>
      </c>
      <c r="AB153" t="s">
        <v>73</v>
      </c>
      <c r="AC153" t="s">
        <v>73</v>
      </c>
      <c r="AD153" t="s">
        <v>73</v>
      </c>
    </row>
    <row r="154" spans="1:30" x14ac:dyDescent="0.3">
      <c r="A154" t="s">
        <v>562</v>
      </c>
      <c r="B154" s="5" t="s">
        <v>563</v>
      </c>
      <c r="C154" t="s">
        <v>341</v>
      </c>
      <c r="D154" s="5" t="s">
        <v>342</v>
      </c>
      <c r="E154" t="s">
        <v>73</v>
      </c>
      <c r="F154" t="s">
        <v>73</v>
      </c>
      <c r="G154" t="s">
        <v>73</v>
      </c>
      <c r="H154" t="s">
        <v>73</v>
      </c>
      <c r="I154" t="s">
        <v>73</v>
      </c>
      <c r="J154" t="s">
        <v>73</v>
      </c>
      <c r="K154" t="s">
        <v>73</v>
      </c>
      <c r="L154" t="s">
        <v>73</v>
      </c>
      <c r="M154" t="s">
        <v>73</v>
      </c>
      <c r="N154" t="s">
        <v>73</v>
      </c>
      <c r="O154" t="s">
        <v>73</v>
      </c>
      <c r="P154" t="s">
        <v>73</v>
      </c>
      <c r="Q154" t="s">
        <v>73</v>
      </c>
      <c r="R154" t="s">
        <v>73</v>
      </c>
      <c r="S154" t="s">
        <v>73</v>
      </c>
      <c r="T154" t="s">
        <v>73</v>
      </c>
      <c r="U154" t="s">
        <v>73</v>
      </c>
      <c r="V154" t="s">
        <v>73</v>
      </c>
      <c r="W154" t="s">
        <v>73</v>
      </c>
      <c r="X154" t="s">
        <v>73</v>
      </c>
      <c r="Y154" t="s">
        <v>73</v>
      </c>
      <c r="Z154" t="s">
        <v>73</v>
      </c>
      <c r="AA154" t="s">
        <v>73</v>
      </c>
      <c r="AB154" t="s">
        <v>73</v>
      </c>
      <c r="AC154" t="s">
        <v>73</v>
      </c>
      <c r="AD154" t="s">
        <v>73</v>
      </c>
    </row>
    <row r="155" spans="1:30" x14ac:dyDescent="0.3">
      <c r="A155" t="s">
        <v>562</v>
      </c>
      <c r="B155" s="5" t="s">
        <v>563</v>
      </c>
      <c r="C155" t="s">
        <v>343</v>
      </c>
      <c r="D155" s="5" t="s">
        <v>344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2.8500000000000001E-2</v>
      </c>
      <c r="O155">
        <v>3.1300000000000001E-2</v>
      </c>
      <c r="P155">
        <v>3.5499999999999997E-2</v>
      </c>
      <c r="Q155">
        <v>6.0199999999999997E-2</v>
      </c>
      <c r="R155">
        <v>4.36E-2</v>
      </c>
      <c r="S155">
        <v>5.4699999999999999E-2</v>
      </c>
      <c r="T155">
        <v>3.3399999999999999E-2</v>
      </c>
      <c r="U155">
        <v>4.8399999999999999E-2</v>
      </c>
      <c r="V155">
        <v>4.4299999999999999E-2</v>
      </c>
      <c r="W155">
        <v>5.04E-2</v>
      </c>
      <c r="X155">
        <v>7.7799999999999994E-2</v>
      </c>
      <c r="Y155">
        <v>7.4999999999999997E-2</v>
      </c>
      <c r="Z155">
        <v>0.08</v>
      </c>
      <c r="AA155">
        <v>3.2000000000000001E-2</v>
      </c>
      <c r="AB155">
        <v>3.09E-2</v>
      </c>
      <c r="AC155">
        <v>0.03</v>
      </c>
      <c r="AD155" t="s">
        <v>73</v>
      </c>
    </row>
    <row r="156" spans="1:30" x14ac:dyDescent="0.3">
      <c r="A156" t="s">
        <v>562</v>
      </c>
      <c r="B156" s="5" t="s">
        <v>563</v>
      </c>
      <c r="C156" t="s">
        <v>345</v>
      </c>
      <c r="D156" s="5" t="s">
        <v>346</v>
      </c>
      <c r="E156">
        <v>0.3609</v>
      </c>
      <c r="F156">
        <v>0.37580000000000002</v>
      </c>
      <c r="G156">
        <v>0.38750000000000001</v>
      </c>
      <c r="H156">
        <v>0.39439999999999997</v>
      </c>
      <c r="I156">
        <v>0.40510000000000002</v>
      </c>
      <c r="J156">
        <v>0.433</v>
      </c>
      <c r="K156">
        <v>0.48049999999999998</v>
      </c>
      <c r="L156">
        <v>0.46600000000000003</v>
      </c>
      <c r="M156">
        <v>0.49509999999999998</v>
      </c>
      <c r="N156">
        <v>0.54249999999999998</v>
      </c>
      <c r="O156">
        <v>0.53159999999999996</v>
      </c>
      <c r="P156">
        <v>0.56850000000000001</v>
      </c>
      <c r="Q156">
        <v>0.59119999999999995</v>
      </c>
      <c r="R156">
        <v>0.74639999999999995</v>
      </c>
      <c r="S156">
        <v>0.69969999999999999</v>
      </c>
      <c r="T156">
        <v>0.91820000000000002</v>
      </c>
      <c r="U156">
        <v>0.79210000000000003</v>
      </c>
      <c r="V156">
        <v>0.90359999999999996</v>
      </c>
      <c r="W156">
        <v>0.69840000000000002</v>
      </c>
      <c r="X156">
        <v>1.1472</v>
      </c>
      <c r="Y156">
        <v>0.88300000000000001</v>
      </c>
      <c r="Z156">
        <v>1.2646999999999999</v>
      </c>
      <c r="AA156">
        <v>0.97299999999999998</v>
      </c>
      <c r="AB156">
        <v>0.9274</v>
      </c>
      <c r="AC156">
        <v>0.91420000000000001</v>
      </c>
      <c r="AD156" t="s">
        <v>73</v>
      </c>
    </row>
    <row r="157" spans="1:30" x14ac:dyDescent="0.3">
      <c r="A157" t="s">
        <v>562</v>
      </c>
      <c r="B157" s="5" t="s">
        <v>563</v>
      </c>
      <c r="C157" t="s">
        <v>347</v>
      </c>
      <c r="D157" s="5" t="s">
        <v>348</v>
      </c>
      <c r="E157">
        <v>0.98499999999999999</v>
      </c>
      <c r="F157">
        <v>0.9325</v>
      </c>
      <c r="G157">
        <v>0.90329999999999999</v>
      </c>
      <c r="H157">
        <v>0.79479999999999995</v>
      </c>
      <c r="I157">
        <v>0.96120000000000005</v>
      </c>
      <c r="J157">
        <v>0.96379999999999999</v>
      </c>
      <c r="K157">
        <v>0.96379999999999999</v>
      </c>
      <c r="L157">
        <v>1.1870000000000001</v>
      </c>
      <c r="M157">
        <v>0.98370000000000002</v>
      </c>
      <c r="N157">
        <v>0.98740000000000006</v>
      </c>
      <c r="O157">
        <v>0.94910000000000005</v>
      </c>
      <c r="P157">
        <v>0.98419999999999996</v>
      </c>
      <c r="Q157">
        <v>1.0356000000000001</v>
      </c>
      <c r="R157">
        <v>1.2396</v>
      </c>
      <c r="S157">
        <v>1.5724</v>
      </c>
      <c r="T157">
        <v>1.3769</v>
      </c>
      <c r="U157">
        <v>1.4932000000000001</v>
      </c>
      <c r="V157">
        <v>1.5033000000000001</v>
      </c>
      <c r="W157">
        <v>1.3915999999999999</v>
      </c>
      <c r="X157">
        <v>1.2344999999999999</v>
      </c>
      <c r="Y157">
        <v>1.5006999999999999</v>
      </c>
      <c r="Z157">
        <v>1.25</v>
      </c>
      <c r="AA157">
        <v>1.2878000000000001</v>
      </c>
      <c r="AB157">
        <v>1.2323</v>
      </c>
      <c r="AC157">
        <v>1.1845000000000001</v>
      </c>
      <c r="AD157" t="s">
        <v>73</v>
      </c>
    </row>
    <row r="158" spans="1:30" x14ac:dyDescent="0.3">
      <c r="A158" t="s">
        <v>562</v>
      </c>
      <c r="B158" s="5" t="s">
        <v>563</v>
      </c>
      <c r="C158" t="s">
        <v>32</v>
      </c>
      <c r="D158" s="5" t="s">
        <v>349</v>
      </c>
      <c r="E158">
        <v>1.7179</v>
      </c>
      <c r="F158">
        <v>1.7004999999999999</v>
      </c>
      <c r="G158">
        <v>1.4373</v>
      </c>
      <c r="H158">
        <v>1.6957</v>
      </c>
      <c r="I158">
        <v>1.5725</v>
      </c>
      <c r="J158">
        <v>1.6803999999999999</v>
      </c>
      <c r="K158">
        <v>1.7563</v>
      </c>
      <c r="L158">
        <v>1.8516999999999999</v>
      </c>
      <c r="M158">
        <v>1.7490000000000001</v>
      </c>
      <c r="N158">
        <v>1.9209000000000001</v>
      </c>
      <c r="O158">
        <v>1.8684000000000001</v>
      </c>
      <c r="P158">
        <v>1.9779</v>
      </c>
      <c r="Q158">
        <v>2.1193</v>
      </c>
      <c r="R158">
        <v>1.9245000000000001</v>
      </c>
      <c r="S158">
        <v>1.7349000000000001</v>
      </c>
      <c r="T158">
        <v>1.8265</v>
      </c>
      <c r="U158">
        <v>1.9632000000000001</v>
      </c>
      <c r="V158">
        <v>2.0226000000000002</v>
      </c>
      <c r="W158">
        <v>1.7432000000000001</v>
      </c>
      <c r="X158">
        <v>1.8977999999999999</v>
      </c>
      <c r="Y158">
        <v>1.9052</v>
      </c>
      <c r="Z158">
        <v>1.7746999999999999</v>
      </c>
      <c r="AA158">
        <v>1.6149</v>
      </c>
      <c r="AB158">
        <v>1.3496999999999999</v>
      </c>
      <c r="AC158">
        <v>1.3322000000000001</v>
      </c>
      <c r="AD158" t="s">
        <v>73</v>
      </c>
    </row>
    <row r="159" spans="1:30" x14ac:dyDescent="0.3">
      <c r="A159" t="s">
        <v>562</v>
      </c>
      <c r="B159" s="5" t="s">
        <v>563</v>
      </c>
      <c r="C159" t="s">
        <v>33</v>
      </c>
      <c r="D159" s="5" t="s">
        <v>350</v>
      </c>
      <c r="E159">
        <v>5.3999999999999999E-2</v>
      </c>
      <c r="F159">
        <v>5.2400000000000002E-2</v>
      </c>
      <c r="G159">
        <v>5.2400000000000002E-2</v>
      </c>
      <c r="H159">
        <v>5.2400000000000002E-2</v>
      </c>
      <c r="I159">
        <v>5.2900000000000003E-2</v>
      </c>
      <c r="J159">
        <v>5.0799999999999998E-2</v>
      </c>
      <c r="K159">
        <v>5.1299999999999998E-2</v>
      </c>
      <c r="L159">
        <v>4.7100000000000003E-2</v>
      </c>
      <c r="M159">
        <v>5.0200000000000002E-2</v>
      </c>
      <c r="N159">
        <v>5.1900000000000002E-2</v>
      </c>
      <c r="O159">
        <v>5.5100000000000003E-2</v>
      </c>
      <c r="P159">
        <v>4.1399999999999999E-2</v>
      </c>
      <c r="Q159">
        <v>4.1399999999999999E-2</v>
      </c>
      <c r="R159">
        <v>4.1399999999999999E-2</v>
      </c>
      <c r="S159">
        <v>3.3500000000000002E-2</v>
      </c>
      <c r="T159">
        <v>3.9800000000000002E-2</v>
      </c>
      <c r="U159">
        <v>3.3500000000000002E-2</v>
      </c>
      <c r="V159">
        <v>3.6799999999999999E-2</v>
      </c>
      <c r="W159">
        <v>3.3799999999999997E-2</v>
      </c>
      <c r="X159">
        <v>3.6499999999999998E-2</v>
      </c>
      <c r="Y159">
        <v>3.4799999999999998E-2</v>
      </c>
      <c r="Z159">
        <v>1.8800000000000001E-2</v>
      </c>
      <c r="AA159">
        <v>1.09E-2</v>
      </c>
      <c r="AB159">
        <v>9.2999999999999992E-3</v>
      </c>
      <c r="AC159">
        <v>8.3000000000000001E-3</v>
      </c>
      <c r="AD159" t="s">
        <v>73</v>
      </c>
    </row>
    <row r="160" spans="1:30" x14ac:dyDescent="0.3">
      <c r="A160" t="s">
        <v>562</v>
      </c>
      <c r="B160" s="5" t="s">
        <v>563</v>
      </c>
      <c r="C160" t="s">
        <v>351</v>
      </c>
      <c r="D160" s="5" t="s">
        <v>352</v>
      </c>
      <c r="E160" t="s">
        <v>73</v>
      </c>
      <c r="F160" t="s">
        <v>73</v>
      </c>
      <c r="G160" t="s">
        <v>73</v>
      </c>
      <c r="H160" t="s">
        <v>73</v>
      </c>
      <c r="I160" t="s">
        <v>73</v>
      </c>
      <c r="J160" t="s">
        <v>73</v>
      </c>
      <c r="K160" t="s">
        <v>73</v>
      </c>
      <c r="L160" t="s">
        <v>73</v>
      </c>
      <c r="M160" t="s">
        <v>73</v>
      </c>
      <c r="N160" t="s">
        <v>73</v>
      </c>
      <c r="O160" t="s">
        <v>73</v>
      </c>
      <c r="P160" t="s">
        <v>73</v>
      </c>
      <c r="Q160" t="s">
        <v>73</v>
      </c>
      <c r="R160" t="s">
        <v>73</v>
      </c>
      <c r="S160" t="s">
        <v>73</v>
      </c>
      <c r="T160" t="s">
        <v>73</v>
      </c>
      <c r="U160" t="s">
        <v>73</v>
      </c>
      <c r="V160" t="s">
        <v>73</v>
      </c>
      <c r="W160" t="s">
        <v>73</v>
      </c>
      <c r="X160" t="s">
        <v>73</v>
      </c>
      <c r="Y160" t="s">
        <v>73</v>
      </c>
      <c r="Z160" t="s">
        <v>73</v>
      </c>
      <c r="AA160" t="s">
        <v>73</v>
      </c>
      <c r="AB160" t="s">
        <v>73</v>
      </c>
      <c r="AC160" t="s">
        <v>73</v>
      </c>
      <c r="AD160" t="s">
        <v>73</v>
      </c>
    </row>
    <row r="161" spans="1:30" x14ac:dyDescent="0.3">
      <c r="A161" t="s">
        <v>562</v>
      </c>
      <c r="B161" s="5" t="s">
        <v>563</v>
      </c>
      <c r="C161" t="s">
        <v>353</v>
      </c>
      <c r="D161" s="5" t="s">
        <v>354</v>
      </c>
      <c r="E161">
        <v>8.0000000000000004E-4</v>
      </c>
      <c r="F161">
        <v>1.4E-3</v>
      </c>
      <c r="G161">
        <v>1.6000000000000001E-3</v>
      </c>
      <c r="H161">
        <v>1.6000000000000001E-3</v>
      </c>
      <c r="I161">
        <v>1.6000000000000001E-3</v>
      </c>
      <c r="J161">
        <v>1.6000000000000001E-3</v>
      </c>
      <c r="K161">
        <v>1.6000000000000001E-3</v>
      </c>
      <c r="L161">
        <v>1.6000000000000001E-3</v>
      </c>
      <c r="M161">
        <v>1.6000000000000001E-3</v>
      </c>
      <c r="N161">
        <v>1.6000000000000001E-3</v>
      </c>
      <c r="O161">
        <v>1.6000000000000001E-3</v>
      </c>
      <c r="P161">
        <v>1.6000000000000001E-3</v>
      </c>
      <c r="Q161">
        <v>1.6000000000000001E-3</v>
      </c>
      <c r="R161">
        <v>1.6000000000000001E-3</v>
      </c>
      <c r="S161">
        <v>1.6000000000000001E-3</v>
      </c>
      <c r="T161">
        <v>1.6000000000000001E-3</v>
      </c>
      <c r="U161">
        <v>1.4E-3</v>
      </c>
      <c r="V161">
        <v>1.6000000000000001E-3</v>
      </c>
      <c r="W161">
        <v>1.6000000000000001E-3</v>
      </c>
      <c r="X161">
        <v>1.6000000000000001E-3</v>
      </c>
      <c r="Y161">
        <v>1.8E-3</v>
      </c>
      <c r="Z161">
        <v>1.6000000000000001E-3</v>
      </c>
      <c r="AA161">
        <v>1.8E-3</v>
      </c>
      <c r="AB161">
        <v>1.8E-3</v>
      </c>
      <c r="AC161">
        <v>1.8E-3</v>
      </c>
      <c r="AD161" t="s">
        <v>73</v>
      </c>
    </row>
    <row r="162" spans="1:30" x14ac:dyDescent="0.3">
      <c r="A162" t="s">
        <v>562</v>
      </c>
      <c r="B162" s="5" t="s">
        <v>563</v>
      </c>
      <c r="C162" t="s">
        <v>355</v>
      </c>
      <c r="D162" s="5" t="s">
        <v>356</v>
      </c>
      <c r="E162">
        <v>0.46510000000000001</v>
      </c>
      <c r="F162">
        <v>0.45650000000000002</v>
      </c>
      <c r="G162">
        <v>0.4007</v>
      </c>
      <c r="H162">
        <v>0.33789999999999998</v>
      </c>
      <c r="I162">
        <v>0.46989999999999998</v>
      </c>
      <c r="J162">
        <v>0.43840000000000001</v>
      </c>
      <c r="K162">
        <v>0.50439999999999996</v>
      </c>
      <c r="L162">
        <v>0.55310000000000004</v>
      </c>
      <c r="M162">
        <v>0.59709999999999996</v>
      </c>
      <c r="N162">
        <v>0.59709999999999996</v>
      </c>
      <c r="O162">
        <v>0.81659999999999999</v>
      </c>
      <c r="P162">
        <v>0.99260000000000004</v>
      </c>
      <c r="Q162">
        <v>1.034</v>
      </c>
      <c r="R162">
        <v>1.0487</v>
      </c>
      <c r="S162">
        <v>0.94289999999999996</v>
      </c>
      <c r="T162">
        <v>1.1476</v>
      </c>
      <c r="U162">
        <v>1.1826000000000001</v>
      </c>
      <c r="V162">
        <v>1.1971000000000001</v>
      </c>
      <c r="W162">
        <v>1.1500999999999999</v>
      </c>
      <c r="X162">
        <v>1.0175000000000001</v>
      </c>
      <c r="Y162">
        <v>1.1425000000000001</v>
      </c>
      <c r="Z162">
        <v>0.96079999999999999</v>
      </c>
      <c r="AA162">
        <v>0.86460000000000004</v>
      </c>
      <c r="AB162">
        <v>0.55989999999999995</v>
      </c>
      <c r="AC162">
        <v>0.56789999999999996</v>
      </c>
      <c r="AD162" t="s">
        <v>73</v>
      </c>
    </row>
    <row r="163" spans="1:30" x14ac:dyDescent="0.3">
      <c r="A163" t="s">
        <v>562</v>
      </c>
      <c r="B163" s="5" t="s">
        <v>563</v>
      </c>
      <c r="C163" t="s">
        <v>35</v>
      </c>
      <c r="D163" s="5" t="s">
        <v>357</v>
      </c>
      <c r="E163">
        <v>2.2037</v>
      </c>
      <c r="F163">
        <v>2.3134000000000001</v>
      </c>
      <c r="G163">
        <v>1.8826000000000001</v>
      </c>
      <c r="H163">
        <v>2.1192000000000002</v>
      </c>
      <c r="I163">
        <v>2.2557</v>
      </c>
      <c r="J163">
        <v>2.3157000000000001</v>
      </c>
      <c r="K163">
        <v>2.4289000000000001</v>
      </c>
      <c r="L163">
        <v>3.0421</v>
      </c>
      <c r="M163">
        <v>3.4405999999999999</v>
      </c>
      <c r="N163">
        <v>3.8868999999999998</v>
      </c>
      <c r="O163">
        <v>3.5589</v>
      </c>
      <c r="P163">
        <v>3.9925000000000002</v>
      </c>
      <c r="Q163">
        <v>4.1936</v>
      </c>
      <c r="R163">
        <v>3.9</v>
      </c>
      <c r="S163">
        <v>3.8321000000000001</v>
      </c>
      <c r="T163">
        <v>4.8022</v>
      </c>
      <c r="U163">
        <v>5.45</v>
      </c>
      <c r="V163">
        <v>4.6077000000000004</v>
      </c>
      <c r="W163">
        <v>5.2609000000000004</v>
      </c>
      <c r="X163">
        <v>5.9949000000000003</v>
      </c>
      <c r="Y163">
        <v>7.1664000000000003</v>
      </c>
      <c r="Z163">
        <v>5.6574999999999998</v>
      </c>
      <c r="AA163">
        <v>8.1335999999999995</v>
      </c>
      <c r="AB163">
        <v>8.1930999999999994</v>
      </c>
      <c r="AC163">
        <v>7.9893000000000001</v>
      </c>
      <c r="AD163" t="s">
        <v>73</v>
      </c>
    </row>
    <row r="164" spans="1:30" x14ac:dyDescent="0.3">
      <c r="A164" t="s">
        <v>562</v>
      </c>
      <c r="B164" s="5" t="s">
        <v>563</v>
      </c>
      <c r="C164" t="s">
        <v>358</v>
      </c>
      <c r="D164" s="5" t="s">
        <v>359</v>
      </c>
      <c r="E164" t="s">
        <v>73</v>
      </c>
      <c r="F164" t="s">
        <v>73</v>
      </c>
      <c r="G164" t="s">
        <v>73</v>
      </c>
      <c r="H164" t="s">
        <v>73</v>
      </c>
      <c r="I164" t="s">
        <v>73</v>
      </c>
      <c r="J164" t="s">
        <v>73</v>
      </c>
      <c r="K164" t="s">
        <v>73</v>
      </c>
      <c r="L164" t="s">
        <v>73</v>
      </c>
      <c r="M164" t="s">
        <v>73</v>
      </c>
      <c r="N164" t="s">
        <v>73</v>
      </c>
      <c r="O164" t="s">
        <v>73</v>
      </c>
      <c r="P164" t="s">
        <v>73</v>
      </c>
      <c r="Q164" t="s">
        <v>73</v>
      </c>
      <c r="R164" t="s">
        <v>73</v>
      </c>
      <c r="S164" t="s">
        <v>73</v>
      </c>
      <c r="T164" t="s">
        <v>73</v>
      </c>
      <c r="U164" t="s">
        <v>73</v>
      </c>
      <c r="V164" t="s">
        <v>73</v>
      </c>
      <c r="W164" t="s">
        <v>73</v>
      </c>
      <c r="X164" t="s">
        <v>73</v>
      </c>
      <c r="Y164" t="s">
        <v>73</v>
      </c>
      <c r="Z164" t="s">
        <v>73</v>
      </c>
      <c r="AA164" t="s">
        <v>73</v>
      </c>
      <c r="AB164" t="s">
        <v>73</v>
      </c>
      <c r="AC164" t="s">
        <v>73</v>
      </c>
      <c r="AD164" t="s">
        <v>73</v>
      </c>
    </row>
    <row r="165" spans="1:30" x14ac:dyDescent="0.3">
      <c r="A165" t="s">
        <v>562</v>
      </c>
      <c r="B165" s="5" t="s">
        <v>563</v>
      </c>
      <c r="C165" t="s">
        <v>360</v>
      </c>
      <c r="D165" s="5" t="s">
        <v>361</v>
      </c>
      <c r="E165" t="s">
        <v>73</v>
      </c>
      <c r="F165" t="s">
        <v>73</v>
      </c>
      <c r="G165" t="s">
        <v>73</v>
      </c>
      <c r="H165" t="s">
        <v>73</v>
      </c>
      <c r="I165" t="s">
        <v>73</v>
      </c>
      <c r="J165" t="s">
        <v>73</v>
      </c>
      <c r="K165" t="s">
        <v>73</v>
      </c>
      <c r="L165" t="s">
        <v>73</v>
      </c>
      <c r="M165" t="s">
        <v>73</v>
      </c>
      <c r="N165" t="s">
        <v>73</v>
      </c>
      <c r="O165" t="s">
        <v>73</v>
      </c>
      <c r="P165" t="s">
        <v>73</v>
      </c>
      <c r="Q165" t="s">
        <v>73</v>
      </c>
      <c r="R165" t="s">
        <v>73</v>
      </c>
      <c r="S165" t="s">
        <v>73</v>
      </c>
      <c r="T165" t="s">
        <v>73</v>
      </c>
      <c r="U165" t="s">
        <v>73</v>
      </c>
      <c r="V165" t="s">
        <v>73</v>
      </c>
      <c r="W165" t="s">
        <v>73</v>
      </c>
      <c r="X165" t="s">
        <v>73</v>
      </c>
      <c r="Y165" t="s">
        <v>73</v>
      </c>
      <c r="Z165" t="s">
        <v>73</v>
      </c>
      <c r="AA165" t="s">
        <v>73</v>
      </c>
      <c r="AB165" t="s">
        <v>73</v>
      </c>
      <c r="AC165" t="s">
        <v>73</v>
      </c>
      <c r="AD165" t="s">
        <v>73</v>
      </c>
    </row>
    <row r="166" spans="1:30" x14ac:dyDescent="0.3">
      <c r="A166" t="s">
        <v>562</v>
      </c>
      <c r="B166" s="5" t="s">
        <v>563</v>
      </c>
      <c r="C166" t="s">
        <v>362</v>
      </c>
      <c r="D166" s="5" t="s">
        <v>363</v>
      </c>
      <c r="E166" t="s">
        <v>73</v>
      </c>
      <c r="F166" t="s">
        <v>73</v>
      </c>
      <c r="G166" t="s">
        <v>73</v>
      </c>
      <c r="H166" t="s">
        <v>73</v>
      </c>
      <c r="I166" t="s">
        <v>73</v>
      </c>
      <c r="J166" t="s">
        <v>73</v>
      </c>
      <c r="K166" t="s">
        <v>73</v>
      </c>
      <c r="L166" t="s">
        <v>73</v>
      </c>
      <c r="M166" t="s">
        <v>73</v>
      </c>
      <c r="N166" t="s">
        <v>73</v>
      </c>
      <c r="O166" t="s">
        <v>73</v>
      </c>
      <c r="P166" t="s">
        <v>73</v>
      </c>
      <c r="Q166" t="s">
        <v>73</v>
      </c>
      <c r="R166" t="s">
        <v>73</v>
      </c>
      <c r="S166" t="s">
        <v>73</v>
      </c>
      <c r="T166" t="s">
        <v>73</v>
      </c>
      <c r="U166" t="s">
        <v>73</v>
      </c>
      <c r="V166" t="s">
        <v>73</v>
      </c>
      <c r="W166" t="s">
        <v>73</v>
      </c>
      <c r="X166" t="s">
        <v>73</v>
      </c>
      <c r="Y166" t="s">
        <v>73</v>
      </c>
      <c r="Z166" t="s">
        <v>73</v>
      </c>
      <c r="AA166" t="s">
        <v>73</v>
      </c>
      <c r="AB166" t="s">
        <v>73</v>
      </c>
      <c r="AC166" t="s">
        <v>73</v>
      </c>
      <c r="AD166" t="s">
        <v>73</v>
      </c>
    </row>
    <row r="167" spans="1:30" x14ac:dyDescent="0.3">
      <c r="A167" t="s">
        <v>562</v>
      </c>
      <c r="B167" s="5" t="s">
        <v>563</v>
      </c>
      <c r="C167" t="s">
        <v>364</v>
      </c>
      <c r="D167" s="5" t="s">
        <v>365</v>
      </c>
      <c r="E167" t="s">
        <v>73</v>
      </c>
      <c r="F167" t="s">
        <v>73</v>
      </c>
      <c r="G167" t="s">
        <v>73</v>
      </c>
      <c r="H167" t="s">
        <v>73</v>
      </c>
      <c r="I167" t="s">
        <v>73</v>
      </c>
      <c r="J167" t="s">
        <v>73</v>
      </c>
      <c r="K167" t="s">
        <v>73</v>
      </c>
      <c r="L167" t="s">
        <v>73</v>
      </c>
      <c r="M167" t="s">
        <v>73</v>
      </c>
      <c r="N167" t="s">
        <v>73</v>
      </c>
      <c r="O167" t="s">
        <v>73</v>
      </c>
      <c r="P167" t="s">
        <v>73</v>
      </c>
      <c r="Q167" t="s">
        <v>73</v>
      </c>
      <c r="R167" t="s">
        <v>73</v>
      </c>
      <c r="S167" t="s">
        <v>73</v>
      </c>
      <c r="T167" t="s">
        <v>73</v>
      </c>
      <c r="U167" t="s">
        <v>73</v>
      </c>
      <c r="V167" t="s">
        <v>73</v>
      </c>
      <c r="W167" t="s">
        <v>73</v>
      </c>
      <c r="X167" t="s">
        <v>73</v>
      </c>
      <c r="Y167" t="s">
        <v>73</v>
      </c>
      <c r="Z167" t="s">
        <v>73</v>
      </c>
      <c r="AA167" t="s">
        <v>73</v>
      </c>
      <c r="AB167" t="s">
        <v>73</v>
      </c>
      <c r="AC167" t="s">
        <v>73</v>
      </c>
      <c r="AD167" t="s">
        <v>73</v>
      </c>
    </row>
    <row r="168" spans="1:30" x14ac:dyDescent="0.3">
      <c r="A168" t="s">
        <v>562</v>
      </c>
      <c r="B168" s="5" t="s">
        <v>563</v>
      </c>
      <c r="C168" t="s">
        <v>50</v>
      </c>
      <c r="D168" s="5" t="s">
        <v>366</v>
      </c>
      <c r="E168">
        <v>0.34260000000000002</v>
      </c>
      <c r="F168">
        <v>0.37090000000000001</v>
      </c>
      <c r="G168">
        <v>0.36930000000000002</v>
      </c>
      <c r="H168">
        <v>0.38369999999999999</v>
      </c>
      <c r="I168">
        <v>0.38500000000000001</v>
      </c>
      <c r="J168">
        <v>0.31430000000000002</v>
      </c>
      <c r="K168">
        <v>0.33579999999999999</v>
      </c>
      <c r="L168">
        <v>0.38450000000000001</v>
      </c>
      <c r="M168">
        <v>0.26869999999999999</v>
      </c>
      <c r="N168">
        <v>0.24299999999999999</v>
      </c>
      <c r="O168">
        <v>0.24410000000000001</v>
      </c>
      <c r="P168">
        <v>0.31430000000000002</v>
      </c>
      <c r="Q168">
        <v>0.34520000000000001</v>
      </c>
      <c r="R168">
        <v>0.28960000000000002</v>
      </c>
      <c r="S168">
        <v>0.28010000000000002</v>
      </c>
      <c r="T168">
        <v>0.33260000000000001</v>
      </c>
      <c r="U168">
        <v>0.34670000000000001</v>
      </c>
      <c r="V168">
        <v>0.31369999999999998</v>
      </c>
      <c r="W168">
        <v>0.30990000000000001</v>
      </c>
      <c r="X168">
        <v>0.26790000000000003</v>
      </c>
      <c r="Y168">
        <v>0.16300000000000001</v>
      </c>
      <c r="Z168">
        <v>0.24840000000000001</v>
      </c>
      <c r="AA168">
        <v>0.2155</v>
      </c>
      <c r="AB168">
        <v>0.20499999999999999</v>
      </c>
      <c r="AC168">
        <v>0.19520000000000001</v>
      </c>
      <c r="AD168" t="s">
        <v>73</v>
      </c>
    </row>
    <row r="169" spans="1:30" x14ac:dyDescent="0.3">
      <c r="A169" t="s">
        <v>562</v>
      </c>
      <c r="B169" s="5" t="s">
        <v>563</v>
      </c>
      <c r="C169" t="s">
        <v>367</v>
      </c>
      <c r="D169" s="5" t="s">
        <v>368</v>
      </c>
      <c r="E169">
        <v>2.92E-2</v>
      </c>
      <c r="F169">
        <v>1.1599999999999999E-2</v>
      </c>
      <c r="G169">
        <v>4.8099999999999997E-2</v>
      </c>
      <c r="H169">
        <v>3.0000000000000001E-3</v>
      </c>
      <c r="I169">
        <v>3.0999999999999999E-3</v>
      </c>
      <c r="J169">
        <v>3.0999999999999999E-3</v>
      </c>
      <c r="K169">
        <v>3.0999999999999999E-3</v>
      </c>
      <c r="L169">
        <v>1.04E-2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5.5E-2</v>
      </c>
      <c r="S169">
        <v>4.7699999999999999E-2</v>
      </c>
      <c r="T169">
        <v>5.1799999999999999E-2</v>
      </c>
      <c r="U169">
        <v>5.0099999999999999E-2</v>
      </c>
      <c r="V169">
        <v>6.4399999999999999E-2</v>
      </c>
      <c r="W169">
        <v>5.3400000000000003E-2</v>
      </c>
      <c r="X169">
        <v>3.8300000000000001E-2</v>
      </c>
      <c r="Y169">
        <v>5.6500000000000002E-2</v>
      </c>
      <c r="Z169">
        <v>9.2999999999999992E-3</v>
      </c>
      <c r="AA169">
        <v>5.4899999999999997E-2</v>
      </c>
      <c r="AB169">
        <v>5.7200000000000001E-2</v>
      </c>
      <c r="AC169">
        <v>5.96E-2</v>
      </c>
      <c r="AD169" t="s">
        <v>73</v>
      </c>
    </row>
    <row r="170" spans="1:30" x14ac:dyDescent="0.3">
      <c r="A170" t="s">
        <v>562</v>
      </c>
      <c r="B170" s="5" t="s">
        <v>563</v>
      </c>
      <c r="C170" t="s">
        <v>369</v>
      </c>
      <c r="D170" s="5" t="s">
        <v>370</v>
      </c>
      <c r="E170" t="s">
        <v>73</v>
      </c>
      <c r="F170" t="s">
        <v>73</v>
      </c>
      <c r="G170" t="s">
        <v>73</v>
      </c>
      <c r="H170" t="s">
        <v>73</v>
      </c>
      <c r="I170" t="s">
        <v>73</v>
      </c>
      <c r="J170" t="s">
        <v>73</v>
      </c>
      <c r="K170" t="s">
        <v>73</v>
      </c>
      <c r="L170" t="s">
        <v>73</v>
      </c>
      <c r="M170" t="s">
        <v>73</v>
      </c>
      <c r="N170" t="s">
        <v>73</v>
      </c>
      <c r="O170" t="s">
        <v>73</v>
      </c>
      <c r="P170" t="s">
        <v>73</v>
      </c>
      <c r="Q170" t="s">
        <v>73</v>
      </c>
      <c r="R170" t="s">
        <v>73</v>
      </c>
      <c r="S170" t="s">
        <v>73</v>
      </c>
      <c r="T170" t="s">
        <v>73</v>
      </c>
      <c r="U170" t="s">
        <v>73</v>
      </c>
      <c r="V170" t="s">
        <v>73</v>
      </c>
      <c r="W170" t="s">
        <v>73</v>
      </c>
      <c r="X170" t="s">
        <v>73</v>
      </c>
      <c r="Y170" t="s">
        <v>73</v>
      </c>
      <c r="Z170" t="s">
        <v>73</v>
      </c>
      <c r="AA170" t="s">
        <v>73</v>
      </c>
      <c r="AB170" t="s">
        <v>73</v>
      </c>
      <c r="AC170" t="s">
        <v>73</v>
      </c>
      <c r="AD170" t="s">
        <v>73</v>
      </c>
    </row>
    <row r="171" spans="1:30" x14ac:dyDescent="0.3">
      <c r="A171" t="s">
        <v>562</v>
      </c>
      <c r="B171" s="5" t="s">
        <v>563</v>
      </c>
      <c r="C171" t="s">
        <v>371</v>
      </c>
      <c r="D171" s="5" t="s">
        <v>372</v>
      </c>
      <c r="E171" t="s">
        <v>73</v>
      </c>
      <c r="F171" t="s">
        <v>73</v>
      </c>
      <c r="G171" t="s">
        <v>73</v>
      </c>
      <c r="H171" t="s">
        <v>73</v>
      </c>
      <c r="I171" t="s">
        <v>73</v>
      </c>
      <c r="J171" t="s">
        <v>73</v>
      </c>
      <c r="K171" t="s">
        <v>73</v>
      </c>
      <c r="L171" t="s">
        <v>73</v>
      </c>
      <c r="M171" t="s">
        <v>73</v>
      </c>
      <c r="N171" t="s">
        <v>73</v>
      </c>
      <c r="O171" t="s">
        <v>73</v>
      </c>
      <c r="P171" t="s">
        <v>73</v>
      </c>
      <c r="Q171" t="s">
        <v>73</v>
      </c>
      <c r="R171" t="s">
        <v>73</v>
      </c>
      <c r="S171" t="s">
        <v>73</v>
      </c>
      <c r="T171" t="s">
        <v>73</v>
      </c>
      <c r="U171" t="s">
        <v>73</v>
      </c>
      <c r="V171" t="s">
        <v>73</v>
      </c>
      <c r="W171" t="s">
        <v>73</v>
      </c>
      <c r="X171" t="s">
        <v>73</v>
      </c>
      <c r="Y171" t="s">
        <v>73</v>
      </c>
      <c r="Z171" t="s">
        <v>73</v>
      </c>
      <c r="AA171" t="s">
        <v>73</v>
      </c>
      <c r="AB171" t="s">
        <v>73</v>
      </c>
      <c r="AC171" t="s">
        <v>73</v>
      </c>
      <c r="AD171" t="s">
        <v>73</v>
      </c>
    </row>
    <row r="172" spans="1:30" x14ac:dyDescent="0.3">
      <c r="A172" t="s">
        <v>562</v>
      </c>
      <c r="B172" s="5" t="s">
        <v>563</v>
      </c>
      <c r="C172" t="s">
        <v>373</v>
      </c>
      <c r="D172" s="5" t="s">
        <v>374</v>
      </c>
      <c r="E172" t="s">
        <v>73</v>
      </c>
      <c r="F172" t="s">
        <v>73</v>
      </c>
      <c r="G172" t="s">
        <v>73</v>
      </c>
      <c r="H172" t="s">
        <v>73</v>
      </c>
      <c r="I172" t="s">
        <v>73</v>
      </c>
      <c r="J172" t="s">
        <v>73</v>
      </c>
      <c r="K172" t="s">
        <v>73</v>
      </c>
      <c r="L172" t="s">
        <v>73</v>
      </c>
      <c r="M172" t="s">
        <v>73</v>
      </c>
      <c r="N172" t="s">
        <v>73</v>
      </c>
      <c r="O172" t="s">
        <v>73</v>
      </c>
      <c r="P172" t="s">
        <v>73</v>
      </c>
      <c r="Q172" t="s">
        <v>73</v>
      </c>
      <c r="R172" t="s">
        <v>73</v>
      </c>
      <c r="S172" t="s">
        <v>73</v>
      </c>
      <c r="T172" t="s">
        <v>73</v>
      </c>
      <c r="U172" t="s">
        <v>73</v>
      </c>
      <c r="V172" t="s">
        <v>73</v>
      </c>
      <c r="W172" t="s">
        <v>73</v>
      </c>
      <c r="X172" t="s">
        <v>73</v>
      </c>
      <c r="Y172" t="s">
        <v>73</v>
      </c>
      <c r="Z172" t="s">
        <v>73</v>
      </c>
      <c r="AA172" t="s">
        <v>73</v>
      </c>
      <c r="AB172" t="s">
        <v>73</v>
      </c>
      <c r="AC172" t="s">
        <v>73</v>
      </c>
      <c r="AD172" t="s">
        <v>73</v>
      </c>
    </row>
    <row r="173" spans="1:30" x14ac:dyDescent="0.3">
      <c r="A173" t="s">
        <v>562</v>
      </c>
      <c r="B173" s="5" t="s">
        <v>563</v>
      </c>
      <c r="C173" t="s">
        <v>375</v>
      </c>
      <c r="D173" s="5" t="s">
        <v>376</v>
      </c>
      <c r="E173" t="s">
        <v>73</v>
      </c>
      <c r="F173" t="s">
        <v>73</v>
      </c>
      <c r="G173" t="s">
        <v>73</v>
      </c>
      <c r="H173" t="s">
        <v>73</v>
      </c>
      <c r="I173" t="s">
        <v>73</v>
      </c>
      <c r="J173" t="s">
        <v>73</v>
      </c>
      <c r="K173" t="s">
        <v>73</v>
      </c>
      <c r="L173" t="s">
        <v>73</v>
      </c>
      <c r="M173" t="s">
        <v>73</v>
      </c>
      <c r="N173" t="s">
        <v>73</v>
      </c>
      <c r="O173" t="s">
        <v>73</v>
      </c>
      <c r="P173" t="s">
        <v>73</v>
      </c>
      <c r="Q173" t="s">
        <v>73</v>
      </c>
      <c r="R173" t="s">
        <v>73</v>
      </c>
      <c r="S173" t="s">
        <v>73</v>
      </c>
      <c r="T173" t="s">
        <v>73</v>
      </c>
      <c r="U173" t="s">
        <v>73</v>
      </c>
      <c r="V173" t="s">
        <v>73</v>
      </c>
      <c r="W173" t="s">
        <v>73</v>
      </c>
      <c r="X173" t="s">
        <v>73</v>
      </c>
      <c r="Y173" t="s">
        <v>73</v>
      </c>
      <c r="Z173" t="s">
        <v>73</v>
      </c>
      <c r="AA173" t="s">
        <v>73</v>
      </c>
      <c r="AB173" t="s">
        <v>73</v>
      </c>
      <c r="AC173" t="s">
        <v>73</v>
      </c>
      <c r="AD173" t="s">
        <v>73</v>
      </c>
    </row>
    <row r="174" spans="1:30" x14ac:dyDescent="0.3">
      <c r="A174" t="s">
        <v>562</v>
      </c>
      <c r="B174" s="5" t="s">
        <v>563</v>
      </c>
      <c r="C174" t="s">
        <v>377</v>
      </c>
      <c r="D174" s="5" t="s">
        <v>378</v>
      </c>
      <c r="E174" t="s">
        <v>73</v>
      </c>
      <c r="F174" t="s">
        <v>73</v>
      </c>
      <c r="G174" t="s">
        <v>73</v>
      </c>
      <c r="H174" t="s">
        <v>73</v>
      </c>
      <c r="I174" t="s">
        <v>73</v>
      </c>
      <c r="J174" t="s">
        <v>73</v>
      </c>
      <c r="K174" t="s">
        <v>73</v>
      </c>
      <c r="L174" t="s">
        <v>73</v>
      </c>
      <c r="M174" t="s">
        <v>73</v>
      </c>
      <c r="N174" t="s">
        <v>73</v>
      </c>
      <c r="O174" t="s">
        <v>73</v>
      </c>
      <c r="P174" t="s">
        <v>73</v>
      </c>
      <c r="Q174" t="s">
        <v>73</v>
      </c>
      <c r="R174" t="s">
        <v>73</v>
      </c>
      <c r="S174" t="s">
        <v>73</v>
      </c>
      <c r="T174" t="s">
        <v>73</v>
      </c>
      <c r="U174" t="s">
        <v>73</v>
      </c>
      <c r="V174" t="s">
        <v>73</v>
      </c>
      <c r="W174" t="s">
        <v>73</v>
      </c>
      <c r="X174" t="s">
        <v>73</v>
      </c>
      <c r="Y174" t="s">
        <v>73</v>
      </c>
      <c r="Z174" t="s">
        <v>73</v>
      </c>
      <c r="AA174" t="s">
        <v>73</v>
      </c>
      <c r="AB174" t="s">
        <v>73</v>
      </c>
      <c r="AC174" t="s">
        <v>73</v>
      </c>
      <c r="AD174" t="s">
        <v>73</v>
      </c>
    </row>
    <row r="175" spans="1:30" x14ac:dyDescent="0.3">
      <c r="A175" t="s">
        <v>562</v>
      </c>
      <c r="B175" s="5" t="s">
        <v>563</v>
      </c>
      <c r="C175" t="s">
        <v>36</v>
      </c>
      <c r="D175" s="5" t="s">
        <v>379</v>
      </c>
      <c r="E175">
        <v>0.06</v>
      </c>
      <c r="F175">
        <v>6.1800000000000001E-2</v>
      </c>
      <c r="G175">
        <v>7.0099999999999996E-2</v>
      </c>
      <c r="H175">
        <v>0.1236</v>
      </c>
      <c r="I175">
        <v>0.10580000000000001</v>
      </c>
      <c r="J175">
        <v>0.1095</v>
      </c>
      <c r="K175">
        <v>0.11210000000000001</v>
      </c>
      <c r="L175">
        <v>0.1472</v>
      </c>
      <c r="M175">
        <v>0.11</v>
      </c>
      <c r="N175">
        <v>8.2199999999999995E-2</v>
      </c>
      <c r="O175">
        <v>0.1042</v>
      </c>
      <c r="P175">
        <v>6.8099999999999994E-2</v>
      </c>
      <c r="Q175">
        <v>5.5500000000000001E-2</v>
      </c>
      <c r="R175">
        <v>6.1800000000000001E-2</v>
      </c>
      <c r="S175">
        <v>6.8099999999999994E-2</v>
      </c>
      <c r="T175">
        <v>7.6300000000000007E-2</v>
      </c>
      <c r="U175">
        <v>9.4299999999999995E-2</v>
      </c>
      <c r="V175">
        <v>6.0999999999999999E-2</v>
      </c>
      <c r="W175">
        <v>0.1066</v>
      </c>
      <c r="X175">
        <v>9.8199999999999996E-2</v>
      </c>
      <c r="Y175">
        <v>0.1273</v>
      </c>
      <c r="Z175">
        <v>0.13109999999999999</v>
      </c>
      <c r="AA175">
        <v>0.11849999999999999</v>
      </c>
      <c r="AB175">
        <v>0.12609999999999999</v>
      </c>
      <c r="AC175">
        <v>0.13669999999999999</v>
      </c>
      <c r="AD175" t="s">
        <v>73</v>
      </c>
    </row>
    <row r="176" spans="1:30" x14ac:dyDescent="0.3">
      <c r="A176" t="s">
        <v>562</v>
      </c>
      <c r="B176" s="5" t="s">
        <v>563</v>
      </c>
      <c r="C176" t="s">
        <v>37</v>
      </c>
      <c r="D176" s="5" t="s">
        <v>380</v>
      </c>
      <c r="E176">
        <v>5.8099999999999999E-2</v>
      </c>
      <c r="F176">
        <v>5.3600000000000002E-2</v>
      </c>
      <c r="G176">
        <v>6.3600000000000004E-2</v>
      </c>
      <c r="H176">
        <v>6.2700000000000006E-2</v>
      </c>
      <c r="I176">
        <v>6.8500000000000005E-2</v>
      </c>
      <c r="J176">
        <v>7.0999999999999994E-2</v>
      </c>
      <c r="K176">
        <v>5.1200000000000002E-2</v>
      </c>
      <c r="L176">
        <v>3.7100000000000001E-2</v>
      </c>
      <c r="M176">
        <v>2.5100000000000001E-2</v>
      </c>
      <c r="N176">
        <v>3.3000000000000002E-2</v>
      </c>
      <c r="O176">
        <v>1.9199999999999998E-2</v>
      </c>
      <c r="P176">
        <v>1.9E-3</v>
      </c>
      <c r="Q176">
        <v>3.3999999999999998E-3</v>
      </c>
      <c r="R176">
        <v>2.7000000000000001E-3</v>
      </c>
      <c r="S176">
        <v>3.3999999999999998E-3</v>
      </c>
      <c r="T176">
        <v>2.5000000000000001E-3</v>
      </c>
      <c r="U176">
        <v>2.7000000000000001E-3</v>
      </c>
      <c r="V176">
        <v>2.8999999999999998E-3</v>
      </c>
      <c r="W176">
        <v>3.3999999999999998E-3</v>
      </c>
      <c r="X176">
        <v>3.3999999999999998E-3</v>
      </c>
      <c r="Y176">
        <v>3.3999999999999998E-3</v>
      </c>
      <c r="Z176">
        <v>2.24E-2</v>
      </c>
      <c r="AA176">
        <v>2.1499999999999998E-2</v>
      </c>
      <c r="AB176">
        <v>2.1499999999999998E-2</v>
      </c>
      <c r="AC176">
        <v>2.1499999999999998E-2</v>
      </c>
      <c r="AD176" t="s">
        <v>73</v>
      </c>
    </row>
    <row r="177" spans="1:30" x14ac:dyDescent="0.3">
      <c r="A177" t="s">
        <v>562</v>
      </c>
      <c r="B177" s="5" t="s">
        <v>563</v>
      </c>
      <c r="C177" t="s">
        <v>381</v>
      </c>
      <c r="D177" s="5" t="s">
        <v>382</v>
      </c>
      <c r="E177" t="s">
        <v>73</v>
      </c>
      <c r="F177" t="s">
        <v>73</v>
      </c>
      <c r="G177" t="s">
        <v>73</v>
      </c>
      <c r="H177" t="s">
        <v>73</v>
      </c>
      <c r="I177" t="s">
        <v>73</v>
      </c>
      <c r="J177" t="s">
        <v>73</v>
      </c>
      <c r="K177" t="s">
        <v>73</v>
      </c>
      <c r="L177" t="s">
        <v>73</v>
      </c>
      <c r="M177" t="s">
        <v>73</v>
      </c>
      <c r="N177" t="s">
        <v>73</v>
      </c>
      <c r="O177" t="s">
        <v>73</v>
      </c>
      <c r="P177" t="s">
        <v>73</v>
      </c>
      <c r="Q177" t="s">
        <v>73</v>
      </c>
      <c r="R177" t="s">
        <v>73</v>
      </c>
      <c r="S177" t="s">
        <v>73</v>
      </c>
      <c r="T177" t="s">
        <v>73</v>
      </c>
      <c r="U177" t="s">
        <v>73</v>
      </c>
      <c r="V177" t="s">
        <v>73</v>
      </c>
      <c r="W177" t="s">
        <v>73</v>
      </c>
      <c r="X177" t="s">
        <v>73</v>
      </c>
      <c r="Y177" t="s">
        <v>73</v>
      </c>
      <c r="Z177" t="s">
        <v>73</v>
      </c>
      <c r="AA177" t="s">
        <v>73</v>
      </c>
      <c r="AB177" t="s">
        <v>73</v>
      </c>
      <c r="AC177" t="s">
        <v>73</v>
      </c>
      <c r="AD177" t="s">
        <v>73</v>
      </c>
    </row>
    <row r="178" spans="1:30" x14ac:dyDescent="0.3">
      <c r="A178" t="s">
        <v>562</v>
      </c>
      <c r="B178" s="5" t="s">
        <v>563</v>
      </c>
      <c r="C178" t="s">
        <v>383</v>
      </c>
      <c r="D178" s="5" t="s">
        <v>384</v>
      </c>
      <c r="E178" t="s">
        <v>73</v>
      </c>
      <c r="F178" t="s">
        <v>73</v>
      </c>
      <c r="G178" t="s">
        <v>73</v>
      </c>
      <c r="H178" t="s">
        <v>73</v>
      </c>
      <c r="I178" t="s">
        <v>73</v>
      </c>
      <c r="J178" t="s">
        <v>73</v>
      </c>
      <c r="K178" t="s">
        <v>73</v>
      </c>
      <c r="L178" t="s">
        <v>73</v>
      </c>
      <c r="M178" t="s">
        <v>73</v>
      </c>
      <c r="N178" t="s">
        <v>73</v>
      </c>
      <c r="O178" t="s">
        <v>73</v>
      </c>
      <c r="P178" t="s">
        <v>73</v>
      </c>
      <c r="Q178" t="s">
        <v>73</v>
      </c>
      <c r="R178" t="s">
        <v>73</v>
      </c>
      <c r="S178" t="s">
        <v>73</v>
      </c>
      <c r="T178" t="s">
        <v>73</v>
      </c>
      <c r="U178" t="s">
        <v>73</v>
      </c>
      <c r="V178" t="s">
        <v>73</v>
      </c>
      <c r="W178" t="s">
        <v>73</v>
      </c>
      <c r="X178" t="s">
        <v>73</v>
      </c>
      <c r="Y178" t="s">
        <v>73</v>
      </c>
      <c r="Z178" t="s">
        <v>73</v>
      </c>
      <c r="AA178" t="s">
        <v>73</v>
      </c>
      <c r="AB178" t="s">
        <v>73</v>
      </c>
      <c r="AC178" t="s">
        <v>73</v>
      </c>
      <c r="AD178" t="s">
        <v>73</v>
      </c>
    </row>
    <row r="179" spans="1:30" x14ac:dyDescent="0.3">
      <c r="A179" t="s">
        <v>562</v>
      </c>
      <c r="B179" s="5" t="s">
        <v>563</v>
      </c>
      <c r="C179" t="s">
        <v>38</v>
      </c>
      <c r="D179" s="5" t="s">
        <v>385</v>
      </c>
      <c r="E179">
        <v>0.31259999999999999</v>
      </c>
      <c r="F179">
        <v>0.3054</v>
      </c>
      <c r="G179">
        <v>0.42430000000000001</v>
      </c>
      <c r="H179">
        <v>0.44</v>
      </c>
      <c r="I179">
        <v>0.46660000000000001</v>
      </c>
      <c r="J179">
        <v>0.37209999999999999</v>
      </c>
      <c r="K179">
        <v>0.46779999999999999</v>
      </c>
      <c r="L179">
        <v>0.46929999999999999</v>
      </c>
      <c r="M179">
        <v>0.4269</v>
      </c>
      <c r="N179">
        <v>0.44209999999999999</v>
      </c>
      <c r="O179">
        <v>0.40600000000000003</v>
      </c>
      <c r="P179">
        <v>0.44309999999999999</v>
      </c>
      <c r="Q179">
        <v>0.48659999999999998</v>
      </c>
      <c r="R179">
        <v>0.63919999999999999</v>
      </c>
      <c r="S179">
        <v>0.83499999999999996</v>
      </c>
      <c r="T179">
        <v>0.71120000000000005</v>
      </c>
      <c r="U179">
        <v>0.84089999999999998</v>
      </c>
      <c r="V179">
        <v>1.0881000000000001</v>
      </c>
      <c r="W179">
        <v>0.89629999999999999</v>
      </c>
      <c r="X179">
        <v>0.77259999999999995</v>
      </c>
      <c r="Y179">
        <v>0.96850000000000003</v>
      </c>
      <c r="Z179">
        <v>1.4650000000000001</v>
      </c>
      <c r="AA179">
        <v>1.2666999999999999</v>
      </c>
      <c r="AB179">
        <v>1.2777000000000001</v>
      </c>
      <c r="AC179">
        <v>1.2755000000000001</v>
      </c>
      <c r="AD179" t="s">
        <v>73</v>
      </c>
    </row>
    <row r="180" spans="1:30" x14ac:dyDescent="0.3">
      <c r="A180" t="s">
        <v>562</v>
      </c>
      <c r="B180" s="5" t="s">
        <v>563</v>
      </c>
      <c r="C180" t="s">
        <v>386</v>
      </c>
      <c r="D180" s="5" t="s">
        <v>387</v>
      </c>
      <c r="E180" t="s">
        <v>73</v>
      </c>
      <c r="F180" t="s">
        <v>73</v>
      </c>
      <c r="G180" t="s">
        <v>73</v>
      </c>
      <c r="H180" t="s">
        <v>73</v>
      </c>
      <c r="I180" t="s">
        <v>73</v>
      </c>
      <c r="J180" t="s">
        <v>73</v>
      </c>
      <c r="K180" t="s">
        <v>73</v>
      </c>
      <c r="L180" t="s">
        <v>73</v>
      </c>
      <c r="M180" t="s">
        <v>73</v>
      </c>
      <c r="N180" t="s">
        <v>73</v>
      </c>
      <c r="O180" t="s">
        <v>73</v>
      </c>
      <c r="P180" t="s">
        <v>73</v>
      </c>
      <c r="Q180" t="s">
        <v>73</v>
      </c>
      <c r="R180" t="s">
        <v>73</v>
      </c>
      <c r="S180" t="s">
        <v>73</v>
      </c>
      <c r="T180" t="s">
        <v>73</v>
      </c>
      <c r="U180" t="s">
        <v>73</v>
      </c>
      <c r="V180" t="s">
        <v>73</v>
      </c>
      <c r="W180" t="s">
        <v>73</v>
      </c>
      <c r="X180" t="s">
        <v>73</v>
      </c>
      <c r="Y180" t="s">
        <v>73</v>
      </c>
      <c r="Z180" t="s">
        <v>73</v>
      </c>
      <c r="AA180" t="s">
        <v>73</v>
      </c>
      <c r="AB180" t="s">
        <v>73</v>
      </c>
      <c r="AC180" t="s">
        <v>73</v>
      </c>
      <c r="AD180" t="s">
        <v>73</v>
      </c>
    </row>
    <row r="181" spans="1:30" x14ac:dyDescent="0.3">
      <c r="A181" t="s">
        <v>562</v>
      </c>
      <c r="B181" s="5" t="s">
        <v>563</v>
      </c>
      <c r="C181" t="s">
        <v>39</v>
      </c>
      <c r="D181" s="5" t="s">
        <v>388</v>
      </c>
      <c r="E181">
        <v>1.4489000000000001</v>
      </c>
      <c r="F181">
        <v>1.4482999999999999</v>
      </c>
      <c r="G181">
        <v>1.4426000000000001</v>
      </c>
      <c r="H181">
        <v>1.5295000000000001</v>
      </c>
      <c r="I181">
        <v>1.3740000000000001</v>
      </c>
      <c r="J181">
        <v>1.2493000000000001</v>
      </c>
      <c r="K181">
        <v>1.1953</v>
      </c>
      <c r="L181">
        <v>1.1222000000000001</v>
      </c>
      <c r="M181">
        <v>0.99839999999999995</v>
      </c>
      <c r="N181">
        <v>1.0068999999999999</v>
      </c>
      <c r="O181">
        <v>1.0381</v>
      </c>
      <c r="P181">
        <v>0.76619999999999999</v>
      </c>
      <c r="Q181">
        <v>1.0403</v>
      </c>
      <c r="R181">
        <v>1.1839999999999999</v>
      </c>
      <c r="S181">
        <v>1.1807000000000001</v>
      </c>
      <c r="T181">
        <v>1.0817000000000001</v>
      </c>
      <c r="U181">
        <v>1.2</v>
      </c>
      <c r="V181">
        <v>1.4326000000000001</v>
      </c>
      <c r="W181">
        <v>1.1069</v>
      </c>
      <c r="X181">
        <v>1.1295999999999999</v>
      </c>
      <c r="Y181">
        <v>1.337</v>
      </c>
      <c r="Z181">
        <v>0.9788</v>
      </c>
      <c r="AA181">
        <v>1.0528</v>
      </c>
      <c r="AB181">
        <v>1.0368999999999999</v>
      </c>
      <c r="AC181">
        <v>1.0216000000000001</v>
      </c>
      <c r="AD181" t="s">
        <v>73</v>
      </c>
    </row>
    <row r="182" spans="1:30" x14ac:dyDescent="0.3">
      <c r="A182" t="s">
        <v>562</v>
      </c>
      <c r="B182" s="5" t="s">
        <v>563</v>
      </c>
      <c r="C182" t="s">
        <v>389</v>
      </c>
      <c r="D182" s="5" t="s">
        <v>390</v>
      </c>
      <c r="E182">
        <v>0.33279999999999998</v>
      </c>
      <c r="F182">
        <v>0.31680000000000003</v>
      </c>
      <c r="G182">
        <v>0.32529999999999998</v>
      </c>
      <c r="H182">
        <v>0.26090000000000002</v>
      </c>
      <c r="I182">
        <v>0.34449999999999997</v>
      </c>
      <c r="J182">
        <v>0.24990000000000001</v>
      </c>
      <c r="K182">
        <v>0.2671</v>
      </c>
      <c r="L182">
        <v>0.27189999999999998</v>
      </c>
      <c r="M182">
        <v>0.27739999999999998</v>
      </c>
      <c r="N182">
        <v>0.28599999999999998</v>
      </c>
      <c r="O182">
        <v>0.30859999999999999</v>
      </c>
      <c r="P182">
        <v>0.35549999999999998</v>
      </c>
      <c r="Q182">
        <v>0.34589999999999999</v>
      </c>
      <c r="R182">
        <v>0.35460000000000003</v>
      </c>
      <c r="S182">
        <v>0.39200000000000002</v>
      </c>
      <c r="T182">
        <v>0.45350000000000001</v>
      </c>
      <c r="U182">
        <v>0.30649999999999999</v>
      </c>
      <c r="V182">
        <v>0.25609999999999999</v>
      </c>
      <c r="W182">
        <v>0.28760000000000002</v>
      </c>
      <c r="X182">
        <v>0.22570000000000001</v>
      </c>
      <c r="Y182">
        <v>0.35420000000000001</v>
      </c>
      <c r="Z182">
        <v>0.183</v>
      </c>
      <c r="AA182">
        <v>0.31619999999999998</v>
      </c>
      <c r="AB182">
        <v>0.32819999999999999</v>
      </c>
      <c r="AC182">
        <v>0.3407</v>
      </c>
      <c r="AD182" t="s">
        <v>73</v>
      </c>
    </row>
    <row r="183" spans="1:30" x14ac:dyDescent="0.3">
      <c r="A183" t="s">
        <v>562</v>
      </c>
      <c r="B183" s="5" t="s">
        <v>563</v>
      </c>
      <c r="C183" t="s">
        <v>391</v>
      </c>
      <c r="D183" s="5" t="s">
        <v>392</v>
      </c>
      <c r="E183" t="s">
        <v>73</v>
      </c>
      <c r="F183" t="s">
        <v>73</v>
      </c>
      <c r="G183" t="s">
        <v>73</v>
      </c>
      <c r="H183" t="s">
        <v>73</v>
      </c>
      <c r="I183" t="s">
        <v>73</v>
      </c>
      <c r="J183" t="s">
        <v>73</v>
      </c>
      <c r="K183" t="s">
        <v>73</v>
      </c>
      <c r="L183" t="s">
        <v>73</v>
      </c>
      <c r="M183" t="s">
        <v>73</v>
      </c>
      <c r="N183" t="s">
        <v>73</v>
      </c>
      <c r="O183" t="s">
        <v>73</v>
      </c>
      <c r="P183" t="s">
        <v>73</v>
      </c>
      <c r="Q183" t="s">
        <v>73</v>
      </c>
      <c r="R183" t="s">
        <v>73</v>
      </c>
      <c r="S183" t="s">
        <v>73</v>
      </c>
      <c r="T183" t="s">
        <v>73</v>
      </c>
      <c r="U183" t="s">
        <v>73</v>
      </c>
      <c r="V183" t="s">
        <v>73</v>
      </c>
      <c r="W183" t="s">
        <v>73</v>
      </c>
      <c r="X183" t="s">
        <v>73</v>
      </c>
      <c r="Y183" t="s">
        <v>73</v>
      </c>
      <c r="Z183" t="s">
        <v>73</v>
      </c>
      <c r="AA183" t="s">
        <v>73</v>
      </c>
      <c r="AB183" t="s">
        <v>73</v>
      </c>
      <c r="AC183" t="s">
        <v>73</v>
      </c>
      <c r="AD183" t="s">
        <v>73</v>
      </c>
    </row>
    <row r="184" spans="1:30" x14ac:dyDescent="0.3">
      <c r="A184" t="s">
        <v>562</v>
      </c>
      <c r="B184" s="5" t="s">
        <v>563</v>
      </c>
      <c r="C184" t="s">
        <v>393</v>
      </c>
      <c r="D184" s="5" t="s">
        <v>394</v>
      </c>
      <c r="E184" t="s">
        <v>73</v>
      </c>
      <c r="F184" t="s">
        <v>73</v>
      </c>
      <c r="G184" t="s">
        <v>73</v>
      </c>
      <c r="H184" t="s">
        <v>73</v>
      </c>
      <c r="I184" t="s">
        <v>73</v>
      </c>
      <c r="J184" t="s">
        <v>73</v>
      </c>
      <c r="K184" t="s">
        <v>73</v>
      </c>
      <c r="L184" t="s">
        <v>73</v>
      </c>
      <c r="M184" t="s">
        <v>73</v>
      </c>
      <c r="N184" t="s">
        <v>73</v>
      </c>
      <c r="O184" t="s">
        <v>73</v>
      </c>
      <c r="P184" t="s">
        <v>73</v>
      </c>
      <c r="Q184" t="s">
        <v>73</v>
      </c>
      <c r="R184" t="s">
        <v>73</v>
      </c>
      <c r="S184" t="s">
        <v>73</v>
      </c>
      <c r="T184" t="s">
        <v>73</v>
      </c>
      <c r="U184" t="s">
        <v>73</v>
      </c>
      <c r="V184" t="s">
        <v>73</v>
      </c>
      <c r="W184" t="s">
        <v>73</v>
      </c>
      <c r="X184" t="s">
        <v>73</v>
      </c>
      <c r="Y184" t="s">
        <v>73</v>
      </c>
      <c r="Z184" t="s">
        <v>73</v>
      </c>
      <c r="AA184" t="s">
        <v>73</v>
      </c>
      <c r="AB184" t="s">
        <v>73</v>
      </c>
      <c r="AC184" t="s">
        <v>73</v>
      </c>
      <c r="AD184" t="s">
        <v>73</v>
      </c>
    </row>
    <row r="185" spans="1:30" x14ac:dyDescent="0.3">
      <c r="A185" t="s">
        <v>562</v>
      </c>
      <c r="B185" s="5" t="s">
        <v>563</v>
      </c>
      <c r="C185" t="s">
        <v>395</v>
      </c>
      <c r="D185" s="5" t="s">
        <v>396</v>
      </c>
      <c r="E185" t="s">
        <v>73</v>
      </c>
      <c r="F185" t="s">
        <v>73</v>
      </c>
      <c r="G185" t="s">
        <v>73</v>
      </c>
      <c r="H185" t="s">
        <v>73</v>
      </c>
      <c r="I185" t="s">
        <v>73</v>
      </c>
      <c r="J185" t="s">
        <v>73</v>
      </c>
      <c r="K185" t="s">
        <v>73</v>
      </c>
      <c r="L185" t="s">
        <v>73</v>
      </c>
      <c r="M185" t="s">
        <v>73</v>
      </c>
      <c r="N185" t="s">
        <v>73</v>
      </c>
      <c r="O185" t="s">
        <v>73</v>
      </c>
      <c r="P185" t="s">
        <v>73</v>
      </c>
      <c r="Q185" t="s">
        <v>73</v>
      </c>
      <c r="R185" t="s">
        <v>73</v>
      </c>
      <c r="S185" t="s">
        <v>73</v>
      </c>
      <c r="T185" t="s">
        <v>73</v>
      </c>
      <c r="U185" t="s">
        <v>73</v>
      </c>
      <c r="V185" t="s">
        <v>73</v>
      </c>
      <c r="W185" t="s">
        <v>73</v>
      </c>
      <c r="X185" t="s">
        <v>73</v>
      </c>
      <c r="Y185" t="s">
        <v>73</v>
      </c>
      <c r="Z185" t="s">
        <v>73</v>
      </c>
      <c r="AA185" t="s">
        <v>73</v>
      </c>
      <c r="AB185" t="s">
        <v>73</v>
      </c>
      <c r="AC185" t="s">
        <v>73</v>
      </c>
      <c r="AD185" t="s">
        <v>73</v>
      </c>
    </row>
    <row r="186" spans="1:30" x14ac:dyDescent="0.3">
      <c r="A186" t="s">
        <v>562</v>
      </c>
      <c r="B186" s="5" t="s">
        <v>563</v>
      </c>
      <c r="C186" t="s">
        <v>397</v>
      </c>
      <c r="D186" s="5" t="s">
        <v>398</v>
      </c>
      <c r="E186" t="s">
        <v>73</v>
      </c>
      <c r="F186" t="s">
        <v>73</v>
      </c>
      <c r="G186" t="s">
        <v>73</v>
      </c>
      <c r="H186" t="s">
        <v>73</v>
      </c>
      <c r="I186" t="s">
        <v>73</v>
      </c>
      <c r="J186" t="s">
        <v>73</v>
      </c>
      <c r="K186" t="s">
        <v>73</v>
      </c>
      <c r="L186" t="s">
        <v>73</v>
      </c>
      <c r="M186" t="s">
        <v>73</v>
      </c>
      <c r="N186" t="s">
        <v>73</v>
      </c>
      <c r="O186" t="s">
        <v>73</v>
      </c>
      <c r="P186" t="s">
        <v>73</v>
      </c>
      <c r="Q186" t="s">
        <v>73</v>
      </c>
      <c r="R186" t="s">
        <v>73</v>
      </c>
      <c r="S186" t="s">
        <v>73</v>
      </c>
      <c r="T186" t="s">
        <v>73</v>
      </c>
      <c r="U186" t="s">
        <v>73</v>
      </c>
      <c r="V186" t="s">
        <v>73</v>
      </c>
      <c r="W186" t="s">
        <v>73</v>
      </c>
      <c r="X186" t="s">
        <v>73</v>
      </c>
      <c r="Y186" t="s">
        <v>73</v>
      </c>
      <c r="Z186" t="s">
        <v>73</v>
      </c>
      <c r="AA186" t="s">
        <v>73</v>
      </c>
      <c r="AB186" t="s">
        <v>73</v>
      </c>
      <c r="AC186" t="s">
        <v>73</v>
      </c>
      <c r="AD186" t="s">
        <v>73</v>
      </c>
    </row>
    <row r="187" spans="1:30" x14ac:dyDescent="0.3">
      <c r="A187" t="s">
        <v>562</v>
      </c>
      <c r="B187" s="5" t="s">
        <v>563</v>
      </c>
      <c r="C187" t="s">
        <v>399</v>
      </c>
      <c r="D187" s="5" t="s">
        <v>400</v>
      </c>
      <c r="E187">
        <v>8.5300000000000001E-2</v>
      </c>
      <c r="F187">
        <v>0.1113</v>
      </c>
      <c r="G187">
        <v>8.8900000000000007E-2</v>
      </c>
      <c r="H187">
        <v>6.7599999999999993E-2</v>
      </c>
      <c r="I187">
        <v>9.1899999999999996E-2</v>
      </c>
      <c r="J187">
        <v>8.7900000000000006E-2</v>
      </c>
      <c r="K187">
        <v>8.6400000000000005E-2</v>
      </c>
      <c r="L187">
        <v>8.8900000000000007E-2</v>
      </c>
      <c r="M187">
        <v>8.2299999999999998E-2</v>
      </c>
      <c r="N187">
        <v>8.6300000000000002E-2</v>
      </c>
      <c r="O187">
        <v>0.1191</v>
      </c>
      <c r="P187">
        <v>0.12970000000000001</v>
      </c>
      <c r="Q187">
        <v>0.11890000000000001</v>
      </c>
      <c r="R187">
        <v>0.16850000000000001</v>
      </c>
      <c r="S187">
        <v>0.19950000000000001</v>
      </c>
      <c r="T187">
        <v>0.11849999999999999</v>
      </c>
      <c r="U187">
        <v>0.3049</v>
      </c>
      <c r="V187">
        <v>6.8400000000000002E-2</v>
      </c>
      <c r="W187">
        <v>0.13619999999999999</v>
      </c>
      <c r="X187">
        <v>0.18390000000000001</v>
      </c>
      <c r="Y187">
        <v>4.8099999999999997E-2</v>
      </c>
      <c r="Z187">
        <v>0.13750000000000001</v>
      </c>
      <c r="AA187">
        <v>0.2424</v>
      </c>
      <c r="AB187">
        <v>0.2772</v>
      </c>
      <c r="AC187">
        <v>0.31890000000000002</v>
      </c>
      <c r="AD187" t="s">
        <v>73</v>
      </c>
    </row>
    <row r="188" spans="1:30" x14ac:dyDescent="0.3">
      <c r="A188" t="s">
        <v>562</v>
      </c>
      <c r="B188" s="5" t="s">
        <v>563</v>
      </c>
      <c r="C188" t="s">
        <v>401</v>
      </c>
      <c r="D188" s="5" t="s">
        <v>402</v>
      </c>
      <c r="E188" t="s">
        <v>73</v>
      </c>
      <c r="F188" t="s">
        <v>73</v>
      </c>
      <c r="G188" t="s">
        <v>73</v>
      </c>
      <c r="H188" t="s">
        <v>73</v>
      </c>
      <c r="I188" t="s">
        <v>73</v>
      </c>
      <c r="J188" t="s">
        <v>73</v>
      </c>
      <c r="K188" t="s">
        <v>73</v>
      </c>
      <c r="L188" t="s">
        <v>73</v>
      </c>
      <c r="M188" t="s">
        <v>73</v>
      </c>
      <c r="N188" t="s">
        <v>73</v>
      </c>
      <c r="O188" t="s">
        <v>73</v>
      </c>
      <c r="P188" t="s">
        <v>73</v>
      </c>
      <c r="Q188" t="s">
        <v>73</v>
      </c>
      <c r="R188" t="s">
        <v>73</v>
      </c>
      <c r="S188" t="s">
        <v>73</v>
      </c>
      <c r="T188" t="s">
        <v>73</v>
      </c>
      <c r="U188" t="s">
        <v>73</v>
      </c>
      <c r="V188" t="s">
        <v>73</v>
      </c>
      <c r="W188" t="s">
        <v>73</v>
      </c>
      <c r="X188" t="s">
        <v>73</v>
      </c>
      <c r="Y188" t="s">
        <v>73</v>
      </c>
      <c r="Z188" t="s">
        <v>73</v>
      </c>
      <c r="AA188" t="s">
        <v>73</v>
      </c>
      <c r="AB188" t="s">
        <v>73</v>
      </c>
      <c r="AC188" t="s">
        <v>73</v>
      </c>
      <c r="AD188" t="s">
        <v>73</v>
      </c>
    </row>
    <row r="189" spans="1:30" x14ac:dyDescent="0.3">
      <c r="A189" t="s">
        <v>562</v>
      </c>
      <c r="B189" s="5" t="s">
        <v>563</v>
      </c>
      <c r="C189" t="s">
        <v>40</v>
      </c>
      <c r="D189" s="5" t="s">
        <v>403</v>
      </c>
      <c r="E189">
        <v>5.0299999999999997E-2</v>
      </c>
      <c r="F189">
        <v>8.3799999999999999E-2</v>
      </c>
      <c r="G189">
        <v>7.5399999999999995E-2</v>
      </c>
      <c r="H189">
        <v>4.0899999999999999E-2</v>
      </c>
      <c r="I189">
        <v>4.0899999999999999E-2</v>
      </c>
      <c r="J189">
        <v>6.2899999999999998E-2</v>
      </c>
      <c r="K189">
        <v>5.6599999999999998E-2</v>
      </c>
      <c r="L189">
        <v>6.1800000000000001E-2</v>
      </c>
      <c r="M189">
        <v>5.3400000000000003E-2</v>
      </c>
      <c r="N189">
        <v>3.2099999999999997E-2</v>
      </c>
      <c r="O189">
        <v>3.4599999999999999E-2</v>
      </c>
      <c r="P189">
        <v>2.1600000000000001E-2</v>
      </c>
      <c r="Q189">
        <v>1.15E-2</v>
      </c>
      <c r="R189">
        <v>8.8999999999999999E-3</v>
      </c>
      <c r="S189">
        <v>2.3800000000000002E-2</v>
      </c>
      <c r="T189">
        <v>2.4799999999999999E-2</v>
      </c>
      <c r="U189">
        <v>1.23E-2</v>
      </c>
      <c r="V189">
        <v>2.3599999999999999E-2</v>
      </c>
      <c r="W189">
        <v>1.6799999999999999E-2</v>
      </c>
      <c r="X189">
        <v>1.9800000000000002E-2</v>
      </c>
      <c r="Y189">
        <v>1.8200000000000001E-2</v>
      </c>
      <c r="Z189">
        <v>1.0200000000000001E-2</v>
      </c>
      <c r="AA189">
        <v>9.7000000000000003E-3</v>
      </c>
      <c r="AB189">
        <v>9.5999999999999992E-3</v>
      </c>
      <c r="AC189">
        <v>9.4999999999999998E-3</v>
      </c>
      <c r="AD189" t="s">
        <v>73</v>
      </c>
    </row>
    <row r="190" spans="1:30" x14ac:dyDescent="0.3">
      <c r="A190" t="s">
        <v>562</v>
      </c>
      <c r="B190" s="5" t="s">
        <v>563</v>
      </c>
      <c r="C190" t="s">
        <v>41</v>
      </c>
      <c r="D190" s="5" t="s">
        <v>404</v>
      </c>
      <c r="E190">
        <v>4.24E-2</v>
      </c>
      <c r="F190">
        <v>3.3000000000000002E-2</v>
      </c>
      <c r="G190">
        <v>2.6700000000000002E-2</v>
      </c>
      <c r="H190">
        <v>3.1399999999999997E-2</v>
      </c>
      <c r="I190">
        <v>3.7699999999999997E-2</v>
      </c>
      <c r="J190">
        <v>5.5E-2</v>
      </c>
      <c r="K190">
        <v>5.3400000000000003E-2</v>
      </c>
      <c r="L190">
        <v>4.0899999999999999E-2</v>
      </c>
      <c r="M190">
        <v>3.1399999999999997E-2</v>
      </c>
      <c r="N190">
        <v>3.39E-2</v>
      </c>
      <c r="O190">
        <v>2.6700000000000002E-2</v>
      </c>
      <c r="P190">
        <v>6.8099999999999994E-2</v>
      </c>
      <c r="Q190">
        <v>5.9799999999999999E-2</v>
      </c>
      <c r="R190">
        <v>6.0100000000000001E-2</v>
      </c>
      <c r="S190">
        <v>4.6100000000000002E-2</v>
      </c>
      <c r="T190">
        <v>5.3600000000000002E-2</v>
      </c>
      <c r="U190">
        <v>5.8200000000000002E-2</v>
      </c>
      <c r="V190">
        <v>4.9000000000000002E-2</v>
      </c>
      <c r="W190">
        <v>1.55E-2</v>
      </c>
      <c r="X190">
        <v>1.4E-2</v>
      </c>
      <c r="Y190">
        <v>4.2799999999999998E-2</v>
      </c>
      <c r="Z190">
        <v>4.2599999999999999E-2</v>
      </c>
      <c r="AA190">
        <v>3.5999999999999997E-2</v>
      </c>
      <c r="AB190">
        <v>4.07E-2</v>
      </c>
      <c r="AC190">
        <v>4.6199999999999998E-2</v>
      </c>
      <c r="AD190" t="s">
        <v>73</v>
      </c>
    </row>
    <row r="191" spans="1:30" x14ac:dyDescent="0.3">
      <c r="A191" t="s">
        <v>562</v>
      </c>
      <c r="B191" s="5" t="s">
        <v>563</v>
      </c>
      <c r="C191" t="s">
        <v>405</v>
      </c>
      <c r="D191" s="5" t="s">
        <v>406</v>
      </c>
      <c r="E191">
        <v>0.47349999999999998</v>
      </c>
      <c r="F191">
        <v>0.27189999999999998</v>
      </c>
      <c r="G191">
        <v>0.30890000000000001</v>
      </c>
      <c r="H191">
        <v>0.30890000000000001</v>
      </c>
      <c r="I191">
        <v>0.49969999999999998</v>
      </c>
      <c r="J191">
        <v>0.47139999999999999</v>
      </c>
      <c r="K191">
        <v>0.31759999999999999</v>
      </c>
      <c r="L191">
        <v>0.37740000000000001</v>
      </c>
      <c r="M191">
        <v>0.29249999999999998</v>
      </c>
      <c r="N191">
        <v>0.32150000000000001</v>
      </c>
      <c r="O191">
        <v>0.25059999999999999</v>
      </c>
      <c r="P191">
        <v>0.24110000000000001</v>
      </c>
      <c r="Q191">
        <v>0.18099999999999999</v>
      </c>
      <c r="R191">
        <v>3.0200000000000001E-2</v>
      </c>
      <c r="S191">
        <v>4.02E-2</v>
      </c>
      <c r="T191">
        <v>5.9999999999999995E-4</v>
      </c>
      <c r="U191">
        <v>5.9999999999999995E-4</v>
      </c>
      <c r="V191">
        <v>5.8200000000000002E-2</v>
      </c>
      <c r="W191">
        <v>3.5400000000000001E-2</v>
      </c>
      <c r="X191">
        <v>4.2000000000000003E-2</v>
      </c>
      <c r="Y191">
        <v>7.0099999999999996E-2</v>
      </c>
      <c r="Z191">
        <v>3.8199999999999998E-2</v>
      </c>
      <c r="AA191">
        <v>4.8099999999999997E-2</v>
      </c>
      <c r="AB191">
        <v>4.6100000000000002E-2</v>
      </c>
      <c r="AC191">
        <v>4.41E-2</v>
      </c>
      <c r="AD191" t="s">
        <v>73</v>
      </c>
    </row>
    <row r="192" spans="1:30" x14ac:dyDescent="0.3">
      <c r="A192" t="s">
        <v>562</v>
      </c>
      <c r="B192" s="5" t="s">
        <v>563</v>
      </c>
      <c r="C192" t="s">
        <v>407</v>
      </c>
      <c r="D192" s="5" t="s">
        <v>408</v>
      </c>
      <c r="E192">
        <v>3.2199999999999999E-2</v>
      </c>
      <c r="F192">
        <v>3.0200000000000001E-2</v>
      </c>
      <c r="G192">
        <v>4.87E-2</v>
      </c>
      <c r="H192">
        <v>4.2700000000000002E-2</v>
      </c>
      <c r="I192">
        <v>3.32E-2</v>
      </c>
      <c r="J192">
        <v>3.27E-2</v>
      </c>
      <c r="K192">
        <v>2.5499999999999998E-2</v>
      </c>
      <c r="L192">
        <v>2.1000000000000001E-2</v>
      </c>
      <c r="M192">
        <v>1.9800000000000002E-2</v>
      </c>
      <c r="N192">
        <v>3.3000000000000002E-2</v>
      </c>
      <c r="O192">
        <v>3.3000000000000002E-2</v>
      </c>
      <c r="P192">
        <v>3.0300000000000001E-2</v>
      </c>
      <c r="Q192">
        <v>1.1599999999999999E-2</v>
      </c>
      <c r="R192">
        <v>6.0000000000000001E-3</v>
      </c>
      <c r="S192">
        <v>2.2800000000000001E-2</v>
      </c>
      <c r="T192">
        <v>2.06E-2</v>
      </c>
      <c r="U192">
        <v>8.6999999999999994E-3</v>
      </c>
      <c r="V192">
        <v>0.11269999999999999</v>
      </c>
      <c r="W192">
        <v>0.1021</v>
      </c>
      <c r="X192">
        <v>6.4600000000000005E-2</v>
      </c>
      <c r="Y192">
        <v>9.1600000000000001E-2</v>
      </c>
      <c r="Z192">
        <v>3.61E-2</v>
      </c>
      <c r="AA192">
        <v>5.3600000000000002E-2</v>
      </c>
      <c r="AB192">
        <v>5.11E-2</v>
      </c>
      <c r="AC192">
        <v>4.87E-2</v>
      </c>
      <c r="AD192" t="s">
        <v>73</v>
      </c>
    </row>
    <row r="193" spans="1:30" x14ac:dyDescent="0.3">
      <c r="A193" t="s">
        <v>562</v>
      </c>
      <c r="B193" s="5" t="s">
        <v>563</v>
      </c>
      <c r="C193" t="s">
        <v>409</v>
      </c>
      <c r="D193" s="5" t="s">
        <v>410</v>
      </c>
      <c r="E193">
        <v>2.93E-2</v>
      </c>
      <c r="F193">
        <v>2.46E-2</v>
      </c>
      <c r="G193">
        <v>2.0500000000000001E-2</v>
      </c>
      <c r="H193">
        <v>3.4500000000000003E-2</v>
      </c>
      <c r="I193">
        <v>7.3599999999999999E-2</v>
      </c>
      <c r="J193">
        <v>5.0200000000000002E-2</v>
      </c>
      <c r="K193">
        <v>0.06</v>
      </c>
      <c r="L193">
        <v>5.2499999999999998E-2</v>
      </c>
      <c r="M193">
        <v>4.9700000000000001E-2</v>
      </c>
      <c r="N193">
        <v>7.3999999999999996E-2</v>
      </c>
      <c r="O193">
        <v>0.11070000000000001</v>
      </c>
      <c r="P193">
        <v>5.7299999999999997E-2</v>
      </c>
      <c r="Q193">
        <v>8.5999999999999993E-2</v>
      </c>
      <c r="R193">
        <v>0.16819999999999999</v>
      </c>
      <c r="S193">
        <v>0.1196</v>
      </c>
      <c r="T193">
        <v>8.77E-2</v>
      </c>
      <c r="U193">
        <v>0.14749999999999999</v>
      </c>
      <c r="V193">
        <v>0.15989999999999999</v>
      </c>
      <c r="W193">
        <v>0.20219999999999999</v>
      </c>
      <c r="X193">
        <v>0.12189999999999999</v>
      </c>
      <c r="Y193">
        <v>0.28310000000000002</v>
      </c>
      <c r="Z193">
        <v>0.13800000000000001</v>
      </c>
      <c r="AA193">
        <v>0.2621</v>
      </c>
      <c r="AB193">
        <v>0.26640000000000003</v>
      </c>
      <c r="AC193">
        <v>0.27089999999999997</v>
      </c>
      <c r="AD193" t="s">
        <v>73</v>
      </c>
    </row>
    <row r="194" spans="1:30" x14ac:dyDescent="0.3">
      <c r="A194" t="s">
        <v>562</v>
      </c>
      <c r="B194" s="5" t="s">
        <v>563</v>
      </c>
      <c r="C194" t="s">
        <v>411</v>
      </c>
      <c r="D194" s="5" t="s">
        <v>412</v>
      </c>
      <c r="E194">
        <v>1.7471000000000001</v>
      </c>
      <c r="F194">
        <v>2.0562</v>
      </c>
      <c r="G194">
        <v>2.1036999999999999</v>
      </c>
      <c r="H194">
        <v>2.1295000000000002</v>
      </c>
      <c r="I194">
        <v>2.0600999999999998</v>
      </c>
      <c r="J194">
        <v>2.1932999999999998</v>
      </c>
      <c r="K194">
        <v>1.9273</v>
      </c>
      <c r="L194">
        <v>1.9852000000000001</v>
      </c>
      <c r="M194">
        <v>1.8621000000000001</v>
      </c>
      <c r="N194">
        <v>2.3071999999999999</v>
      </c>
      <c r="O194">
        <v>2.5266999999999999</v>
      </c>
      <c r="P194">
        <v>2.6314000000000002</v>
      </c>
      <c r="Q194">
        <v>2.6251000000000002</v>
      </c>
      <c r="R194">
        <v>2.7376</v>
      </c>
      <c r="S194">
        <v>2.4453999999999998</v>
      </c>
      <c r="T194">
        <v>2.2479</v>
      </c>
      <c r="U194">
        <v>2.4872999999999998</v>
      </c>
      <c r="V194">
        <v>2.7322000000000002</v>
      </c>
      <c r="W194">
        <v>2.6732</v>
      </c>
      <c r="X194">
        <v>2.2017000000000002</v>
      </c>
      <c r="Y194">
        <v>2.2982999999999998</v>
      </c>
      <c r="Z194">
        <v>2.1859999999999999</v>
      </c>
      <c r="AA194">
        <v>2.0377999999999998</v>
      </c>
      <c r="AB194">
        <v>1.9559</v>
      </c>
      <c r="AC194">
        <v>1.8920999999999999</v>
      </c>
      <c r="AD194" t="s">
        <v>73</v>
      </c>
    </row>
    <row r="195" spans="1:30" x14ac:dyDescent="0.3">
      <c r="A195" t="s">
        <v>562</v>
      </c>
      <c r="B195" s="5" t="s">
        <v>563</v>
      </c>
      <c r="C195" t="s">
        <v>413</v>
      </c>
      <c r="D195" s="5" t="s">
        <v>414</v>
      </c>
      <c r="E195" t="s">
        <v>73</v>
      </c>
      <c r="F195" t="s">
        <v>73</v>
      </c>
      <c r="G195" t="s">
        <v>73</v>
      </c>
      <c r="H195" t="s">
        <v>73</v>
      </c>
      <c r="I195" t="s">
        <v>73</v>
      </c>
      <c r="J195" t="s">
        <v>73</v>
      </c>
      <c r="K195" t="s">
        <v>73</v>
      </c>
      <c r="L195" t="s">
        <v>73</v>
      </c>
      <c r="M195" t="s">
        <v>73</v>
      </c>
      <c r="N195" t="s">
        <v>73</v>
      </c>
      <c r="O195" t="s">
        <v>73</v>
      </c>
      <c r="P195" t="s">
        <v>73</v>
      </c>
      <c r="Q195" t="s">
        <v>73</v>
      </c>
      <c r="R195" t="s">
        <v>73</v>
      </c>
      <c r="S195" t="s">
        <v>73</v>
      </c>
      <c r="T195" t="s">
        <v>73</v>
      </c>
      <c r="U195" t="s">
        <v>73</v>
      </c>
      <c r="V195" t="s">
        <v>73</v>
      </c>
      <c r="W195" t="s">
        <v>73</v>
      </c>
      <c r="X195" t="s">
        <v>73</v>
      </c>
      <c r="Y195" t="s">
        <v>73</v>
      </c>
      <c r="Z195" t="s">
        <v>73</v>
      </c>
      <c r="AA195" t="s">
        <v>73</v>
      </c>
      <c r="AB195" t="s">
        <v>73</v>
      </c>
      <c r="AC195" t="s">
        <v>73</v>
      </c>
      <c r="AD195" t="s">
        <v>73</v>
      </c>
    </row>
    <row r="196" spans="1:30" x14ac:dyDescent="0.3">
      <c r="A196" t="s">
        <v>562</v>
      </c>
      <c r="B196" s="5" t="s">
        <v>563</v>
      </c>
      <c r="C196" t="s">
        <v>415</v>
      </c>
      <c r="D196" s="5" t="s">
        <v>416</v>
      </c>
      <c r="E196" t="s">
        <v>73</v>
      </c>
      <c r="F196" t="s">
        <v>73</v>
      </c>
      <c r="G196" t="s">
        <v>73</v>
      </c>
      <c r="H196" t="s">
        <v>73</v>
      </c>
      <c r="I196" t="s">
        <v>73</v>
      </c>
      <c r="J196" t="s">
        <v>73</v>
      </c>
      <c r="K196" t="s">
        <v>73</v>
      </c>
      <c r="L196" t="s">
        <v>73</v>
      </c>
      <c r="M196" t="s">
        <v>73</v>
      </c>
      <c r="N196" t="s">
        <v>73</v>
      </c>
      <c r="O196" t="s">
        <v>73</v>
      </c>
      <c r="P196" t="s">
        <v>73</v>
      </c>
      <c r="Q196" t="s">
        <v>73</v>
      </c>
      <c r="R196" t="s">
        <v>73</v>
      </c>
      <c r="S196" t="s">
        <v>73</v>
      </c>
      <c r="T196" t="s">
        <v>73</v>
      </c>
      <c r="U196" t="s">
        <v>73</v>
      </c>
      <c r="V196" t="s">
        <v>73</v>
      </c>
      <c r="W196" t="s">
        <v>73</v>
      </c>
      <c r="X196" t="s">
        <v>73</v>
      </c>
      <c r="Y196" t="s">
        <v>73</v>
      </c>
      <c r="Z196" t="s">
        <v>73</v>
      </c>
      <c r="AA196" t="s">
        <v>73</v>
      </c>
      <c r="AB196" t="s">
        <v>73</v>
      </c>
      <c r="AC196" t="s">
        <v>73</v>
      </c>
      <c r="AD196" t="s">
        <v>73</v>
      </c>
    </row>
    <row r="197" spans="1:30" x14ac:dyDescent="0.3">
      <c r="A197" t="s">
        <v>562</v>
      </c>
      <c r="B197" s="5" t="s">
        <v>563</v>
      </c>
      <c r="C197" t="s">
        <v>417</v>
      </c>
      <c r="D197" s="5" t="s">
        <v>418</v>
      </c>
      <c r="E197" t="s">
        <v>73</v>
      </c>
      <c r="F197" t="s">
        <v>73</v>
      </c>
      <c r="G197" t="s">
        <v>73</v>
      </c>
      <c r="H197" t="s">
        <v>73</v>
      </c>
      <c r="I197" t="s">
        <v>73</v>
      </c>
      <c r="J197" t="s">
        <v>73</v>
      </c>
      <c r="K197" t="s">
        <v>73</v>
      </c>
      <c r="L197" t="s">
        <v>73</v>
      </c>
      <c r="M197" t="s">
        <v>73</v>
      </c>
      <c r="N197" t="s">
        <v>73</v>
      </c>
      <c r="O197" t="s">
        <v>73</v>
      </c>
      <c r="P197" t="s">
        <v>73</v>
      </c>
      <c r="Q197" t="s">
        <v>73</v>
      </c>
      <c r="R197" t="s">
        <v>73</v>
      </c>
      <c r="S197" t="s">
        <v>73</v>
      </c>
      <c r="T197" t="s">
        <v>73</v>
      </c>
      <c r="U197" t="s">
        <v>73</v>
      </c>
      <c r="V197" t="s">
        <v>73</v>
      </c>
      <c r="W197" t="s">
        <v>73</v>
      </c>
      <c r="X197" t="s">
        <v>73</v>
      </c>
      <c r="Y197" t="s">
        <v>73</v>
      </c>
      <c r="Z197" t="s">
        <v>73</v>
      </c>
      <c r="AA197" t="s">
        <v>73</v>
      </c>
      <c r="AB197" t="s">
        <v>73</v>
      </c>
      <c r="AC197" t="s">
        <v>73</v>
      </c>
      <c r="AD197" t="s">
        <v>73</v>
      </c>
    </row>
    <row r="198" spans="1:30" x14ac:dyDescent="0.3">
      <c r="A198" t="s">
        <v>562</v>
      </c>
      <c r="B198" s="5" t="s">
        <v>563</v>
      </c>
      <c r="C198" t="s">
        <v>419</v>
      </c>
      <c r="D198" s="5" t="s">
        <v>420</v>
      </c>
      <c r="E198">
        <v>7.9000000000000008E-3</v>
      </c>
      <c r="F198">
        <v>7.9000000000000008E-3</v>
      </c>
      <c r="G198">
        <v>3.0999999999999999E-3</v>
      </c>
      <c r="H198">
        <v>3.0999999999999999E-3</v>
      </c>
      <c r="I198">
        <v>7.9000000000000008E-3</v>
      </c>
      <c r="J198">
        <v>7.9000000000000008E-3</v>
      </c>
      <c r="K198">
        <v>7.9000000000000008E-3</v>
      </c>
      <c r="L198">
        <v>7.9000000000000008E-3</v>
      </c>
      <c r="M198">
        <v>7.4999999999999997E-3</v>
      </c>
      <c r="N198">
        <v>7.9000000000000008E-3</v>
      </c>
      <c r="O198">
        <v>7.9000000000000008E-3</v>
      </c>
      <c r="P198">
        <v>7.9000000000000008E-3</v>
      </c>
      <c r="Q198">
        <v>9.4000000000000004E-3</v>
      </c>
      <c r="R198">
        <v>9.4000000000000004E-3</v>
      </c>
      <c r="S198">
        <v>9.4000000000000004E-3</v>
      </c>
      <c r="T198">
        <v>9.4000000000000004E-3</v>
      </c>
      <c r="U198">
        <v>9.4000000000000004E-3</v>
      </c>
      <c r="V198">
        <v>9.4000000000000004E-3</v>
      </c>
      <c r="W198">
        <v>9.4000000000000004E-3</v>
      </c>
      <c r="X198">
        <v>9.4000000000000004E-3</v>
      </c>
      <c r="Y198">
        <v>9.4000000000000004E-3</v>
      </c>
      <c r="Z198">
        <v>9.4000000000000004E-3</v>
      </c>
      <c r="AA198">
        <v>9.4000000000000004E-3</v>
      </c>
      <c r="AB198">
        <v>9.4000000000000004E-3</v>
      </c>
      <c r="AC198">
        <v>9.4000000000000004E-3</v>
      </c>
      <c r="AD198" t="s">
        <v>73</v>
      </c>
    </row>
    <row r="199" spans="1:30" x14ac:dyDescent="0.3">
      <c r="A199" t="s">
        <v>562</v>
      </c>
      <c r="B199" s="5" t="s">
        <v>563</v>
      </c>
      <c r="C199" t="s">
        <v>421</v>
      </c>
      <c r="D199" s="5" t="s">
        <v>422</v>
      </c>
      <c r="E199">
        <v>0.18260000000000001</v>
      </c>
      <c r="F199">
        <v>0.16239999999999999</v>
      </c>
      <c r="G199">
        <v>0.15920000000000001</v>
      </c>
      <c r="H199">
        <v>0.1676</v>
      </c>
      <c r="I199">
        <v>0.1928</v>
      </c>
      <c r="J199">
        <v>0.20530000000000001</v>
      </c>
      <c r="K199">
        <v>0.23100000000000001</v>
      </c>
      <c r="L199">
        <v>0.22370000000000001</v>
      </c>
      <c r="M199">
        <v>0.19570000000000001</v>
      </c>
      <c r="N199">
        <v>0.22939999999999999</v>
      </c>
      <c r="O199">
        <v>0.23569999999999999</v>
      </c>
      <c r="P199">
        <v>0.24510000000000001</v>
      </c>
      <c r="Q199">
        <v>0.2535</v>
      </c>
      <c r="R199">
        <v>0.14990000000000001</v>
      </c>
      <c r="S199">
        <v>0.17169999999999999</v>
      </c>
      <c r="T199">
        <v>0.1976</v>
      </c>
      <c r="U199">
        <v>0.27900000000000003</v>
      </c>
      <c r="V199">
        <v>0.2072</v>
      </c>
      <c r="W199">
        <v>0.23930000000000001</v>
      </c>
      <c r="X199">
        <v>0.2077</v>
      </c>
      <c r="Y199">
        <v>0.1474</v>
      </c>
      <c r="Z199">
        <v>0.19789999999999999</v>
      </c>
      <c r="AA199">
        <v>0.26469999999999999</v>
      </c>
      <c r="AB199">
        <v>0.21629999999999999</v>
      </c>
      <c r="AC199">
        <v>0.22070000000000001</v>
      </c>
      <c r="AD199" t="s">
        <v>73</v>
      </c>
    </row>
    <row r="200" spans="1:30" x14ac:dyDescent="0.3">
      <c r="A200" t="s">
        <v>562</v>
      </c>
      <c r="B200" s="5" t="s">
        <v>563</v>
      </c>
      <c r="C200" t="s">
        <v>423</v>
      </c>
      <c r="D200" s="5" t="s">
        <v>424</v>
      </c>
      <c r="E200">
        <v>1.6681999999999999</v>
      </c>
      <c r="F200">
        <v>1.6004</v>
      </c>
      <c r="G200">
        <v>1.7494000000000001</v>
      </c>
      <c r="H200">
        <v>2.0099</v>
      </c>
      <c r="I200">
        <v>2.0746000000000002</v>
      </c>
      <c r="J200">
        <v>2.1246</v>
      </c>
      <c r="K200">
        <v>2.2667000000000002</v>
      </c>
      <c r="L200">
        <v>2.1177999999999999</v>
      </c>
      <c r="M200">
        <v>1.7809999999999999</v>
      </c>
      <c r="N200">
        <v>2.4956</v>
      </c>
      <c r="O200">
        <v>2.3306</v>
      </c>
      <c r="P200">
        <v>2.1143999999999998</v>
      </c>
      <c r="Q200">
        <v>2.4542999999999999</v>
      </c>
      <c r="R200">
        <v>2.7597</v>
      </c>
      <c r="S200">
        <v>2.5177999999999998</v>
      </c>
      <c r="T200">
        <v>2.5154000000000001</v>
      </c>
      <c r="U200">
        <v>3.3062</v>
      </c>
      <c r="V200">
        <v>2.7021000000000002</v>
      </c>
      <c r="W200">
        <v>2.2299000000000002</v>
      </c>
      <c r="X200">
        <v>2.3471000000000002</v>
      </c>
      <c r="Y200">
        <v>2.9857999999999998</v>
      </c>
      <c r="Z200">
        <v>2.3106</v>
      </c>
      <c r="AA200">
        <v>2.1301000000000001</v>
      </c>
      <c r="AB200">
        <v>2.1690999999999998</v>
      </c>
      <c r="AC200">
        <v>2.1211000000000002</v>
      </c>
      <c r="AD200" t="s">
        <v>73</v>
      </c>
    </row>
    <row r="201" spans="1:30" x14ac:dyDescent="0.3">
      <c r="A201" t="s">
        <v>562</v>
      </c>
      <c r="B201" s="5" t="s">
        <v>563</v>
      </c>
      <c r="C201" t="s">
        <v>425</v>
      </c>
      <c r="D201" s="5" t="s">
        <v>426</v>
      </c>
      <c r="E201">
        <v>0.25269999999999998</v>
      </c>
      <c r="F201">
        <v>0.25019999999999998</v>
      </c>
      <c r="G201">
        <v>0.29070000000000001</v>
      </c>
      <c r="H201">
        <v>0.30959999999999999</v>
      </c>
      <c r="I201">
        <v>0.33300000000000002</v>
      </c>
      <c r="J201">
        <v>0.36409999999999998</v>
      </c>
      <c r="K201">
        <v>0.52159999999999995</v>
      </c>
      <c r="L201">
        <v>0.55000000000000004</v>
      </c>
      <c r="M201">
        <v>0.55000000000000004</v>
      </c>
      <c r="N201">
        <v>0.55940000000000001</v>
      </c>
      <c r="O201">
        <v>0.56569999999999998</v>
      </c>
      <c r="P201">
        <v>0.56569999999999998</v>
      </c>
      <c r="Q201">
        <v>0.58140000000000003</v>
      </c>
      <c r="R201">
        <v>0.83689999999999998</v>
      </c>
      <c r="S201">
        <v>0.86680000000000001</v>
      </c>
      <c r="T201">
        <v>0.92400000000000004</v>
      </c>
      <c r="U201">
        <v>0.8357</v>
      </c>
      <c r="V201">
        <v>0.81440000000000001</v>
      </c>
      <c r="W201">
        <v>0.81599999999999995</v>
      </c>
      <c r="X201">
        <v>0.88549999999999995</v>
      </c>
      <c r="Y201">
        <v>0.91410000000000002</v>
      </c>
      <c r="Z201">
        <v>0.87480000000000002</v>
      </c>
      <c r="AA201">
        <v>0.84619999999999995</v>
      </c>
      <c r="AB201">
        <v>0.8427</v>
      </c>
      <c r="AC201">
        <v>0.83909999999999996</v>
      </c>
      <c r="AD201" t="s">
        <v>73</v>
      </c>
    </row>
    <row r="202" spans="1:30" x14ac:dyDescent="0.3">
      <c r="A202" t="s">
        <v>562</v>
      </c>
      <c r="B202" s="5" t="s">
        <v>563</v>
      </c>
      <c r="C202" t="s">
        <v>427</v>
      </c>
      <c r="D202" s="5" t="s">
        <v>428</v>
      </c>
      <c r="E202" t="s">
        <v>73</v>
      </c>
      <c r="F202" t="s">
        <v>73</v>
      </c>
      <c r="G202" t="s">
        <v>73</v>
      </c>
      <c r="H202" t="s">
        <v>73</v>
      </c>
      <c r="I202" t="s">
        <v>73</v>
      </c>
      <c r="J202" t="s">
        <v>73</v>
      </c>
      <c r="K202" t="s">
        <v>73</v>
      </c>
      <c r="L202" t="s">
        <v>73</v>
      </c>
      <c r="M202" t="s">
        <v>73</v>
      </c>
      <c r="N202" t="s">
        <v>73</v>
      </c>
      <c r="O202" t="s">
        <v>73</v>
      </c>
      <c r="P202" t="s">
        <v>73</v>
      </c>
      <c r="Q202" t="s">
        <v>73</v>
      </c>
      <c r="R202" t="s">
        <v>73</v>
      </c>
      <c r="S202" t="s">
        <v>73</v>
      </c>
      <c r="T202" t="s">
        <v>73</v>
      </c>
      <c r="U202" t="s">
        <v>73</v>
      </c>
      <c r="V202" t="s">
        <v>73</v>
      </c>
      <c r="W202" t="s">
        <v>73</v>
      </c>
      <c r="X202" t="s">
        <v>73</v>
      </c>
      <c r="Y202" t="s">
        <v>73</v>
      </c>
      <c r="Z202" t="s">
        <v>73</v>
      </c>
      <c r="AA202" t="s">
        <v>73</v>
      </c>
      <c r="AB202" t="s">
        <v>73</v>
      </c>
      <c r="AC202" t="s">
        <v>73</v>
      </c>
      <c r="AD202" t="s">
        <v>73</v>
      </c>
    </row>
    <row r="203" spans="1:30" x14ac:dyDescent="0.3">
      <c r="A203" t="s">
        <v>562</v>
      </c>
      <c r="B203" s="5" t="s">
        <v>563</v>
      </c>
      <c r="C203" t="s">
        <v>429</v>
      </c>
      <c r="D203" s="5" t="s">
        <v>430</v>
      </c>
      <c r="E203" t="s">
        <v>73</v>
      </c>
      <c r="F203" t="s">
        <v>73</v>
      </c>
      <c r="G203" t="s">
        <v>73</v>
      </c>
      <c r="H203" t="s">
        <v>73</v>
      </c>
      <c r="I203" t="s">
        <v>73</v>
      </c>
      <c r="J203" t="s">
        <v>73</v>
      </c>
      <c r="K203" t="s">
        <v>73</v>
      </c>
      <c r="L203" t="s">
        <v>73</v>
      </c>
      <c r="M203" t="s">
        <v>73</v>
      </c>
      <c r="N203" t="s">
        <v>73</v>
      </c>
      <c r="O203" t="s">
        <v>73</v>
      </c>
      <c r="P203" t="s">
        <v>73</v>
      </c>
      <c r="Q203" t="s">
        <v>73</v>
      </c>
      <c r="R203" t="s">
        <v>73</v>
      </c>
      <c r="S203" t="s">
        <v>73</v>
      </c>
      <c r="T203" t="s">
        <v>73</v>
      </c>
      <c r="U203" t="s">
        <v>73</v>
      </c>
      <c r="V203" t="s">
        <v>73</v>
      </c>
      <c r="W203" t="s">
        <v>73</v>
      </c>
      <c r="X203" t="s">
        <v>73</v>
      </c>
      <c r="Y203" t="s">
        <v>73</v>
      </c>
      <c r="Z203" t="s">
        <v>73</v>
      </c>
      <c r="AA203" t="s">
        <v>73</v>
      </c>
      <c r="AB203" t="s">
        <v>73</v>
      </c>
      <c r="AC203" t="s">
        <v>73</v>
      </c>
      <c r="AD203" t="s">
        <v>73</v>
      </c>
    </row>
    <row r="204" spans="1:30" x14ac:dyDescent="0.3">
      <c r="A204" t="s">
        <v>562</v>
      </c>
      <c r="B204" s="5" t="s">
        <v>563</v>
      </c>
      <c r="C204" t="s">
        <v>431</v>
      </c>
      <c r="D204" s="5" t="s">
        <v>432</v>
      </c>
      <c r="E204" t="s">
        <v>73</v>
      </c>
      <c r="F204" t="s">
        <v>73</v>
      </c>
      <c r="G204" t="s">
        <v>73</v>
      </c>
      <c r="H204" t="s">
        <v>73</v>
      </c>
      <c r="I204" t="s">
        <v>73</v>
      </c>
      <c r="J204" t="s">
        <v>73</v>
      </c>
      <c r="K204" t="s">
        <v>73</v>
      </c>
      <c r="L204" t="s">
        <v>73</v>
      </c>
      <c r="M204" t="s">
        <v>73</v>
      </c>
      <c r="N204" t="s">
        <v>73</v>
      </c>
      <c r="O204" t="s">
        <v>73</v>
      </c>
      <c r="P204" t="s">
        <v>73</v>
      </c>
      <c r="Q204" t="s">
        <v>73</v>
      </c>
      <c r="R204" t="s">
        <v>73</v>
      </c>
      <c r="S204" t="s">
        <v>73</v>
      </c>
      <c r="T204" t="s">
        <v>73</v>
      </c>
      <c r="U204" t="s">
        <v>73</v>
      </c>
      <c r="V204" t="s">
        <v>73</v>
      </c>
      <c r="W204" t="s">
        <v>73</v>
      </c>
      <c r="X204" t="s">
        <v>73</v>
      </c>
      <c r="Y204" t="s">
        <v>73</v>
      </c>
      <c r="Z204" t="s">
        <v>73</v>
      </c>
      <c r="AA204" t="s">
        <v>73</v>
      </c>
      <c r="AB204" t="s">
        <v>73</v>
      </c>
      <c r="AC204" t="s">
        <v>73</v>
      </c>
      <c r="AD204" t="s">
        <v>73</v>
      </c>
    </row>
    <row r="205" spans="1:30" x14ac:dyDescent="0.3">
      <c r="A205" t="s">
        <v>562</v>
      </c>
      <c r="B205" s="5" t="s">
        <v>563</v>
      </c>
      <c r="C205" t="s">
        <v>433</v>
      </c>
      <c r="D205" s="5" t="s">
        <v>434</v>
      </c>
      <c r="E205">
        <v>0.99680000000000002</v>
      </c>
      <c r="F205">
        <v>1.0893999999999999</v>
      </c>
      <c r="G205">
        <v>0.89039999999999997</v>
      </c>
      <c r="H205">
        <v>0.94930000000000003</v>
      </c>
      <c r="I205">
        <v>0.995</v>
      </c>
      <c r="J205">
        <v>0.99829999999999997</v>
      </c>
      <c r="K205">
        <v>1.0401</v>
      </c>
      <c r="L205">
        <v>1.3511</v>
      </c>
      <c r="M205">
        <v>1.5431999999999999</v>
      </c>
      <c r="N205">
        <v>1.5351999999999999</v>
      </c>
      <c r="O205">
        <v>1.5106999999999999</v>
      </c>
      <c r="P205">
        <v>2.1686999999999999</v>
      </c>
      <c r="Q205">
        <v>2.2029000000000001</v>
      </c>
      <c r="R205">
        <v>2.2437999999999998</v>
      </c>
      <c r="S205">
        <v>2.1337999999999999</v>
      </c>
      <c r="T205">
        <v>2.0055999999999998</v>
      </c>
      <c r="U205">
        <v>2.5457000000000001</v>
      </c>
      <c r="V205">
        <v>2.7557999999999998</v>
      </c>
      <c r="W205">
        <v>2.5581</v>
      </c>
      <c r="X205">
        <v>3.0775000000000001</v>
      </c>
      <c r="Y205">
        <v>3.0291999999999999</v>
      </c>
      <c r="Z205">
        <v>2.8605</v>
      </c>
      <c r="AA205">
        <v>0.94030000000000002</v>
      </c>
      <c r="AB205">
        <v>0.83809999999999996</v>
      </c>
      <c r="AC205">
        <v>0.77200000000000002</v>
      </c>
      <c r="AD205" t="s">
        <v>73</v>
      </c>
    </row>
    <row r="206" spans="1:30" x14ac:dyDescent="0.3">
      <c r="A206" t="s">
        <v>562</v>
      </c>
      <c r="B206" s="5" t="s">
        <v>563</v>
      </c>
      <c r="C206" t="s">
        <v>43</v>
      </c>
      <c r="D206" s="5" t="s">
        <v>435</v>
      </c>
      <c r="E206" t="s">
        <v>73</v>
      </c>
      <c r="F206" t="s">
        <v>73</v>
      </c>
      <c r="G206" t="s">
        <v>73</v>
      </c>
      <c r="H206" t="s">
        <v>73</v>
      </c>
      <c r="I206" t="s">
        <v>73</v>
      </c>
      <c r="J206" t="s">
        <v>73</v>
      </c>
      <c r="K206" t="s">
        <v>73</v>
      </c>
      <c r="L206" t="s">
        <v>73</v>
      </c>
      <c r="M206" t="s">
        <v>73</v>
      </c>
      <c r="N206" t="s">
        <v>73</v>
      </c>
      <c r="O206" t="s">
        <v>73</v>
      </c>
      <c r="P206" t="s">
        <v>73</v>
      </c>
      <c r="Q206" t="s">
        <v>73</v>
      </c>
      <c r="R206" t="s">
        <v>73</v>
      </c>
      <c r="S206" t="s">
        <v>73</v>
      </c>
      <c r="T206" t="s">
        <v>73</v>
      </c>
      <c r="U206" t="s">
        <v>73</v>
      </c>
      <c r="V206" t="s">
        <v>73</v>
      </c>
      <c r="W206" t="s">
        <v>73</v>
      </c>
      <c r="X206" t="s">
        <v>73</v>
      </c>
      <c r="Y206" t="s">
        <v>73</v>
      </c>
      <c r="Z206" t="s">
        <v>73</v>
      </c>
      <c r="AA206" t="s">
        <v>73</v>
      </c>
      <c r="AB206" t="s">
        <v>73</v>
      </c>
      <c r="AC206" t="s">
        <v>73</v>
      </c>
      <c r="AD206" t="s">
        <v>73</v>
      </c>
    </row>
    <row r="207" spans="1:30" x14ac:dyDescent="0.3">
      <c r="A207" t="s">
        <v>562</v>
      </c>
      <c r="B207" s="5" t="s">
        <v>563</v>
      </c>
      <c r="C207" t="s">
        <v>436</v>
      </c>
      <c r="D207" s="5" t="s">
        <v>437</v>
      </c>
      <c r="E207">
        <v>2.0848</v>
      </c>
      <c r="F207">
        <v>2.2492000000000001</v>
      </c>
      <c r="G207">
        <v>1.9464999999999999</v>
      </c>
      <c r="H207">
        <v>2.0748000000000002</v>
      </c>
      <c r="I207">
        <v>1.9177</v>
      </c>
      <c r="J207">
        <v>1.7637</v>
      </c>
      <c r="K207">
        <v>1.7317</v>
      </c>
      <c r="L207">
        <v>1.9825999999999999</v>
      </c>
      <c r="M207">
        <v>1.871</v>
      </c>
      <c r="N207">
        <v>1.9301999999999999</v>
      </c>
      <c r="O207">
        <v>1.8940999999999999</v>
      </c>
      <c r="P207">
        <v>1.8678999999999999</v>
      </c>
      <c r="Q207">
        <v>1.8349</v>
      </c>
      <c r="R207">
        <v>1.9422999999999999</v>
      </c>
      <c r="S207">
        <v>1.8615999999999999</v>
      </c>
      <c r="T207">
        <v>1.7751999999999999</v>
      </c>
      <c r="U207">
        <v>1.7982</v>
      </c>
      <c r="V207">
        <v>1.77</v>
      </c>
      <c r="W207">
        <v>1.8082</v>
      </c>
      <c r="X207">
        <v>1.9166000000000001</v>
      </c>
      <c r="Y207">
        <v>1.837</v>
      </c>
      <c r="Z207">
        <v>1.5625</v>
      </c>
      <c r="AA207">
        <v>1.508</v>
      </c>
      <c r="AB207">
        <v>1.5338000000000001</v>
      </c>
      <c r="AC207">
        <v>1.5612999999999999</v>
      </c>
      <c r="AD207" t="s">
        <v>73</v>
      </c>
    </row>
    <row r="208" spans="1:30" x14ac:dyDescent="0.3">
      <c r="A208" t="s">
        <v>562</v>
      </c>
      <c r="B208" s="5" t="s">
        <v>563</v>
      </c>
      <c r="C208" t="s">
        <v>45</v>
      </c>
      <c r="D208" s="5" t="s">
        <v>438</v>
      </c>
      <c r="E208">
        <v>5.3926999999999996</v>
      </c>
      <c r="F208">
        <v>5.6406000000000001</v>
      </c>
      <c r="G208">
        <v>5.7584999999999997</v>
      </c>
      <c r="H208">
        <v>6.0073999999999996</v>
      </c>
      <c r="I208">
        <v>5.6151</v>
      </c>
      <c r="J208">
        <v>5.4626000000000001</v>
      </c>
      <c r="K208">
        <v>5.8554000000000004</v>
      </c>
      <c r="L208">
        <v>5.4972000000000003</v>
      </c>
      <c r="M208">
        <v>5.0571000000000002</v>
      </c>
      <c r="N208">
        <v>5.3274999999999997</v>
      </c>
      <c r="O208">
        <v>5.9474</v>
      </c>
      <c r="P208">
        <v>6.1615000000000002</v>
      </c>
      <c r="Q208">
        <v>6.4695</v>
      </c>
      <c r="R208">
        <v>6.2362000000000002</v>
      </c>
      <c r="S208">
        <v>6.2972000000000001</v>
      </c>
      <c r="T208">
        <v>6.6909999999999998</v>
      </c>
      <c r="U208">
        <v>6.7302999999999997</v>
      </c>
      <c r="V208">
        <v>6.7666000000000004</v>
      </c>
      <c r="W208">
        <v>6.5072999999999999</v>
      </c>
      <c r="X208">
        <v>6.7386999999999997</v>
      </c>
      <c r="Y208">
        <v>6.8018999999999998</v>
      </c>
      <c r="Z208">
        <v>6.42</v>
      </c>
      <c r="AA208">
        <v>6.8973000000000004</v>
      </c>
      <c r="AB208">
        <v>6.8040000000000003</v>
      </c>
      <c r="AC208">
        <v>6.8367000000000004</v>
      </c>
      <c r="AD208" t="s">
        <v>73</v>
      </c>
    </row>
    <row r="209" spans="1:30" x14ac:dyDescent="0.3">
      <c r="A209" t="s">
        <v>562</v>
      </c>
      <c r="B209" s="5" t="s">
        <v>563</v>
      </c>
      <c r="C209" t="s">
        <v>439</v>
      </c>
      <c r="D209" s="5" t="s">
        <v>440</v>
      </c>
      <c r="E209">
        <v>6.5100000000000005E-2</v>
      </c>
      <c r="F209">
        <v>7.0400000000000004E-2</v>
      </c>
      <c r="G209">
        <v>7.0599999999999996E-2</v>
      </c>
      <c r="H209">
        <v>0.1133</v>
      </c>
      <c r="I209">
        <v>0.1051</v>
      </c>
      <c r="J209">
        <v>0.10440000000000001</v>
      </c>
      <c r="K209">
        <v>0.10440000000000001</v>
      </c>
      <c r="L209">
        <v>0.1094</v>
      </c>
      <c r="M209">
        <v>0.1002</v>
      </c>
      <c r="N209">
        <v>0.1101</v>
      </c>
      <c r="O209">
        <v>0.1154</v>
      </c>
      <c r="P209">
        <v>0.13830000000000001</v>
      </c>
      <c r="Q209">
        <v>0.28349999999999997</v>
      </c>
      <c r="R209">
        <v>0.24540000000000001</v>
      </c>
      <c r="S209">
        <v>0.1789</v>
      </c>
      <c r="T209">
        <v>0.20480000000000001</v>
      </c>
      <c r="U209">
        <v>0.19919999999999999</v>
      </c>
      <c r="V209">
        <v>0.21099999999999999</v>
      </c>
      <c r="W209">
        <v>0.26960000000000001</v>
      </c>
      <c r="X209">
        <v>0.28339999999999999</v>
      </c>
      <c r="Y209">
        <v>0.35849999999999999</v>
      </c>
      <c r="Z209">
        <v>0.60209999999999997</v>
      </c>
      <c r="AA209">
        <v>0.50570000000000004</v>
      </c>
      <c r="AB209">
        <v>0.54830000000000001</v>
      </c>
      <c r="AC209">
        <v>0.59730000000000005</v>
      </c>
      <c r="AD209" t="s">
        <v>73</v>
      </c>
    </row>
    <row r="210" spans="1:30" x14ac:dyDescent="0.3">
      <c r="A210" t="s">
        <v>562</v>
      </c>
      <c r="B210" s="5" t="s">
        <v>563</v>
      </c>
      <c r="C210" t="s">
        <v>441</v>
      </c>
      <c r="D210" s="5" t="s">
        <v>442</v>
      </c>
      <c r="E210">
        <v>0.85540000000000005</v>
      </c>
      <c r="F210">
        <v>0.69610000000000005</v>
      </c>
      <c r="G210">
        <v>0.76149999999999995</v>
      </c>
      <c r="H210">
        <v>0.82230000000000003</v>
      </c>
      <c r="I210">
        <v>0.85360000000000003</v>
      </c>
      <c r="J210">
        <v>0.89639999999999997</v>
      </c>
      <c r="K210">
        <v>1.1739999999999999</v>
      </c>
      <c r="L210">
        <v>1.3543000000000001</v>
      </c>
      <c r="M210">
        <v>1.5718000000000001</v>
      </c>
      <c r="N210">
        <v>1.4087000000000001</v>
      </c>
      <c r="O210">
        <v>1.6688000000000001</v>
      </c>
      <c r="P210">
        <v>1.6637999999999999</v>
      </c>
      <c r="Q210">
        <v>1.7801</v>
      </c>
      <c r="R210">
        <v>1.8044</v>
      </c>
      <c r="S210">
        <v>1.8091999999999999</v>
      </c>
      <c r="T210">
        <v>1.8794999999999999</v>
      </c>
      <c r="U210">
        <v>1.9679</v>
      </c>
      <c r="V210">
        <v>1.4615</v>
      </c>
      <c r="W210">
        <v>1.7918000000000001</v>
      </c>
      <c r="X210">
        <v>1.8242</v>
      </c>
      <c r="Y210">
        <v>1.9177999999999999</v>
      </c>
      <c r="Z210">
        <v>1.7903</v>
      </c>
      <c r="AA210">
        <v>1.8001</v>
      </c>
      <c r="AB210">
        <v>1.758</v>
      </c>
      <c r="AC210">
        <v>1.7694000000000001</v>
      </c>
      <c r="AD210" t="s">
        <v>73</v>
      </c>
    </row>
    <row r="211" spans="1:30" x14ac:dyDescent="0.3">
      <c r="A211" t="s">
        <v>562</v>
      </c>
      <c r="B211" s="5" t="s">
        <v>563</v>
      </c>
      <c r="C211" t="s">
        <v>443</v>
      </c>
      <c r="D211" s="5" t="s">
        <v>444</v>
      </c>
      <c r="E211" t="s">
        <v>73</v>
      </c>
      <c r="F211" t="s">
        <v>73</v>
      </c>
      <c r="G211" t="s">
        <v>73</v>
      </c>
      <c r="H211" t="s">
        <v>73</v>
      </c>
      <c r="I211" t="s">
        <v>73</v>
      </c>
      <c r="J211" t="s">
        <v>73</v>
      </c>
      <c r="K211" t="s">
        <v>73</v>
      </c>
      <c r="L211" t="s">
        <v>73</v>
      </c>
      <c r="M211" t="s">
        <v>73</v>
      </c>
      <c r="N211" t="s">
        <v>73</v>
      </c>
      <c r="O211" t="s">
        <v>73</v>
      </c>
      <c r="P211" t="s">
        <v>73</v>
      </c>
      <c r="Q211" t="s">
        <v>73</v>
      </c>
      <c r="R211" t="s">
        <v>73</v>
      </c>
      <c r="S211" t="s">
        <v>73</v>
      </c>
      <c r="T211" t="s">
        <v>73</v>
      </c>
      <c r="U211" t="s">
        <v>73</v>
      </c>
      <c r="V211" t="s">
        <v>73</v>
      </c>
      <c r="W211" t="s">
        <v>73</v>
      </c>
      <c r="X211" t="s">
        <v>73</v>
      </c>
      <c r="Y211" t="s">
        <v>73</v>
      </c>
      <c r="Z211" t="s">
        <v>73</v>
      </c>
      <c r="AA211" t="s">
        <v>73</v>
      </c>
      <c r="AB211" t="s">
        <v>73</v>
      </c>
      <c r="AC211" t="s">
        <v>73</v>
      </c>
      <c r="AD211" t="s">
        <v>73</v>
      </c>
    </row>
    <row r="212" spans="1:30" x14ac:dyDescent="0.3">
      <c r="A212" t="s">
        <v>562</v>
      </c>
      <c r="B212" s="5" t="s">
        <v>563</v>
      </c>
      <c r="C212" t="s">
        <v>445</v>
      </c>
      <c r="D212" s="5" t="s">
        <v>446</v>
      </c>
      <c r="E212">
        <v>0.23150000000000001</v>
      </c>
      <c r="F212">
        <v>0.24249999999999999</v>
      </c>
      <c r="G212">
        <v>0.31950000000000001</v>
      </c>
      <c r="H212">
        <v>0.31950000000000001</v>
      </c>
      <c r="I212">
        <v>0.34150000000000003</v>
      </c>
      <c r="J212">
        <v>0.3745</v>
      </c>
      <c r="K212">
        <v>0.31269999999999998</v>
      </c>
      <c r="L212">
        <v>0.34620000000000001</v>
      </c>
      <c r="M212">
        <v>0.34889999999999999</v>
      </c>
      <c r="N212">
        <v>0.39850000000000002</v>
      </c>
      <c r="O212">
        <v>0.4113</v>
      </c>
      <c r="P212">
        <v>0.42280000000000001</v>
      </c>
      <c r="Q212">
        <v>0.41689999999999999</v>
      </c>
      <c r="R212">
        <v>0.28039999999999998</v>
      </c>
      <c r="S212">
        <v>0.32919999999999999</v>
      </c>
      <c r="T212">
        <v>0.30170000000000002</v>
      </c>
      <c r="U212">
        <v>0.2621</v>
      </c>
      <c r="V212">
        <v>0.30230000000000001</v>
      </c>
      <c r="W212">
        <v>0.1053</v>
      </c>
      <c r="X212">
        <v>0.1736</v>
      </c>
      <c r="Y212">
        <v>0.15</v>
      </c>
      <c r="Z212">
        <v>0.1421</v>
      </c>
      <c r="AA212">
        <v>9.0399999999999994E-2</v>
      </c>
      <c r="AB212">
        <v>5.5E-2</v>
      </c>
      <c r="AC212">
        <v>3.4500000000000003E-2</v>
      </c>
      <c r="AD212" t="s">
        <v>73</v>
      </c>
    </row>
    <row r="213" spans="1:30" x14ac:dyDescent="0.3">
      <c r="A213" t="s">
        <v>562</v>
      </c>
      <c r="B213" s="5" t="s">
        <v>563</v>
      </c>
      <c r="C213" t="s">
        <v>447</v>
      </c>
      <c r="D213" s="5" t="s">
        <v>448</v>
      </c>
      <c r="E213">
        <v>2.1827000000000001</v>
      </c>
      <c r="F213">
        <v>1.8815</v>
      </c>
      <c r="G213">
        <v>2.2867999999999999</v>
      </c>
      <c r="H213">
        <v>2.2002000000000002</v>
      </c>
      <c r="I213">
        <v>2.5009999999999999</v>
      </c>
      <c r="J213">
        <v>2.1347999999999998</v>
      </c>
      <c r="K213">
        <v>1.9654</v>
      </c>
      <c r="L213">
        <v>2.1518000000000002</v>
      </c>
      <c r="M213">
        <v>1.7757000000000001</v>
      </c>
      <c r="N213">
        <v>2.3885999999999998</v>
      </c>
      <c r="O213">
        <v>2.2366999999999999</v>
      </c>
      <c r="P213">
        <v>2.399</v>
      </c>
      <c r="Q213">
        <v>2.6981000000000002</v>
      </c>
      <c r="R213">
        <v>2.9188999999999998</v>
      </c>
      <c r="S213">
        <v>2.7305999999999999</v>
      </c>
      <c r="T213">
        <v>3.4114</v>
      </c>
      <c r="U213">
        <v>2.8193000000000001</v>
      </c>
      <c r="V213">
        <v>2.8976000000000002</v>
      </c>
      <c r="W213">
        <v>2.8519999999999999</v>
      </c>
      <c r="X213">
        <v>2.8271000000000002</v>
      </c>
      <c r="Y213">
        <v>2.0341</v>
      </c>
      <c r="Z213">
        <v>3.0373999999999999</v>
      </c>
      <c r="AA213">
        <v>2.3906000000000001</v>
      </c>
      <c r="AB213">
        <v>2.2227999999999999</v>
      </c>
      <c r="AC213">
        <v>2.1665000000000001</v>
      </c>
      <c r="AD213" t="s">
        <v>73</v>
      </c>
    </row>
    <row r="214" spans="1:30" x14ac:dyDescent="0.3">
      <c r="A214" t="s">
        <v>562</v>
      </c>
      <c r="B214" s="5" t="s">
        <v>563</v>
      </c>
      <c r="C214" t="s">
        <v>449</v>
      </c>
      <c r="D214" s="5" t="s">
        <v>450</v>
      </c>
      <c r="E214" t="s">
        <v>73</v>
      </c>
      <c r="F214" t="s">
        <v>73</v>
      </c>
      <c r="G214" t="s">
        <v>73</v>
      </c>
      <c r="H214" t="s">
        <v>73</v>
      </c>
      <c r="I214" t="s">
        <v>73</v>
      </c>
      <c r="J214" t="s">
        <v>73</v>
      </c>
      <c r="K214" t="s">
        <v>73</v>
      </c>
      <c r="L214" t="s">
        <v>73</v>
      </c>
      <c r="M214" t="s">
        <v>73</v>
      </c>
      <c r="N214" t="s">
        <v>73</v>
      </c>
      <c r="O214" t="s">
        <v>73</v>
      </c>
      <c r="P214" t="s">
        <v>73</v>
      </c>
      <c r="Q214" t="s">
        <v>73</v>
      </c>
      <c r="R214" t="s">
        <v>73</v>
      </c>
      <c r="S214" t="s">
        <v>73</v>
      </c>
      <c r="T214" t="s">
        <v>73</v>
      </c>
      <c r="U214" t="s">
        <v>73</v>
      </c>
      <c r="V214" t="s">
        <v>73</v>
      </c>
      <c r="W214" t="s">
        <v>73</v>
      </c>
      <c r="X214" t="s">
        <v>73</v>
      </c>
      <c r="Y214" t="s">
        <v>73</v>
      </c>
      <c r="Z214" t="s">
        <v>73</v>
      </c>
      <c r="AA214" t="s">
        <v>73</v>
      </c>
      <c r="AB214" t="s">
        <v>73</v>
      </c>
      <c r="AC214" t="s">
        <v>73</v>
      </c>
      <c r="AD214" t="s">
        <v>73</v>
      </c>
    </row>
    <row r="215" spans="1:30" x14ac:dyDescent="0.3">
      <c r="A215" t="s">
        <v>562</v>
      </c>
      <c r="B215" s="5" t="s">
        <v>563</v>
      </c>
      <c r="C215" t="s">
        <v>451</v>
      </c>
      <c r="D215" s="5" t="s">
        <v>452</v>
      </c>
      <c r="E215" t="s">
        <v>73</v>
      </c>
      <c r="F215" t="s">
        <v>73</v>
      </c>
      <c r="G215" t="s">
        <v>73</v>
      </c>
      <c r="H215" t="s">
        <v>73</v>
      </c>
      <c r="I215" t="s">
        <v>73</v>
      </c>
      <c r="J215" t="s">
        <v>73</v>
      </c>
      <c r="K215" t="s">
        <v>73</v>
      </c>
      <c r="L215" t="s">
        <v>73</v>
      </c>
      <c r="M215" t="s">
        <v>73</v>
      </c>
      <c r="N215" t="s">
        <v>73</v>
      </c>
      <c r="O215" t="s">
        <v>73</v>
      </c>
      <c r="P215" t="s">
        <v>73</v>
      </c>
      <c r="Q215" t="s">
        <v>73</v>
      </c>
      <c r="R215" t="s">
        <v>73</v>
      </c>
      <c r="S215" t="s">
        <v>73</v>
      </c>
      <c r="T215" t="s">
        <v>73</v>
      </c>
      <c r="U215" t="s">
        <v>73</v>
      </c>
      <c r="V215" t="s">
        <v>73</v>
      </c>
      <c r="W215" t="s">
        <v>73</v>
      </c>
      <c r="X215" t="s">
        <v>73</v>
      </c>
      <c r="Y215" t="s">
        <v>73</v>
      </c>
      <c r="Z215" t="s">
        <v>73</v>
      </c>
      <c r="AA215" t="s">
        <v>73</v>
      </c>
      <c r="AB215" t="s">
        <v>73</v>
      </c>
      <c r="AC215" t="s">
        <v>73</v>
      </c>
      <c r="AD215" t="s">
        <v>73</v>
      </c>
    </row>
    <row r="216" spans="1:30" x14ac:dyDescent="0.3">
      <c r="A216" t="s">
        <v>562</v>
      </c>
      <c r="B216" s="5" t="s">
        <v>563</v>
      </c>
      <c r="C216" t="s">
        <v>453</v>
      </c>
      <c r="D216" s="5" t="s">
        <v>454</v>
      </c>
      <c r="E216" t="s">
        <v>73</v>
      </c>
      <c r="F216" t="s">
        <v>73</v>
      </c>
      <c r="G216" t="s">
        <v>73</v>
      </c>
      <c r="H216" t="s">
        <v>73</v>
      </c>
      <c r="I216" t="s">
        <v>73</v>
      </c>
      <c r="J216" t="s">
        <v>73</v>
      </c>
      <c r="K216" t="s">
        <v>73</v>
      </c>
      <c r="L216" t="s">
        <v>73</v>
      </c>
      <c r="M216" t="s">
        <v>73</v>
      </c>
      <c r="N216" t="s">
        <v>73</v>
      </c>
      <c r="O216" t="s">
        <v>73</v>
      </c>
      <c r="P216" t="s">
        <v>73</v>
      </c>
      <c r="Q216" t="s">
        <v>73</v>
      </c>
      <c r="R216" t="s">
        <v>73</v>
      </c>
      <c r="S216" t="s">
        <v>73</v>
      </c>
      <c r="T216" t="s">
        <v>73</v>
      </c>
      <c r="U216" t="s">
        <v>73</v>
      </c>
      <c r="V216" t="s">
        <v>73</v>
      </c>
      <c r="W216" t="s">
        <v>73</v>
      </c>
      <c r="X216" t="s">
        <v>73</v>
      </c>
      <c r="Y216" t="s">
        <v>73</v>
      </c>
      <c r="Z216" t="s">
        <v>73</v>
      </c>
      <c r="AA216" t="s">
        <v>73</v>
      </c>
      <c r="AB216" t="s">
        <v>73</v>
      </c>
      <c r="AC216" t="s">
        <v>73</v>
      </c>
      <c r="AD216" t="s">
        <v>73</v>
      </c>
    </row>
    <row r="217" spans="1:30" x14ac:dyDescent="0.3">
      <c r="A217" t="s">
        <v>562</v>
      </c>
      <c r="B217" s="5" t="s">
        <v>563</v>
      </c>
      <c r="C217" t="s">
        <v>455</v>
      </c>
      <c r="D217" s="5" t="s">
        <v>456</v>
      </c>
      <c r="E217">
        <v>9.4000000000000004E-3</v>
      </c>
      <c r="F217">
        <v>7.4999999999999997E-3</v>
      </c>
      <c r="G217">
        <v>1.24E-2</v>
      </c>
      <c r="H217">
        <v>1.5699999999999999E-2</v>
      </c>
      <c r="I217">
        <v>1.12E-2</v>
      </c>
      <c r="J217">
        <v>2.1399999999999999E-2</v>
      </c>
      <c r="K217">
        <v>3.27E-2</v>
      </c>
      <c r="L217">
        <v>3.27E-2</v>
      </c>
      <c r="M217">
        <v>4.3999999999999997E-2</v>
      </c>
      <c r="N217">
        <v>6.2100000000000002E-2</v>
      </c>
      <c r="O217">
        <v>0.14760000000000001</v>
      </c>
      <c r="P217">
        <v>0.18740000000000001</v>
      </c>
      <c r="Q217">
        <v>0.12640000000000001</v>
      </c>
      <c r="R217">
        <v>0.2072</v>
      </c>
      <c r="S217">
        <v>0.22109999999999999</v>
      </c>
      <c r="T217">
        <v>0.1739</v>
      </c>
      <c r="U217">
        <v>0.18629999999999999</v>
      </c>
      <c r="V217">
        <v>0.14949999999999999</v>
      </c>
      <c r="W217">
        <v>0.1326</v>
      </c>
      <c r="X217">
        <v>0.2099</v>
      </c>
      <c r="Y217">
        <v>0.18410000000000001</v>
      </c>
      <c r="Z217">
        <v>0.30740000000000001</v>
      </c>
      <c r="AA217">
        <v>0.23930000000000001</v>
      </c>
      <c r="AB217">
        <v>0.25169999999999998</v>
      </c>
      <c r="AC217">
        <v>0.2651</v>
      </c>
      <c r="AD217" t="s">
        <v>73</v>
      </c>
    </row>
    <row r="218" spans="1:30" x14ac:dyDescent="0.3">
      <c r="A218" t="s">
        <v>562</v>
      </c>
      <c r="B218" s="5" t="s">
        <v>563</v>
      </c>
      <c r="C218" t="s">
        <v>457</v>
      </c>
      <c r="D218" s="5" t="s">
        <v>458</v>
      </c>
      <c r="E218">
        <v>0.20050000000000001</v>
      </c>
      <c r="F218">
        <v>0.187</v>
      </c>
      <c r="G218">
        <v>0.15709999999999999</v>
      </c>
      <c r="H218">
        <v>4.7100000000000003E-2</v>
      </c>
      <c r="I218">
        <v>4.7100000000000003E-2</v>
      </c>
      <c r="J218">
        <v>4.7100000000000003E-2</v>
      </c>
      <c r="K218">
        <v>5.0299999999999997E-2</v>
      </c>
      <c r="L218">
        <v>7.8600000000000003E-2</v>
      </c>
      <c r="M218">
        <v>7.2300000000000003E-2</v>
      </c>
      <c r="N218">
        <v>5.9700000000000003E-2</v>
      </c>
      <c r="O218">
        <v>0.1082</v>
      </c>
      <c r="P218">
        <v>9.5899999999999999E-2</v>
      </c>
      <c r="Q218">
        <v>6.9099999999999995E-2</v>
      </c>
      <c r="R218">
        <v>9.9400000000000002E-2</v>
      </c>
      <c r="S218">
        <v>9.1800000000000007E-2</v>
      </c>
      <c r="T218">
        <v>0.1181</v>
      </c>
      <c r="U218">
        <v>0.1173</v>
      </c>
      <c r="V218">
        <v>6.9000000000000006E-2</v>
      </c>
      <c r="W218">
        <v>8.6199999999999999E-2</v>
      </c>
      <c r="X218">
        <v>6.2300000000000001E-2</v>
      </c>
      <c r="Y218">
        <v>7.4800000000000005E-2</v>
      </c>
      <c r="Z218">
        <v>0.1043</v>
      </c>
      <c r="AA218">
        <v>4.7399999999999998E-2</v>
      </c>
      <c r="AB218">
        <v>4.07E-2</v>
      </c>
      <c r="AC218">
        <v>3.5299999999999998E-2</v>
      </c>
      <c r="AD218" t="s">
        <v>73</v>
      </c>
    </row>
    <row r="219" spans="1:30" x14ac:dyDescent="0.3">
      <c r="A219" t="s">
        <v>562</v>
      </c>
      <c r="B219" s="5" t="s">
        <v>563</v>
      </c>
      <c r="C219" t="s">
        <v>459</v>
      </c>
      <c r="D219" s="5" t="s">
        <v>460</v>
      </c>
      <c r="E219">
        <v>0.86080000000000001</v>
      </c>
      <c r="F219">
        <v>0.92069999999999985</v>
      </c>
      <c r="G219">
        <v>0.94279999999999997</v>
      </c>
      <c r="H219">
        <v>0.72810000000000008</v>
      </c>
      <c r="I219">
        <v>0.97520000000000007</v>
      </c>
      <c r="J219">
        <v>0.86009999999999998</v>
      </c>
      <c r="K219">
        <v>0.98819999999999997</v>
      </c>
      <c r="L219">
        <v>0.96330000000000005</v>
      </c>
      <c r="M219">
        <v>0.93700000000000006</v>
      </c>
      <c r="N219">
        <v>0.97129999999999994</v>
      </c>
      <c r="O219">
        <v>1.1917</v>
      </c>
      <c r="P219">
        <v>1.2226000000000001</v>
      </c>
      <c r="Q219">
        <v>1.3183</v>
      </c>
      <c r="R219">
        <v>1.7750999999999999</v>
      </c>
      <c r="S219">
        <v>1.9703000000000002</v>
      </c>
      <c r="T219">
        <v>1.8027</v>
      </c>
      <c r="U219">
        <v>2.2319</v>
      </c>
      <c r="V219">
        <v>2.0331000000000001</v>
      </c>
      <c r="W219">
        <v>1.9691000000000001</v>
      </c>
      <c r="X219">
        <v>1.8838999999999999</v>
      </c>
      <c r="Y219">
        <v>2.2254</v>
      </c>
      <c r="Z219">
        <v>2.6218999999999997</v>
      </c>
      <c r="AA219">
        <v>2.6826000000000003</v>
      </c>
      <c r="AB219">
        <v>2.7646000000000002</v>
      </c>
      <c r="AC219">
        <v>2.8441999999999998</v>
      </c>
      <c r="AD219" t="s">
        <v>73</v>
      </c>
    </row>
    <row r="220" spans="1:30" x14ac:dyDescent="0.3">
      <c r="A220" t="s">
        <v>562</v>
      </c>
      <c r="B220" s="5" t="s">
        <v>563</v>
      </c>
      <c r="C220" t="s">
        <v>461</v>
      </c>
      <c r="D220" s="5" t="s">
        <v>462</v>
      </c>
      <c r="E220">
        <v>0.24230000000000002</v>
      </c>
      <c r="F220">
        <v>0.3231</v>
      </c>
      <c r="G220">
        <v>0.27199999999999996</v>
      </c>
      <c r="H220">
        <v>0.26239999999999997</v>
      </c>
      <c r="I220">
        <v>0.28010000000000002</v>
      </c>
      <c r="J220">
        <v>0.25509999999999999</v>
      </c>
      <c r="K220">
        <v>0.35339999999999994</v>
      </c>
      <c r="L220">
        <v>0.27410000000000001</v>
      </c>
      <c r="M220">
        <v>0.35289999999999999</v>
      </c>
      <c r="N220">
        <v>0.30959999999999999</v>
      </c>
      <c r="O220">
        <v>0.61080000000000001</v>
      </c>
      <c r="P220">
        <v>0.24709999999999999</v>
      </c>
      <c r="Q220">
        <v>0.45070000000000005</v>
      </c>
      <c r="R220">
        <v>0.92630000000000001</v>
      </c>
      <c r="S220">
        <v>0.66409999999999991</v>
      </c>
      <c r="T220">
        <v>0.5897</v>
      </c>
      <c r="U220">
        <v>0.75229999999999997</v>
      </c>
      <c r="V220">
        <v>1.236</v>
      </c>
      <c r="W220">
        <v>1.1091</v>
      </c>
      <c r="X220">
        <v>1.1848000000000001</v>
      </c>
      <c r="Y220">
        <v>1.1903999999999999</v>
      </c>
      <c r="Z220">
        <v>1.6439000000000001</v>
      </c>
      <c r="AA220">
        <v>1.4155</v>
      </c>
      <c r="AB220">
        <v>1.4555999999999998</v>
      </c>
      <c r="AC220">
        <v>1.514</v>
      </c>
      <c r="AD220" t="s">
        <v>73</v>
      </c>
    </row>
    <row r="221" spans="1:30" x14ac:dyDescent="0.3">
      <c r="A221" t="s">
        <v>562</v>
      </c>
      <c r="B221" s="5" t="s">
        <v>563</v>
      </c>
      <c r="C221" t="s">
        <v>463</v>
      </c>
      <c r="D221" s="5" t="s">
        <v>464</v>
      </c>
      <c r="E221">
        <v>4.7745999999999995</v>
      </c>
      <c r="F221">
        <v>4.7665999999999995</v>
      </c>
      <c r="G221">
        <v>4.9763000000000002</v>
      </c>
      <c r="H221">
        <v>4.1434999999999995</v>
      </c>
      <c r="I221">
        <v>4.8274999999999988</v>
      </c>
      <c r="J221">
        <v>4.7857000000000003</v>
      </c>
      <c r="K221">
        <v>4.4492999999999991</v>
      </c>
      <c r="L221">
        <v>4.2778999999999998</v>
      </c>
      <c r="M221">
        <v>3.9922999999999993</v>
      </c>
      <c r="N221">
        <v>4.2274999999999991</v>
      </c>
      <c r="O221">
        <v>4.1203999999999983</v>
      </c>
      <c r="P221">
        <v>4.2761000000000005</v>
      </c>
      <c r="Q221">
        <v>3.8540999999999999</v>
      </c>
      <c r="R221">
        <v>3.9961999999999995</v>
      </c>
      <c r="S221">
        <v>4.0903999999999998</v>
      </c>
      <c r="T221">
        <v>4.225200000000001</v>
      </c>
      <c r="U221">
        <v>4.7871999999999995</v>
      </c>
      <c r="V221">
        <v>4.6696999999999997</v>
      </c>
      <c r="W221">
        <v>4.9396999999999993</v>
      </c>
      <c r="X221">
        <v>4.6115000000000004</v>
      </c>
      <c r="Y221">
        <v>4.1321999999999992</v>
      </c>
      <c r="Z221">
        <v>3.7837999999999998</v>
      </c>
      <c r="AA221">
        <v>4.0170000000000003</v>
      </c>
      <c r="AB221">
        <v>3.9489000000000001</v>
      </c>
      <c r="AC221">
        <v>3.9358999999999997</v>
      </c>
      <c r="AD221" t="s">
        <v>73</v>
      </c>
    </row>
    <row r="222" spans="1:30" x14ac:dyDescent="0.3">
      <c r="A222" t="s">
        <v>562</v>
      </c>
      <c r="B222" s="5" t="s">
        <v>563</v>
      </c>
      <c r="C222" t="s">
        <v>465</v>
      </c>
      <c r="D222" s="5" t="s">
        <v>466</v>
      </c>
      <c r="E222">
        <v>7.9000000000000008E-3</v>
      </c>
      <c r="F222">
        <v>7.9000000000000008E-3</v>
      </c>
      <c r="G222">
        <v>3.0999999999999999E-3</v>
      </c>
      <c r="H222">
        <v>3.0999999999999999E-3</v>
      </c>
      <c r="I222">
        <v>7.9000000000000008E-3</v>
      </c>
      <c r="J222">
        <v>7.9000000000000008E-3</v>
      </c>
      <c r="K222">
        <v>7.9000000000000008E-3</v>
      </c>
      <c r="L222">
        <v>7.9000000000000008E-3</v>
      </c>
      <c r="M222">
        <v>7.4999999999999997E-3</v>
      </c>
      <c r="N222">
        <v>7.9000000000000008E-3</v>
      </c>
      <c r="O222">
        <v>7.9000000000000008E-3</v>
      </c>
      <c r="P222">
        <v>7.9000000000000008E-3</v>
      </c>
      <c r="Q222">
        <v>9.4000000000000004E-3</v>
      </c>
      <c r="R222">
        <v>9.4000000000000004E-3</v>
      </c>
      <c r="S222">
        <v>9.4000000000000004E-3</v>
      </c>
      <c r="T222">
        <v>9.4000000000000004E-3</v>
      </c>
      <c r="U222">
        <v>9.4000000000000004E-3</v>
      </c>
      <c r="V222">
        <v>9.4000000000000004E-3</v>
      </c>
      <c r="W222">
        <v>9.4000000000000004E-3</v>
      </c>
      <c r="X222">
        <v>9.4000000000000004E-3</v>
      </c>
      <c r="Y222">
        <v>9.4000000000000004E-3</v>
      </c>
      <c r="Z222">
        <v>9.4000000000000004E-3</v>
      </c>
      <c r="AA222">
        <v>9.4000000000000004E-3</v>
      </c>
      <c r="AB222">
        <v>9.4000000000000004E-3</v>
      </c>
      <c r="AC222">
        <v>9.4000000000000004E-3</v>
      </c>
      <c r="AD222" t="s">
        <v>73</v>
      </c>
    </row>
    <row r="223" spans="1:30" x14ac:dyDescent="0.3">
      <c r="A223" t="s">
        <v>562</v>
      </c>
      <c r="B223" s="5" t="s">
        <v>563</v>
      </c>
      <c r="C223" t="s">
        <v>467</v>
      </c>
      <c r="D223" s="5" t="s">
        <v>468</v>
      </c>
      <c r="E223">
        <v>3.9666999999999999</v>
      </c>
      <c r="F223">
        <v>4.0080999999999998</v>
      </c>
      <c r="G223">
        <v>3.5992000000000002</v>
      </c>
      <c r="H223">
        <v>3.7792999999999997</v>
      </c>
      <c r="I223">
        <v>3.7689000000000004</v>
      </c>
      <c r="J223">
        <v>3.7955000000000001</v>
      </c>
      <c r="K223">
        <v>3.8929</v>
      </c>
      <c r="L223">
        <v>4.0605000000000011</v>
      </c>
      <c r="M223">
        <v>3.9789000000000003</v>
      </c>
      <c r="N223">
        <v>4.2539000000000007</v>
      </c>
      <c r="O223">
        <v>4.4191000000000003</v>
      </c>
      <c r="P223">
        <v>4.6574</v>
      </c>
      <c r="Q223">
        <v>5.0362</v>
      </c>
      <c r="R223">
        <v>4.8627000000000002</v>
      </c>
      <c r="S223">
        <v>4.8680000000000003</v>
      </c>
      <c r="T223">
        <v>5.0608000000000004</v>
      </c>
      <c r="U223">
        <v>5.3905999999999992</v>
      </c>
      <c r="V223">
        <v>5.4115000000000002</v>
      </c>
      <c r="W223">
        <v>4.9217000000000004</v>
      </c>
      <c r="X223">
        <v>4.9944000000000006</v>
      </c>
      <c r="Y223">
        <v>5.2286000000000001</v>
      </c>
      <c r="Z223">
        <v>4.8160999999999996</v>
      </c>
      <c r="AA223">
        <v>4.3412999999999995</v>
      </c>
      <c r="AB223">
        <v>3.7067000000000001</v>
      </c>
      <c r="AC223">
        <v>3.6974999999999998</v>
      </c>
      <c r="AD223" t="s">
        <v>73</v>
      </c>
    </row>
    <row r="224" spans="1:30" x14ac:dyDescent="0.3">
      <c r="A224" t="s">
        <v>562</v>
      </c>
      <c r="B224" s="5" t="s">
        <v>563</v>
      </c>
      <c r="C224" t="s">
        <v>469</v>
      </c>
      <c r="D224" s="5" t="s">
        <v>470</v>
      </c>
      <c r="E224">
        <v>40.749499999999998</v>
      </c>
      <c r="F224">
        <v>41.403700000000008</v>
      </c>
      <c r="G224">
        <v>39.975699999999996</v>
      </c>
      <c r="H224">
        <v>41.898099999999992</v>
      </c>
      <c r="I224">
        <v>45.224799999999981</v>
      </c>
      <c r="J224">
        <v>46.040799999999997</v>
      </c>
      <c r="K224">
        <v>47.997100000000003</v>
      </c>
      <c r="L224">
        <v>50.015000000000001</v>
      </c>
      <c r="M224">
        <v>50.595500000000015</v>
      </c>
      <c r="N224">
        <v>53.932499999999997</v>
      </c>
      <c r="O224">
        <v>54.563799999999993</v>
      </c>
      <c r="P224">
        <v>54.613000000000007</v>
      </c>
      <c r="Q224">
        <v>55.241800000000005</v>
      </c>
      <c r="R224">
        <v>55.827100000000002</v>
      </c>
      <c r="S224">
        <v>57.5321</v>
      </c>
      <c r="T224">
        <v>57.2149</v>
      </c>
      <c r="U224">
        <v>59.784699999999994</v>
      </c>
      <c r="V224">
        <v>59.410099999999993</v>
      </c>
      <c r="W224">
        <v>61.084999999999987</v>
      </c>
      <c r="X224">
        <v>63.073999999999991</v>
      </c>
      <c r="Y224">
        <v>67.048299999999998</v>
      </c>
      <c r="Z224">
        <v>65.153399999999991</v>
      </c>
      <c r="AA224">
        <v>63.915999999999997</v>
      </c>
      <c r="AB224">
        <v>65.178200000000004</v>
      </c>
      <c r="AC224">
        <v>66.263100000000023</v>
      </c>
      <c r="AD224" t="s">
        <v>73</v>
      </c>
    </row>
    <row r="225" spans="1:30" x14ac:dyDescent="0.3">
      <c r="A225" t="s">
        <v>562</v>
      </c>
      <c r="B225" s="5" t="s">
        <v>563</v>
      </c>
      <c r="C225" t="s">
        <v>471</v>
      </c>
      <c r="D225" s="5" t="s">
        <v>472</v>
      </c>
      <c r="E225">
        <v>37.2149</v>
      </c>
      <c r="F225">
        <v>37.762500000000003</v>
      </c>
      <c r="G225">
        <v>45.553099999999993</v>
      </c>
      <c r="H225">
        <v>43.498499999999993</v>
      </c>
      <c r="I225">
        <v>45.371999999999993</v>
      </c>
      <c r="J225">
        <v>35.818799999999996</v>
      </c>
      <c r="K225">
        <v>36.585700000000003</v>
      </c>
      <c r="L225">
        <v>35.983599999999996</v>
      </c>
      <c r="M225">
        <v>34.236800000000002</v>
      </c>
      <c r="N225">
        <v>40.938600000000001</v>
      </c>
      <c r="O225">
        <v>37.377700000000004</v>
      </c>
      <c r="P225">
        <v>40.945999999999998</v>
      </c>
      <c r="Q225">
        <v>42.696699999999993</v>
      </c>
      <c r="R225">
        <v>44.294099999999993</v>
      </c>
      <c r="S225">
        <v>40.401899999999998</v>
      </c>
      <c r="T225">
        <v>43.243100000000005</v>
      </c>
      <c r="U225">
        <v>36.833399999999997</v>
      </c>
      <c r="V225">
        <v>34.997100000000003</v>
      </c>
      <c r="W225">
        <v>35.000099999999996</v>
      </c>
      <c r="X225">
        <v>35.7303</v>
      </c>
      <c r="Y225">
        <v>34.590699999999998</v>
      </c>
      <c r="Z225">
        <v>35.629599999999996</v>
      </c>
      <c r="AA225">
        <v>33.880400000000002</v>
      </c>
      <c r="AB225">
        <v>33.818000000000005</v>
      </c>
      <c r="AC225">
        <v>34.037699999999994</v>
      </c>
      <c r="AD225" t="s">
        <v>73</v>
      </c>
    </row>
    <row r="226" spans="1:30" x14ac:dyDescent="0.3">
      <c r="A226" t="s">
        <v>562</v>
      </c>
      <c r="B226" s="5" t="s">
        <v>563</v>
      </c>
      <c r="C226" t="s">
        <v>473</v>
      </c>
      <c r="D226" s="5" t="s">
        <v>474</v>
      </c>
      <c r="E226">
        <v>34.1751</v>
      </c>
      <c r="F226">
        <v>34.475700000000003</v>
      </c>
      <c r="G226">
        <v>41.926999999999992</v>
      </c>
      <c r="H226">
        <v>40.024500000000003</v>
      </c>
      <c r="I226">
        <v>41.678799999999995</v>
      </c>
      <c r="J226">
        <v>32.511099999999999</v>
      </c>
      <c r="K226">
        <v>34.241500000000002</v>
      </c>
      <c r="L226">
        <v>33.049899999999994</v>
      </c>
      <c r="M226">
        <v>31.1904</v>
      </c>
      <c r="N226">
        <v>37.930999999999997</v>
      </c>
      <c r="O226">
        <v>34.2074</v>
      </c>
      <c r="P226">
        <v>37.544499999999999</v>
      </c>
      <c r="Q226">
        <v>39.288200000000003</v>
      </c>
      <c r="R226">
        <v>40.406300000000002</v>
      </c>
      <c r="S226">
        <v>36.359800000000007</v>
      </c>
      <c r="T226">
        <v>39.089800000000004</v>
      </c>
      <c r="U226">
        <v>32.463799999999999</v>
      </c>
      <c r="V226">
        <v>30.1524</v>
      </c>
      <c r="W226">
        <v>31.054800000000004</v>
      </c>
      <c r="X226">
        <v>31.654800000000002</v>
      </c>
      <c r="Y226">
        <v>30.139299999999999</v>
      </c>
      <c r="Z226">
        <v>30.700399999999995</v>
      </c>
      <c r="AA226">
        <v>29.514700000000001</v>
      </c>
      <c r="AB226">
        <v>29.592799999999997</v>
      </c>
      <c r="AC226">
        <v>29.869</v>
      </c>
      <c r="AD226" t="s">
        <v>73</v>
      </c>
    </row>
    <row r="227" spans="1:30" x14ac:dyDescent="0.3">
      <c r="A227" t="s">
        <v>562</v>
      </c>
      <c r="B227" s="5" t="s">
        <v>563</v>
      </c>
      <c r="C227" t="s">
        <v>475</v>
      </c>
      <c r="D227" s="5" t="s">
        <v>476</v>
      </c>
      <c r="E227">
        <v>33.904800000000002</v>
      </c>
      <c r="F227">
        <v>34.250399999999999</v>
      </c>
      <c r="G227">
        <v>41.705699999999993</v>
      </c>
      <c r="H227">
        <v>39.803200000000004</v>
      </c>
      <c r="I227">
        <v>41.477699999999999</v>
      </c>
      <c r="J227">
        <v>32.3414</v>
      </c>
      <c r="K227">
        <v>34.040400000000005</v>
      </c>
      <c r="L227">
        <v>32.820499999999996</v>
      </c>
      <c r="M227">
        <v>31.051500000000001</v>
      </c>
      <c r="N227">
        <v>37.809999999999995</v>
      </c>
      <c r="O227">
        <v>33.856000000000002</v>
      </c>
      <c r="P227">
        <v>37.135899999999999</v>
      </c>
      <c r="Q227">
        <v>38.934600000000003</v>
      </c>
      <c r="R227">
        <v>40.121500000000005</v>
      </c>
      <c r="S227">
        <v>36.124700000000004</v>
      </c>
      <c r="T227">
        <v>38.931800000000003</v>
      </c>
      <c r="U227">
        <v>32.2498</v>
      </c>
      <c r="V227">
        <v>29.951599999999999</v>
      </c>
      <c r="W227">
        <v>30.758200000000002</v>
      </c>
      <c r="X227">
        <v>31.537800000000001</v>
      </c>
      <c r="Y227">
        <v>30.1266</v>
      </c>
      <c r="Z227">
        <v>30.675999999999995</v>
      </c>
      <c r="AA227">
        <v>29.497300000000003</v>
      </c>
      <c r="AB227">
        <v>29.575499999999998</v>
      </c>
      <c r="AC227">
        <v>29.851800000000001</v>
      </c>
      <c r="AD227" t="s">
        <v>73</v>
      </c>
    </row>
    <row r="228" spans="1:30" x14ac:dyDescent="0.3">
      <c r="A228" t="s">
        <v>562</v>
      </c>
      <c r="B228" s="5" t="s">
        <v>563</v>
      </c>
      <c r="C228" t="s">
        <v>477</v>
      </c>
      <c r="D228" s="5" t="s">
        <v>478</v>
      </c>
      <c r="E228">
        <v>7.7412000000000001</v>
      </c>
      <c r="F228">
        <v>7.8860000000000001</v>
      </c>
      <c r="G228">
        <v>7.7743000000000011</v>
      </c>
      <c r="H228">
        <v>7.9692999999999996</v>
      </c>
      <c r="I228">
        <v>8.3323</v>
      </c>
      <c r="J228">
        <v>7.3385999999999996</v>
      </c>
      <c r="K228">
        <v>6.6469000000000014</v>
      </c>
      <c r="L228">
        <v>6.9298000000000002</v>
      </c>
      <c r="M228">
        <v>6.6119000000000003</v>
      </c>
      <c r="N228">
        <v>6.6479999999999997</v>
      </c>
      <c r="O228">
        <v>6.9522999999999993</v>
      </c>
      <c r="P228">
        <v>6.1465000000000005</v>
      </c>
      <c r="Q228">
        <v>6.8460999999999999</v>
      </c>
      <c r="R228">
        <v>6.9987999999999992</v>
      </c>
      <c r="S228">
        <v>7.0125999999999999</v>
      </c>
      <c r="T228">
        <v>7.4641999999999999</v>
      </c>
      <c r="U228">
        <v>7.4486000000000008</v>
      </c>
      <c r="V228">
        <v>7.6012000000000013</v>
      </c>
      <c r="W228">
        <v>6.7417000000000007</v>
      </c>
      <c r="X228">
        <v>6.8357000000000001</v>
      </c>
      <c r="Y228">
        <v>6.5504000000000007</v>
      </c>
      <c r="Z228">
        <v>5.7605000000000004</v>
      </c>
      <c r="AA228">
        <v>5.5378000000000007</v>
      </c>
      <c r="AB228">
        <v>5.485199999999999</v>
      </c>
      <c r="AC228">
        <v>5.4603000000000002</v>
      </c>
      <c r="AD228" t="s">
        <v>73</v>
      </c>
    </row>
    <row r="229" spans="1:30" x14ac:dyDescent="0.3">
      <c r="A229" t="s">
        <v>562</v>
      </c>
      <c r="B229" s="5" t="s">
        <v>563</v>
      </c>
      <c r="C229" t="s">
        <v>479</v>
      </c>
      <c r="D229" s="5" t="s">
        <v>480</v>
      </c>
      <c r="E229">
        <v>19.996200000000002</v>
      </c>
      <c r="F229">
        <v>20.260899999999999</v>
      </c>
      <c r="G229">
        <v>19.0776</v>
      </c>
      <c r="H229">
        <v>20.194200000000006</v>
      </c>
      <c r="I229">
        <v>20.668799999999997</v>
      </c>
      <c r="J229">
        <v>19.723300000000002</v>
      </c>
      <c r="K229">
        <v>19.8245</v>
      </c>
      <c r="L229">
        <v>21.472999999999999</v>
      </c>
      <c r="M229">
        <v>22.043600000000001</v>
      </c>
      <c r="N229">
        <v>23.6645</v>
      </c>
      <c r="O229">
        <v>23.803799999999995</v>
      </c>
      <c r="P229">
        <v>24.093500000000002</v>
      </c>
      <c r="Q229">
        <v>25.708699999999997</v>
      </c>
      <c r="R229">
        <v>26.0655</v>
      </c>
      <c r="S229">
        <v>25.703599999999994</v>
      </c>
      <c r="T229">
        <v>26.894999999999996</v>
      </c>
      <c r="U229">
        <v>29.109700000000004</v>
      </c>
      <c r="V229">
        <v>27.947200000000002</v>
      </c>
      <c r="W229">
        <v>27.055099999999999</v>
      </c>
      <c r="X229">
        <v>28.697900000000001</v>
      </c>
      <c r="Y229">
        <v>30.525700000000011</v>
      </c>
      <c r="Z229">
        <v>26.141099999999998</v>
      </c>
      <c r="AA229">
        <v>25.995500000000007</v>
      </c>
      <c r="AB229">
        <v>25.341699999999996</v>
      </c>
      <c r="AC229">
        <v>25.091000000000005</v>
      </c>
      <c r="AD229" t="s">
        <v>73</v>
      </c>
    </row>
    <row r="230" spans="1:30" x14ac:dyDescent="0.3">
      <c r="A230" t="s">
        <v>562</v>
      </c>
      <c r="B230" s="5" t="s">
        <v>563</v>
      </c>
      <c r="C230" t="s">
        <v>481</v>
      </c>
      <c r="D230" s="5" t="s">
        <v>482</v>
      </c>
      <c r="E230">
        <v>4.0775999999999994</v>
      </c>
      <c r="F230">
        <v>3.9060999999999999</v>
      </c>
      <c r="G230">
        <v>4.0565000000000007</v>
      </c>
      <c r="H230">
        <v>4.4958999999999998</v>
      </c>
      <c r="I230">
        <v>4.6234000000000002</v>
      </c>
      <c r="J230">
        <v>4.6909000000000001</v>
      </c>
      <c r="K230">
        <v>5.3138000000000005</v>
      </c>
      <c r="L230">
        <v>5.69</v>
      </c>
      <c r="M230">
        <v>6.6939999999999991</v>
      </c>
      <c r="N230">
        <v>7.4477999999999991</v>
      </c>
      <c r="O230">
        <v>7.4918000000000005</v>
      </c>
      <c r="P230">
        <v>7.8577999999999992</v>
      </c>
      <c r="Q230">
        <v>8.3096999999999994</v>
      </c>
      <c r="R230">
        <v>8.8862999999999985</v>
      </c>
      <c r="S230">
        <v>8.6732000000000014</v>
      </c>
      <c r="T230">
        <v>8.5312000000000001</v>
      </c>
      <c r="U230">
        <v>9.7888999999999999</v>
      </c>
      <c r="V230">
        <v>9.2858999999999998</v>
      </c>
      <c r="W230">
        <v>9.1136999999999997</v>
      </c>
      <c r="X230">
        <v>9.7119</v>
      </c>
      <c r="Y230">
        <v>10.564299999999999</v>
      </c>
      <c r="Z230">
        <v>9.1538000000000004</v>
      </c>
      <c r="AA230">
        <v>7.0978999999999992</v>
      </c>
      <c r="AB230">
        <v>7.0411000000000001</v>
      </c>
      <c r="AC230">
        <v>6.999200000000001</v>
      </c>
      <c r="AD230" t="s">
        <v>73</v>
      </c>
    </row>
    <row r="231" spans="1:30" x14ac:dyDescent="0.3">
      <c r="A231" t="s">
        <v>562</v>
      </c>
      <c r="B231" s="5" t="s">
        <v>563</v>
      </c>
      <c r="C231" t="s">
        <v>483</v>
      </c>
      <c r="D231" s="5" t="s">
        <v>484</v>
      </c>
      <c r="E231">
        <v>8.9446000000000012</v>
      </c>
      <c r="F231">
        <v>8.849400000000001</v>
      </c>
      <c r="G231">
        <v>8.2268000000000008</v>
      </c>
      <c r="H231">
        <v>9.1032999999999991</v>
      </c>
      <c r="I231">
        <v>9.3825000000000003</v>
      </c>
      <c r="J231">
        <v>9.6000000000000014</v>
      </c>
      <c r="K231">
        <v>10.481100000000001</v>
      </c>
      <c r="L231">
        <v>11.622599999999998</v>
      </c>
      <c r="M231">
        <v>12.897100000000002</v>
      </c>
      <c r="N231">
        <v>14.360399999999998</v>
      </c>
      <c r="O231">
        <v>14.344799999999998</v>
      </c>
      <c r="P231">
        <v>15.438299999999998</v>
      </c>
      <c r="Q231">
        <v>16.444200000000002</v>
      </c>
      <c r="R231">
        <v>16.454599999999999</v>
      </c>
      <c r="S231">
        <v>16.133800000000001</v>
      </c>
      <c r="T231">
        <v>17.101099999999995</v>
      </c>
      <c r="U231">
        <v>19.393400000000003</v>
      </c>
      <c r="V231">
        <v>18.047599999999999</v>
      </c>
      <c r="W231">
        <v>18.115499999999997</v>
      </c>
      <c r="X231">
        <v>19.556600000000003</v>
      </c>
      <c r="Y231">
        <v>21.748900000000006</v>
      </c>
      <c r="Z231">
        <v>18.464200000000002</v>
      </c>
      <c r="AA231">
        <v>18.592999999999996</v>
      </c>
      <c r="AB231">
        <v>17.9619</v>
      </c>
      <c r="AC231">
        <v>17.695499999999999</v>
      </c>
      <c r="AD231" t="s">
        <v>73</v>
      </c>
    </row>
    <row r="232" spans="1:30" x14ac:dyDescent="0.3">
      <c r="A232" t="s">
        <v>562</v>
      </c>
      <c r="B232" s="5" t="s">
        <v>563</v>
      </c>
      <c r="C232" t="s">
        <v>485</v>
      </c>
      <c r="D232" s="5" t="s">
        <v>486</v>
      </c>
      <c r="E232">
        <v>11.578299999999999</v>
      </c>
      <c r="F232">
        <v>11.746600000000001</v>
      </c>
      <c r="G232">
        <v>11.155900000000001</v>
      </c>
      <c r="H232">
        <v>11.4635</v>
      </c>
      <c r="I232">
        <v>11.818599999999998</v>
      </c>
      <c r="J232">
        <v>10.879099999999998</v>
      </c>
      <c r="K232">
        <v>10.281000000000001</v>
      </c>
      <c r="L232">
        <v>10.7111</v>
      </c>
      <c r="M232">
        <v>10.006599999999999</v>
      </c>
      <c r="N232">
        <v>10.365699999999999</v>
      </c>
      <c r="O232">
        <v>10.832299999999996</v>
      </c>
      <c r="P232">
        <v>10.297799999999997</v>
      </c>
      <c r="Q232">
        <v>11.301300000000001</v>
      </c>
      <c r="R232">
        <v>11.266900000000001</v>
      </c>
      <c r="S232">
        <v>11.282299999999999</v>
      </c>
      <c r="T232">
        <v>11.7256</v>
      </c>
      <c r="U232">
        <v>12.007500000000004</v>
      </c>
      <c r="V232">
        <v>12.229200000000001</v>
      </c>
      <c r="W232">
        <v>10.851699999999999</v>
      </c>
      <c r="X232">
        <v>11.0543</v>
      </c>
      <c r="Y232">
        <v>10.909599999999999</v>
      </c>
      <c r="Z232">
        <v>9.7189999999999976</v>
      </c>
      <c r="AA232">
        <v>9.2188999999999997</v>
      </c>
      <c r="AB232">
        <v>8.5318000000000005</v>
      </c>
      <c r="AC232">
        <v>8.4936999999999987</v>
      </c>
      <c r="AD232" t="s">
        <v>73</v>
      </c>
    </row>
    <row r="233" spans="1:30" x14ac:dyDescent="0.3">
      <c r="A233" t="s">
        <v>562</v>
      </c>
      <c r="B233" s="5" t="s">
        <v>563</v>
      </c>
      <c r="C233" t="s">
        <v>487</v>
      </c>
      <c r="D233" s="5" t="s">
        <v>488</v>
      </c>
      <c r="E233">
        <v>3.0589999999999988</v>
      </c>
      <c r="F233">
        <v>3.0448999999999997</v>
      </c>
      <c r="G233">
        <v>3.0787999999999998</v>
      </c>
      <c r="H233">
        <v>2.3029000000000002</v>
      </c>
      <c r="I233">
        <v>2.5932999999999997</v>
      </c>
      <c r="J233">
        <v>2.7629999999999999</v>
      </c>
      <c r="K233">
        <v>2.6175000000000002</v>
      </c>
      <c r="L233">
        <v>2.9552999999999998</v>
      </c>
      <c r="M233">
        <v>3.1879999999999993</v>
      </c>
      <c r="N233">
        <v>3.2275999999999998</v>
      </c>
      <c r="O233">
        <v>3.5179999999999993</v>
      </c>
      <c r="P233">
        <v>3.9017999999999997</v>
      </c>
      <c r="Q233">
        <v>4.2542000000000009</v>
      </c>
      <c r="R233">
        <v>4.5136000000000003</v>
      </c>
      <c r="S233">
        <v>4.3736999999999995</v>
      </c>
      <c r="T233">
        <v>4.2581999999999995</v>
      </c>
      <c r="U233">
        <v>5.4362000000000004</v>
      </c>
      <c r="V233">
        <v>5.9828000000000001</v>
      </c>
      <c r="W233">
        <v>5.7696000000000014</v>
      </c>
      <c r="X233">
        <v>6.2839</v>
      </c>
      <c r="Y233">
        <v>6.3258999999999999</v>
      </c>
      <c r="Z233">
        <v>6.2510000000000003</v>
      </c>
      <c r="AA233">
        <v>4.6917999999999997</v>
      </c>
      <c r="AB233">
        <v>4.7733999999999996</v>
      </c>
      <c r="AC233">
        <v>4.9564999999999992</v>
      </c>
      <c r="AD233" t="s">
        <v>73</v>
      </c>
    </row>
    <row r="234" spans="1:30" x14ac:dyDescent="0.3">
      <c r="A234" t="s">
        <v>562</v>
      </c>
      <c r="B234" s="5" t="s">
        <v>563</v>
      </c>
      <c r="C234" t="s">
        <v>489</v>
      </c>
      <c r="D234" s="5" t="s">
        <v>490</v>
      </c>
      <c r="E234">
        <v>0.41170000000000001</v>
      </c>
      <c r="F234">
        <v>0.50659999999999994</v>
      </c>
      <c r="G234">
        <v>0.49930000000000008</v>
      </c>
      <c r="H234">
        <v>0.28439999999999999</v>
      </c>
      <c r="I234">
        <v>0.55109999999999992</v>
      </c>
      <c r="J234">
        <v>0.50770000000000004</v>
      </c>
      <c r="K234">
        <v>0.5161</v>
      </c>
      <c r="L234">
        <v>0.53070000000000006</v>
      </c>
      <c r="M234">
        <v>0.4743</v>
      </c>
      <c r="N234">
        <v>0.59619999999999995</v>
      </c>
      <c r="O234">
        <v>0.7652000000000001</v>
      </c>
      <c r="P234">
        <v>0.75340000000000007</v>
      </c>
      <c r="Q234">
        <v>0.91789999999999994</v>
      </c>
      <c r="R234">
        <v>1.3125</v>
      </c>
      <c r="S234">
        <v>1.3581000000000001</v>
      </c>
      <c r="T234">
        <v>1.4267999999999998</v>
      </c>
      <c r="U234">
        <v>1.8105999999999998</v>
      </c>
      <c r="V234">
        <v>1.7623</v>
      </c>
      <c r="W234">
        <v>1.5535999999999999</v>
      </c>
      <c r="X234">
        <v>1.6385999999999996</v>
      </c>
      <c r="Y234">
        <v>1.5518999999999998</v>
      </c>
      <c r="Z234">
        <v>1.3976999999999999</v>
      </c>
      <c r="AA234">
        <v>1.7776999999999998</v>
      </c>
      <c r="AB234">
        <v>1.8194999999999999</v>
      </c>
      <c r="AC234">
        <v>1.8839000000000001</v>
      </c>
      <c r="AD234" t="s">
        <v>73</v>
      </c>
    </row>
    <row r="235" spans="1:30" x14ac:dyDescent="0.3">
      <c r="A235" t="s">
        <v>562</v>
      </c>
      <c r="B235" s="5" t="s">
        <v>563</v>
      </c>
      <c r="C235" t="s">
        <v>491</v>
      </c>
      <c r="D235" s="5" t="s">
        <v>492</v>
      </c>
      <c r="E235">
        <v>27.344999999999999</v>
      </c>
      <c r="F235">
        <v>28.320800000000002</v>
      </c>
      <c r="G235">
        <v>27.558900000000001</v>
      </c>
      <c r="H235">
        <v>28.407800000000005</v>
      </c>
      <c r="I235">
        <v>28.489000000000001</v>
      </c>
      <c r="J235">
        <v>26.699200000000001</v>
      </c>
      <c r="K235">
        <v>26.166700000000002</v>
      </c>
      <c r="L235">
        <v>27.676700000000004</v>
      </c>
      <c r="M235">
        <v>26.710299999999997</v>
      </c>
      <c r="N235">
        <v>27.945899999999991</v>
      </c>
      <c r="O235">
        <v>28.990900000000007</v>
      </c>
      <c r="P235">
        <v>29.994000000000003</v>
      </c>
      <c r="Q235">
        <v>31.725299999999994</v>
      </c>
      <c r="R235">
        <v>31.602799999999998</v>
      </c>
      <c r="S235">
        <v>31.833499999999997</v>
      </c>
      <c r="T235">
        <v>33.864600000000003</v>
      </c>
      <c r="U235">
        <v>34.922200000000011</v>
      </c>
      <c r="V235">
        <v>34.9801</v>
      </c>
      <c r="W235">
        <v>33.374499999999998</v>
      </c>
      <c r="X235">
        <v>35.0304</v>
      </c>
      <c r="Y235">
        <v>36.447300000000006</v>
      </c>
      <c r="Z235">
        <v>33.527199999999993</v>
      </c>
      <c r="AA235">
        <v>35.315100000000001</v>
      </c>
      <c r="AB235">
        <v>35.445099999999996</v>
      </c>
      <c r="AC235">
        <v>35.308999999999997</v>
      </c>
      <c r="AD235" t="s">
        <v>73</v>
      </c>
    </row>
    <row r="236" spans="1:30" x14ac:dyDescent="0.3">
      <c r="A236" t="s">
        <v>562</v>
      </c>
      <c r="B236" s="5" t="s">
        <v>563</v>
      </c>
      <c r="C236" t="s">
        <v>493</v>
      </c>
      <c r="D236" s="5" t="s">
        <v>494</v>
      </c>
      <c r="E236">
        <v>75.87739999999998</v>
      </c>
      <c r="F236">
        <v>76.761700000000019</v>
      </c>
      <c r="G236">
        <v>81.670700000000011</v>
      </c>
      <c r="H236">
        <v>82.765100000000018</v>
      </c>
      <c r="I236">
        <v>86.461199999999991</v>
      </c>
      <c r="J236">
        <v>77.549800000000033</v>
      </c>
      <c r="K236">
        <v>82.635100000000008</v>
      </c>
      <c r="L236">
        <v>84.672399999999982</v>
      </c>
      <c r="M236">
        <v>83.795599999999979</v>
      </c>
      <c r="N236">
        <v>93.09369999999997</v>
      </c>
      <c r="O236">
        <v>90.437900000000027</v>
      </c>
      <c r="P236">
        <v>97.614200000000025</v>
      </c>
      <c r="Q236">
        <v>99.581199999999995</v>
      </c>
      <c r="R236">
        <v>101.57749999999997</v>
      </c>
      <c r="S236">
        <v>98.136700000000005</v>
      </c>
      <c r="T236">
        <v>101.3831</v>
      </c>
      <c r="U236">
        <v>98.517800000000022</v>
      </c>
      <c r="V236">
        <v>95.644999999999996</v>
      </c>
      <c r="W236">
        <v>96.969700000000017</v>
      </c>
      <c r="X236">
        <v>101.98390000000001</v>
      </c>
      <c r="Y236">
        <v>106.28189999999996</v>
      </c>
      <c r="Z236">
        <v>104.30690000000001</v>
      </c>
      <c r="AA236">
        <v>102.9706</v>
      </c>
      <c r="AB236">
        <v>103.47760000000001</v>
      </c>
      <c r="AC236">
        <v>104.4996</v>
      </c>
      <c r="AD236" t="s">
        <v>73</v>
      </c>
    </row>
    <row r="237" spans="1:30" x14ac:dyDescent="0.3">
      <c r="A237" t="s">
        <v>562</v>
      </c>
      <c r="B237" s="5" t="s">
        <v>563</v>
      </c>
      <c r="C237" t="s">
        <v>495</v>
      </c>
      <c r="D237" s="5" t="s">
        <v>496</v>
      </c>
      <c r="E237">
        <v>83.812200000000004</v>
      </c>
      <c r="F237">
        <v>84.456700000000055</v>
      </c>
      <c r="G237">
        <v>89.447699999999969</v>
      </c>
      <c r="H237">
        <v>90.653099999999952</v>
      </c>
      <c r="I237">
        <v>95.256000000000029</v>
      </c>
      <c r="J237">
        <v>86.404500000000027</v>
      </c>
      <c r="K237">
        <v>91.317200000000014</v>
      </c>
      <c r="L237">
        <v>94.109999999999957</v>
      </c>
      <c r="M237">
        <v>93.429100000000005</v>
      </c>
      <c r="N237">
        <v>103.40209999999999</v>
      </c>
      <c r="O237">
        <v>101.04849999999998</v>
      </c>
      <c r="P237">
        <v>107.7527</v>
      </c>
      <c r="Q237">
        <v>109.75389999999997</v>
      </c>
      <c r="R237">
        <v>112.99899999999997</v>
      </c>
      <c r="S237">
        <v>109.95109999999997</v>
      </c>
      <c r="T237">
        <v>112.18329999999999</v>
      </c>
      <c r="U237">
        <v>111.3888</v>
      </c>
      <c r="V237">
        <v>108.28089999999997</v>
      </c>
      <c r="W237">
        <v>110.21120000000001</v>
      </c>
      <c r="X237">
        <v>115.26489999999997</v>
      </c>
      <c r="Y237">
        <v>120.71539999999995</v>
      </c>
      <c r="Z237">
        <v>118.83030000000002</v>
      </c>
      <c r="AA237">
        <v>117.21630000000002</v>
      </c>
      <c r="AB237">
        <v>117.9885</v>
      </c>
      <c r="AC237">
        <v>119.41899999999997</v>
      </c>
      <c r="AD237" t="s">
        <v>73</v>
      </c>
    </row>
    <row r="238" spans="1:30" x14ac:dyDescent="0.3">
      <c r="A238" t="s">
        <v>562</v>
      </c>
      <c r="B238" s="5" t="s">
        <v>563</v>
      </c>
      <c r="C238" t="s">
        <v>497</v>
      </c>
      <c r="D238" s="5" t="s">
        <v>498</v>
      </c>
      <c r="E238">
        <v>4.7528000000000006</v>
      </c>
      <c r="F238">
        <v>4.7426000000000004</v>
      </c>
      <c r="G238">
        <v>4.7345999999999995</v>
      </c>
      <c r="H238">
        <v>5.0067000000000004</v>
      </c>
      <c r="I238">
        <v>5.4823000000000004</v>
      </c>
      <c r="J238">
        <v>5.7518000000000002</v>
      </c>
      <c r="K238">
        <v>5.7149000000000001</v>
      </c>
      <c r="L238">
        <v>6.2205999999999992</v>
      </c>
      <c r="M238">
        <v>6.6782000000000004</v>
      </c>
      <c r="N238">
        <v>7.1754000000000007</v>
      </c>
      <c r="O238">
        <v>7.2222999999999997</v>
      </c>
      <c r="P238">
        <v>6.8374000000000006</v>
      </c>
      <c r="Q238">
        <v>6.6913999999999998</v>
      </c>
      <c r="R238">
        <v>7.6081000000000003</v>
      </c>
      <c r="S238">
        <v>7.5554999999999994</v>
      </c>
      <c r="T238">
        <v>6.5145</v>
      </c>
      <c r="U238">
        <v>8.2264999999999997</v>
      </c>
      <c r="V238">
        <v>7.6380999999999997</v>
      </c>
      <c r="W238">
        <v>7.9680999999999997</v>
      </c>
      <c r="X238">
        <v>8.1318999999999999</v>
      </c>
      <c r="Y238">
        <v>8.6749000000000009</v>
      </c>
      <c r="Z238">
        <v>9.1366999999999994</v>
      </c>
      <c r="AA238">
        <v>8.2932000000000006</v>
      </c>
      <c r="AB238">
        <v>8.3112999999999992</v>
      </c>
      <c r="AC238">
        <v>8.4147999999999996</v>
      </c>
      <c r="AD238" t="s">
        <v>73</v>
      </c>
    </row>
    <row r="239" spans="1:30" x14ac:dyDescent="0.3">
      <c r="A239" t="s">
        <v>562</v>
      </c>
      <c r="B239" s="5" t="s">
        <v>563</v>
      </c>
      <c r="C239" t="s">
        <v>499</v>
      </c>
      <c r="D239" s="5" t="s">
        <v>500</v>
      </c>
      <c r="E239">
        <v>3.1820000000000004</v>
      </c>
      <c r="F239">
        <v>2.9524000000000004</v>
      </c>
      <c r="G239">
        <v>3.0423999999999998</v>
      </c>
      <c r="H239">
        <v>2.8813</v>
      </c>
      <c r="I239">
        <v>3.3125</v>
      </c>
      <c r="J239">
        <v>3.1029</v>
      </c>
      <c r="K239">
        <v>2.9672000000000005</v>
      </c>
      <c r="L239">
        <v>3.2170000000000001</v>
      </c>
      <c r="M239">
        <v>2.9552999999999998</v>
      </c>
      <c r="N239">
        <v>3.1329999999999996</v>
      </c>
      <c r="O239">
        <v>3.3883000000000001</v>
      </c>
      <c r="P239">
        <v>3.3011000000000008</v>
      </c>
      <c r="Q239">
        <v>3.4812999999999996</v>
      </c>
      <c r="R239">
        <v>3.8133999999999997</v>
      </c>
      <c r="S239">
        <v>4.2588999999999997</v>
      </c>
      <c r="T239">
        <v>4.2856999999999994</v>
      </c>
      <c r="U239">
        <v>4.6445000000000007</v>
      </c>
      <c r="V239">
        <v>4.9978000000000007</v>
      </c>
      <c r="W239">
        <v>5.2733999999999996</v>
      </c>
      <c r="X239">
        <v>5.1490999999999998</v>
      </c>
      <c r="Y239">
        <v>5.7586000000000004</v>
      </c>
      <c r="Z239">
        <v>5.3866999999999994</v>
      </c>
      <c r="AA239">
        <v>5.9525000000000006</v>
      </c>
      <c r="AB239">
        <v>6.1995999999999984</v>
      </c>
      <c r="AC239">
        <v>6.5045999999999999</v>
      </c>
      <c r="AD239" t="s">
        <v>73</v>
      </c>
    </row>
    <row r="240" spans="1:30" x14ac:dyDescent="0.3">
      <c r="A240" t="s">
        <v>562</v>
      </c>
      <c r="B240" s="5" t="s">
        <v>563</v>
      </c>
      <c r="C240" t="s">
        <v>501</v>
      </c>
      <c r="D240" s="5" t="s">
        <v>502</v>
      </c>
      <c r="E240">
        <v>7.934800000000001</v>
      </c>
      <c r="F240">
        <v>7.6950000000000003</v>
      </c>
      <c r="G240">
        <v>7.7770000000000001</v>
      </c>
      <c r="H240">
        <v>7.887999999999999</v>
      </c>
      <c r="I240">
        <v>8.7948000000000004</v>
      </c>
      <c r="J240">
        <v>8.8546999999999993</v>
      </c>
      <c r="K240">
        <v>8.6820999999999984</v>
      </c>
      <c r="L240">
        <v>9.4376000000000033</v>
      </c>
      <c r="M240">
        <v>9.633499999999998</v>
      </c>
      <c r="N240">
        <v>10.308400000000001</v>
      </c>
      <c r="O240">
        <v>10.6106</v>
      </c>
      <c r="P240">
        <v>10.138499999999999</v>
      </c>
      <c r="Q240">
        <v>10.172699999999999</v>
      </c>
      <c r="R240">
        <v>11.4215</v>
      </c>
      <c r="S240">
        <v>11.814400000000001</v>
      </c>
      <c r="T240">
        <v>10.800199999999998</v>
      </c>
      <c r="U240">
        <v>12.871</v>
      </c>
      <c r="V240">
        <v>12.635899999999998</v>
      </c>
      <c r="W240">
        <v>13.241500000000004</v>
      </c>
      <c r="X240">
        <v>13.280999999999999</v>
      </c>
      <c r="Y240">
        <v>14.4335</v>
      </c>
      <c r="Z240">
        <v>14.523400000000001</v>
      </c>
      <c r="AA240">
        <v>14.245700000000001</v>
      </c>
      <c r="AB240">
        <v>14.510900000000001</v>
      </c>
      <c r="AC240">
        <v>14.919400000000001</v>
      </c>
      <c r="AD240" t="s">
        <v>73</v>
      </c>
    </row>
    <row r="241" spans="1:30" x14ac:dyDescent="0.3">
      <c r="A241" t="s">
        <v>562</v>
      </c>
      <c r="B241" s="5" t="s">
        <v>563</v>
      </c>
      <c r="C241" t="s">
        <v>503</v>
      </c>
      <c r="D241" s="5" t="s">
        <v>504</v>
      </c>
      <c r="E241">
        <v>41.665899999999993</v>
      </c>
      <c r="F241">
        <v>41.483899999999984</v>
      </c>
      <c r="G241">
        <v>47.907499999999992</v>
      </c>
      <c r="H241">
        <v>47.868800000000014</v>
      </c>
      <c r="I241">
        <v>48.939899999999994</v>
      </c>
      <c r="J241">
        <v>38.911899999999996</v>
      </c>
      <c r="K241">
        <v>41.807500000000005</v>
      </c>
      <c r="L241">
        <v>42.518800000000006</v>
      </c>
      <c r="M241">
        <v>39.928200000000004</v>
      </c>
      <c r="N241">
        <v>46.426100000000012</v>
      </c>
      <c r="O241">
        <v>43.13000000000001</v>
      </c>
      <c r="P241">
        <v>49.745900000000006</v>
      </c>
      <c r="Q241">
        <v>50.720299999999988</v>
      </c>
      <c r="R241">
        <v>52.53649999999999</v>
      </c>
      <c r="S241">
        <v>47.885200000000033</v>
      </c>
      <c r="T241">
        <v>51.206300000000006</v>
      </c>
      <c r="U241">
        <v>46.704099999999997</v>
      </c>
      <c r="V241">
        <v>43.346199999999996</v>
      </c>
      <c r="W241">
        <v>44.0657</v>
      </c>
      <c r="X241">
        <v>46.227200000000003</v>
      </c>
      <c r="Y241">
        <v>47.809700000000014</v>
      </c>
      <c r="Z241">
        <v>47.775099999999995</v>
      </c>
      <c r="AA241">
        <v>49.197500000000005</v>
      </c>
      <c r="AB241">
        <v>48.767099999999999</v>
      </c>
      <c r="AC241">
        <v>49.054900000000011</v>
      </c>
      <c r="AD241" t="s">
        <v>73</v>
      </c>
    </row>
    <row r="242" spans="1:30" x14ac:dyDescent="0.3">
      <c r="A242" t="s">
        <v>562</v>
      </c>
      <c r="B242" s="5" t="s">
        <v>563</v>
      </c>
      <c r="C242" t="s">
        <v>505</v>
      </c>
      <c r="D242" s="5" t="s">
        <v>506</v>
      </c>
      <c r="E242">
        <v>11.8996</v>
      </c>
      <c r="F242">
        <v>11.399299999999998</v>
      </c>
      <c r="G242">
        <v>10.671200000000001</v>
      </c>
      <c r="H242">
        <v>12.522500000000001</v>
      </c>
      <c r="I242">
        <v>12.573899999999998</v>
      </c>
      <c r="J242">
        <v>11.514800000000001</v>
      </c>
      <c r="K242">
        <v>12.4518</v>
      </c>
      <c r="L242">
        <v>14.241300000000001</v>
      </c>
      <c r="M242">
        <v>12.770899999999999</v>
      </c>
      <c r="N242">
        <v>13.0968</v>
      </c>
      <c r="O242">
        <v>13.325099999999997</v>
      </c>
      <c r="P242">
        <v>15.693899999999999</v>
      </c>
      <c r="Q242">
        <v>15.401200000000003</v>
      </c>
      <c r="R242">
        <v>16.295300000000001</v>
      </c>
      <c r="S242">
        <v>16.763500000000001</v>
      </c>
      <c r="T242">
        <v>16.1067</v>
      </c>
      <c r="U242">
        <v>17.874000000000002</v>
      </c>
      <c r="V242">
        <v>17.502400000000002</v>
      </c>
      <c r="W242">
        <v>17.240399999999998</v>
      </c>
      <c r="X242">
        <v>18.162800000000001</v>
      </c>
      <c r="Y242">
        <v>20.539199999999997</v>
      </c>
      <c r="Z242">
        <v>22.600399999999997</v>
      </c>
      <c r="AA242">
        <v>21.114600000000003</v>
      </c>
      <c r="AB242">
        <v>21.16879999999999</v>
      </c>
      <c r="AC242">
        <v>21.502000000000002</v>
      </c>
      <c r="AD242" t="s">
        <v>73</v>
      </c>
    </row>
    <row r="243" spans="1:30" x14ac:dyDescent="0.3">
      <c r="A243" t="s">
        <v>562</v>
      </c>
      <c r="B243" s="5" t="s">
        <v>563</v>
      </c>
      <c r="C243" t="s">
        <v>507</v>
      </c>
      <c r="D243" s="5" t="s">
        <v>508</v>
      </c>
      <c r="E243">
        <v>11.159800000000001</v>
      </c>
      <c r="F243">
        <v>10.668199999999999</v>
      </c>
      <c r="G243">
        <v>9.8829999999999973</v>
      </c>
      <c r="H243">
        <v>11.648</v>
      </c>
      <c r="I243">
        <v>11.638100000000001</v>
      </c>
      <c r="J243">
        <v>10.561300000000001</v>
      </c>
      <c r="K243">
        <v>11.540700000000001</v>
      </c>
      <c r="L243">
        <v>13.283199999999999</v>
      </c>
      <c r="M243">
        <v>11.813300000000002</v>
      </c>
      <c r="N243">
        <v>12.096300000000001</v>
      </c>
      <c r="O243">
        <v>12.402399999999998</v>
      </c>
      <c r="P243">
        <v>14.613399999999999</v>
      </c>
      <c r="Q243">
        <v>14.243700000000002</v>
      </c>
      <c r="R243">
        <v>15.361499999999999</v>
      </c>
      <c r="S243">
        <v>15.785400000000001</v>
      </c>
      <c r="T243">
        <v>15.127699999999999</v>
      </c>
      <c r="U243">
        <v>16.948999999999998</v>
      </c>
      <c r="V243">
        <v>16.528199999999998</v>
      </c>
      <c r="W243">
        <v>16.303100000000001</v>
      </c>
      <c r="X243">
        <v>17.171799999999998</v>
      </c>
      <c r="Y243">
        <v>19.517799999999994</v>
      </c>
      <c r="Z243">
        <v>21.333600000000001</v>
      </c>
      <c r="AA243">
        <v>20.104600000000001</v>
      </c>
      <c r="AB243">
        <v>20.141699999999997</v>
      </c>
      <c r="AC243">
        <v>20.436200000000003</v>
      </c>
      <c r="AD243" t="s">
        <v>73</v>
      </c>
    </row>
    <row r="244" spans="1:30" x14ac:dyDescent="0.3">
      <c r="A244" t="s">
        <v>562</v>
      </c>
      <c r="B244" s="5" t="s">
        <v>563</v>
      </c>
      <c r="C244" t="s">
        <v>509</v>
      </c>
      <c r="D244" s="5" t="s">
        <v>510</v>
      </c>
      <c r="E244">
        <v>11.678799999999997</v>
      </c>
      <c r="F244">
        <v>11.308199999999999</v>
      </c>
      <c r="G244">
        <v>10.613099999999999</v>
      </c>
      <c r="H244">
        <v>12.497599999999998</v>
      </c>
      <c r="I244">
        <v>12.546899999999999</v>
      </c>
      <c r="J244">
        <v>11.390599999999999</v>
      </c>
      <c r="K244">
        <v>12.279899999999996</v>
      </c>
      <c r="L244">
        <v>14.101800000000001</v>
      </c>
      <c r="M244">
        <v>12.665800000000001</v>
      </c>
      <c r="N244">
        <v>12.987700000000002</v>
      </c>
      <c r="O244">
        <v>13.2166</v>
      </c>
      <c r="P244">
        <v>15.5687</v>
      </c>
      <c r="Q244">
        <v>15.274200000000002</v>
      </c>
      <c r="R244">
        <v>16.163599999999999</v>
      </c>
      <c r="S244">
        <v>16.598799999999997</v>
      </c>
      <c r="T244">
        <v>15.963099999999999</v>
      </c>
      <c r="U244">
        <v>17.767200000000006</v>
      </c>
      <c r="V244">
        <v>17.387899999999995</v>
      </c>
      <c r="W244">
        <v>17.179399999999998</v>
      </c>
      <c r="X244">
        <v>18.127100000000002</v>
      </c>
      <c r="Y244">
        <v>20.506799999999998</v>
      </c>
      <c r="Z244">
        <v>22.568699999999996</v>
      </c>
      <c r="AA244">
        <v>21.1023</v>
      </c>
      <c r="AB244">
        <v>21.156499999999994</v>
      </c>
      <c r="AC244">
        <v>21.489700000000003</v>
      </c>
      <c r="AD244" t="s">
        <v>73</v>
      </c>
    </row>
    <row r="245" spans="1:30" x14ac:dyDescent="0.3">
      <c r="A245" t="s">
        <v>562</v>
      </c>
      <c r="B245" s="5" t="s">
        <v>563</v>
      </c>
      <c r="C245" t="s">
        <v>511</v>
      </c>
      <c r="D245" s="5" t="s">
        <v>512</v>
      </c>
      <c r="E245">
        <v>2.2263999999999999</v>
      </c>
      <c r="F245">
        <v>2.2885</v>
      </c>
      <c r="G245">
        <v>2.3147000000000002</v>
      </c>
      <c r="H245">
        <v>2.2010000000000001</v>
      </c>
      <c r="I245">
        <v>2.3880999999999997</v>
      </c>
      <c r="J245">
        <v>2.3216999999999994</v>
      </c>
      <c r="K245">
        <v>2.2936999999999999</v>
      </c>
      <c r="L245">
        <v>2.4705000000000008</v>
      </c>
      <c r="M245">
        <v>2.2781000000000002</v>
      </c>
      <c r="N245">
        <v>2.3275999999999999</v>
      </c>
      <c r="O245">
        <v>2.6503999999999999</v>
      </c>
      <c r="P245">
        <v>2.5383000000000004</v>
      </c>
      <c r="Q245">
        <v>2.7609999999999997</v>
      </c>
      <c r="R245">
        <v>3.2574000000000001</v>
      </c>
      <c r="S245">
        <v>3.6646000000000001</v>
      </c>
      <c r="T245">
        <v>3.6589</v>
      </c>
      <c r="U245">
        <v>4.1908000000000003</v>
      </c>
      <c r="V245">
        <v>4.2832999999999997</v>
      </c>
      <c r="W245">
        <v>4.6683000000000003</v>
      </c>
      <c r="X245">
        <v>4.5720000000000001</v>
      </c>
      <c r="Y245">
        <v>4.9868999999999994</v>
      </c>
      <c r="Z245">
        <v>4.8635000000000002</v>
      </c>
      <c r="AA245">
        <v>5.360100000000001</v>
      </c>
      <c r="AB245">
        <v>5.6126999999999994</v>
      </c>
      <c r="AC245">
        <v>5.9186000000000014</v>
      </c>
      <c r="AD245" t="s">
        <v>73</v>
      </c>
    </row>
    <row r="246" spans="1:30" x14ac:dyDescent="0.3">
      <c r="A246" t="s">
        <v>562</v>
      </c>
      <c r="B246" s="5" t="s">
        <v>563</v>
      </c>
      <c r="C246" t="s">
        <v>513</v>
      </c>
      <c r="D246" s="5" t="s">
        <v>514</v>
      </c>
      <c r="E246">
        <v>78.559700000000021</v>
      </c>
      <c r="F246">
        <v>78.90440000000001</v>
      </c>
      <c r="G246">
        <v>84.614599999999996</v>
      </c>
      <c r="H246">
        <v>85.38539999999999</v>
      </c>
      <c r="I246">
        <v>89.613699999999994</v>
      </c>
      <c r="J246">
        <v>80.647800000000046</v>
      </c>
      <c r="K246">
        <v>85.4405</v>
      </c>
      <c r="L246">
        <v>87.415300000000016</v>
      </c>
      <c r="M246">
        <v>86.351600000000005</v>
      </c>
      <c r="N246">
        <v>95.538399999999996</v>
      </c>
      <c r="O246">
        <v>93.544100000000014</v>
      </c>
      <c r="P246">
        <v>99.39500000000001</v>
      </c>
      <c r="Q246">
        <v>100.61769999999997</v>
      </c>
      <c r="R246">
        <v>104.6327</v>
      </c>
      <c r="S246">
        <v>101.57240000000002</v>
      </c>
      <c r="T246">
        <v>102.45100000000005</v>
      </c>
      <c r="U246">
        <v>100.71530000000004</v>
      </c>
      <c r="V246">
        <v>98.524700000000024</v>
      </c>
      <c r="W246">
        <v>100.27789999999996</v>
      </c>
      <c r="X246">
        <v>104.24469999999999</v>
      </c>
      <c r="Y246">
        <v>108.1484</v>
      </c>
      <c r="Z246">
        <v>108.04620000000003</v>
      </c>
      <c r="AA246">
        <v>104.28769999999999</v>
      </c>
      <c r="AB246">
        <v>105.59290000000001</v>
      </c>
      <c r="AC246">
        <v>107.1837</v>
      </c>
      <c r="AD246" t="s">
        <v>73</v>
      </c>
    </row>
    <row r="247" spans="1:30" x14ac:dyDescent="0.3">
      <c r="A247" t="s">
        <v>562</v>
      </c>
      <c r="B247" s="5" t="s">
        <v>563</v>
      </c>
      <c r="C247" t="s">
        <v>515</v>
      </c>
      <c r="D247" s="5" t="s">
        <v>516</v>
      </c>
      <c r="E247">
        <v>0.83699999999999997</v>
      </c>
      <c r="F247">
        <v>0.64650000000000007</v>
      </c>
      <c r="G247">
        <v>0.65179999999999993</v>
      </c>
      <c r="H247">
        <v>0.63390000000000002</v>
      </c>
      <c r="I247">
        <v>0.83360000000000001</v>
      </c>
      <c r="J247">
        <v>0.77929999999999999</v>
      </c>
      <c r="K247">
        <v>0.60509999999999997</v>
      </c>
      <c r="L247">
        <v>0.69569999999999999</v>
      </c>
      <c r="M247">
        <v>0.51370000000000005</v>
      </c>
      <c r="N247">
        <v>0.52879999999999994</v>
      </c>
      <c r="O247">
        <v>0.72109999999999996</v>
      </c>
      <c r="P247">
        <v>0.77939999999999998</v>
      </c>
      <c r="Q247">
        <v>0.71639999999999993</v>
      </c>
      <c r="R247">
        <v>0.68740000000000001</v>
      </c>
      <c r="S247">
        <v>0.67290000000000005</v>
      </c>
      <c r="T247">
        <v>0.50870000000000004</v>
      </c>
      <c r="U247">
        <v>0.91110000000000013</v>
      </c>
      <c r="V247">
        <v>1.0077</v>
      </c>
      <c r="W247">
        <v>0.96089999999999987</v>
      </c>
      <c r="X247">
        <v>0.7772</v>
      </c>
      <c r="Y247">
        <v>0.38729999999999998</v>
      </c>
      <c r="Z247">
        <v>0.41500000000000004</v>
      </c>
      <c r="AA247">
        <v>0.56020000000000003</v>
      </c>
      <c r="AB247">
        <v>0.55830000000000002</v>
      </c>
      <c r="AC247">
        <v>0.57489999999999997</v>
      </c>
      <c r="AD247" t="s">
        <v>73</v>
      </c>
    </row>
    <row r="248" spans="1:30" x14ac:dyDescent="0.3">
      <c r="A248" t="s">
        <v>562</v>
      </c>
      <c r="B248" s="5" t="s">
        <v>563</v>
      </c>
      <c r="C248" t="s">
        <v>517</v>
      </c>
      <c r="D248" s="5" t="s">
        <v>518</v>
      </c>
      <c r="E248">
        <v>30.629899999999996</v>
      </c>
      <c r="F248">
        <v>30.793000000000003</v>
      </c>
      <c r="G248">
        <v>29.780700000000003</v>
      </c>
      <c r="H248">
        <v>30.750799999999995</v>
      </c>
      <c r="I248">
        <v>33.209200000000003</v>
      </c>
      <c r="J248">
        <v>34.1967</v>
      </c>
      <c r="K248">
        <v>35.538699999999999</v>
      </c>
      <c r="L248">
        <v>37.438499999999998</v>
      </c>
      <c r="M248">
        <v>38.212699999999998</v>
      </c>
      <c r="N248">
        <v>40.232700000000008</v>
      </c>
      <c r="O248">
        <v>41.680500000000002</v>
      </c>
      <c r="P248">
        <v>42.116899999999994</v>
      </c>
      <c r="Q248">
        <v>41.903000000000006</v>
      </c>
      <c r="R248">
        <v>43.491100000000017</v>
      </c>
      <c r="S248">
        <v>44.013099999999994</v>
      </c>
      <c r="T248">
        <v>44.141099999999994</v>
      </c>
      <c r="U248">
        <v>44.910200000000003</v>
      </c>
      <c r="V248">
        <v>45.479500000000009</v>
      </c>
      <c r="W248">
        <v>47.199000000000005</v>
      </c>
      <c r="X248">
        <v>49.070299999999996</v>
      </c>
      <c r="Y248">
        <v>51.698299999999996</v>
      </c>
      <c r="Z248">
        <v>50.503499999999995</v>
      </c>
      <c r="AA248">
        <v>50.914200000000001</v>
      </c>
      <c r="AB248">
        <v>52.005199999999995</v>
      </c>
      <c r="AC248">
        <v>53.104299999999995</v>
      </c>
      <c r="AD248" t="s">
        <v>73</v>
      </c>
    </row>
    <row r="249" spans="1:30" x14ac:dyDescent="0.3">
      <c r="A249" t="s">
        <v>562</v>
      </c>
      <c r="B249" s="5" t="s">
        <v>563</v>
      </c>
      <c r="C249" t="s">
        <v>519</v>
      </c>
      <c r="D249" s="5" t="s">
        <v>520</v>
      </c>
      <c r="E249">
        <v>9.6959999999999997</v>
      </c>
      <c r="F249">
        <v>9.7204000000000015</v>
      </c>
      <c r="G249">
        <v>9.9979999999999993</v>
      </c>
      <c r="H249">
        <v>9.5388999999999982</v>
      </c>
      <c r="I249">
        <v>10.8081</v>
      </c>
      <c r="J249">
        <v>10.795899999999998</v>
      </c>
      <c r="K249">
        <v>10.3192</v>
      </c>
      <c r="L249">
        <v>10.315399999999997</v>
      </c>
      <c r="M249">
        <v>10.4041</v>
      </c>
      <c r="N249">
        <v>11.276</v>
      </c>
      <c r="O249">
        <v>10.585999999999999</v>
      </c>
      <c r="P249">
        <v>10.394299999999998</v>
      </c>
      <c r="Q249">
        <v>9.6190000000000015</v>
      </c>
      <c r="R249">
        <v>9.9706000000000028</v>
      </c>
      <c r="S249">
        <v>10.456499999999998</v>
      </c>
      <c r="T249">
        <v>9.3411000000000008</v>
      </c>
      <c r="U249">
        <v>11.6417</v>
      </c>
      <c r="V249">
        <v>11.666700000000001</v>
      </c>
      <c r="W249">
        <v>11.887700000000001</v>
      </c>
      <c r="X249">
        <v>11.4495</v>
      </c>
      <c r="Y249">
        <v>11.329299999999998</v>
      </c>
      <c r="Z249">
        <v>10.949400000000001</v>
      </c>
      <c r="AA249">
        <v>10.634599999999999</v>
      </c>
      <c r="AB249">
        <v>10.5543</v>
      </c>
      <c r="AC249">
        <v>10.5471</v>
      </c>
      <c r="AD249" t="s">
        <v>73</v>
      </c>
    </row>
    <row r="250" spans="1:30" x14ac:dyDescent="0.3">
      <c r="A250" t="s">
        <v>562</v>
      </c>
      <c r="B250" s="5" t="s">
        <v>563</v>
      </c>
      <c r="C250" t="s">
        <v>521</v>
      </c>
      <c r="D250" s="5" t="s">
        <v>522</v>
      </c>
      <c r="E250">
        <v>9.2902000000000005</v>
      </c>
      <c r="F250">
        <v>9.2769000000000013</v>
      </c>
      <c r="G250">
        <v>9.5567000000000011</v>
      </c>
      <c r="H250">
        <v>9.074799999999998</v>
      </c>
      <c r="I250">
        <v>10.351900000000001</v>
      </c>
      <c r="J250">
        <v>10.448199999999998</v>
      </c>
      <c r="K250">
        <v>9.9406999999999996</v>
      </c>
      <c r="L250">
        <v>9.8963999999999999</v>
      </c>
      <c r="M250">
        <v>10.0998</v>
      </c>
      <c r="N250">
        <v>10.975</v>
      </c>
      <c r="O250">
        <v>10.302499999999998</v>
      </c>
      <c r="P250">
        <v>10.036999999999999</v>
      </c>
      <c r="Q250">
        <v>9.2315000000000005</v>
      </c>
      <c r="R250">
        <v>9.6418000000000017</v>
      </c>
      <c r="S250">
        <v>10.128199999999998</v>
      </c>
      <c r="T250">
        <v>8.949600000000002</v>
      </c>
      <c r="U250">
        <v>11.2094</v>
      </c>
      <c r="V250">
        <v>11.286299999999999</v>
      </c>
      <c r="W250">
        <v>11.5077</v>
      </c>
      <c r="X250">
        <v>11.1312</v>
      </c>
      <c r="Y250">
        <v>11.095199999999998</v>
      </c>
      <c r="Z250">
        <v>10.624599999999999</v>
      </c>
      <c r="AA250">
        <v>10.331799999999999</v>
      </c>
      <c r="AB250">
        <v>10.2567</v>
      </c>
      <c r="AC250">
        <v>10.2536</v>
      </c>
      <c r="AD250" t="s">
        <v>73</v>
      </c>
    </row>
    <row r="251" spans="1:30" x14ac:dyDescent="0.3">
      <c r="A251" t="s">
        <v>562</v>
      </c>
      <c r="B251" s="5" t="s">
        <v>563</v>
      </c>
      <c r="C251" t="s">
        <v>523</v>
      </c>
      <c r="D251" s="5" t="s">
        <v>524</v>
      </c>
      <c r="E251">
        <v>9.2902000000000005</v>
      </c>
      <c r="F251">
        <v>9.2769000000000013</v>
      </c>
      <c r="G251">
        <v>9.5566999999999993</v>
      </c>
      <c r="H251">
        <v>9.074799999999998</v>
      </c>
      <c r="I251">
        <v>10.351899999999999</v>
      </c>
      <c r="J251">
        <v>10.448199999999998</v>
      </c>
      <c r="K251">
        <v>9.9406999999999996</v>
      </c>
      <c r="L251">
        <v>9.8963999999999999</v>
      </c>
      <c r="M251">
        <v>10.0998</v>
      </c>
      <c r="N251">
        <v>10.975</v>
      </c>
      <c r="O251">
        <v>10.302499999999998</v>
      </c>
      <c r="P251">
        <v>10.036999999999999</v>
      </c>
      <c r="Q251">
        <v>9.2315000000000005</v>
      </c>
      <c r="R251">
        <v>9.6418000000000017</v>
      </c>
      <c r="S251">
        <v>10.1282</v>
      </c>
      <c r="T251">
        <v>8.9496000000000002</v>
      </c>
      <c r="U251">
        <v>11.2094</v>
      </c>
      <c r="V251">
        <v>11.286300000000001</v>
      </c>
      <c r="W251">
        <v>11.5077</v>
      </c>
      <c r="X251">
        <v>11.1312</v>
      </c>
      <c r="Y251">
        <v>11.0952</v>
      </c>
      <c r="Z251">
        <v>10.624600000000001</v>
      </c>
      <c r="AA251">
        <v>10.331799999999999</v>
      </c>
      <c r="AB251">
        <v>10.2567</v>
      </c>
      <c r="AC251">
        <v>10.2536</v>
      </c>
      <c r="AD251" t="s">
        <v>73</v>
      </c>
    </row>
    <row r="252" spans="1:30" x14ac:dyDescent="0.3">
      <c r="A252" t="s">
        <v>562</v>
      </c>
      <c r="B252" s="5" t="s">
        <v>563</v>
      </c>
      <c r="C252" t="s">
        <v>525</v>
      </c>
      <c r="D252" s="5" t="s">
        <v>526</v>
      </c>
      <c r="E252">
        <v>77.722699999999989</v>
      </c>
      <c r="F252">
        <v>78.257899999999964</v>
      </c>
      <c r="G252">
        <v>83.962799999999987</v>
      </c>
      <c r="H252">
        <v>84.751500000000021</v>
      </c>
      <c r="I252">
        <v>88.780100000000004</v>
      </c>
      <c r="J252">
        <v>79.86850000000004</v>
      </c>
      <c r="K252">
        <v>84.835399999999993</v>
      </c>
      <c r="L252">
        <v>86.719599999999986</v>
      </c>
      <c r="M252">
        <v>85.837899999999948</v>
      </c>
      <c r="N252">
        <v>95.009599999999978</v>
      </c>
      <c r="O252">
        <v>92.823000000000008</v>
      </c>
      <c r="P252">
        <v>98.615600000000001</v>
      </c>
      <c r="Q252">
        <v>99.901299999999992</v>
      </c>
      <c r="R252">
        <v>103.94529999999999</v>
      </c>
      <c r="S252">
        <v>100.89949999999997</v>
      </c>
      <c r="T252">
        <v>101.9423</v>
      </c>
      <c r="U252">
        <v>99.804200000000037</v>
      </c>
      <c r="V252">
        <v>97.517000000000039</v>
      </c>
      <c r="W252">
        <v>99.317000000000007</v>
      </c>
      <c r="X252">
        <v>103.4675</v>
      </c>
      <c r="Y252">
        <v>107.76109999999996</v>
      </c>
      <c r="Z252">
        <v>107.63120000000005</v>
      </c>
      <c r="AA252">
        <v>103.72750000000002</v>
      </c>
      <c r="AB252">
        <v>105.03460000000001</v>
      </c>
      <c r="AC252">
        <v>106.60879999999997</v>
      </c>
      <c r="AD252" t="s">
        <v>73</v>
      </c>
    </row>
    <row r="253" spans="1:30" x14ac:dyDescent="0.3">
      <c r="A253" t="s">
        <v>562</v>
      </c>
      <c r="B253" s="5" t="s">
        <v>563</v>
      </c>
      <c r="C253" t="s">
        <v>527</v>
      </c>
      <c r="D253" s="5" t="s">
        <v>528</v>
      </c>
      <c r="E253">
        <v>7.4725000000000001</v>
      </c>
      <c r="F253">
        <v>7.7470999999999997</v>
      </c>
      <c r="G253">
        <v>8.0016999999999996</v>
      </c>
      <c r="H253">
        <v>8.2164000000000001</v>
      </c>
      <c r="I253">
        <v>7.6998999999999995</v>
      </c>
      <c r="J253">
        <v>7.4324000000000003</v>
      </c>
      <c r="K253">
        <v>8.3349000000000011</v>
      </c>
      <c r="L253">
        <v>7.9291</v>
      </c>
      <c r="M253">
        <v>7.4013</v>
      </c>
      <c r="N253">
        <v>7.8186</v>
      </c>
      <c r="O253">
        <v>8.7136999999999993</v>
      </c>
      <c r="P253">
        <v>9.3417999999999992</v>
      </c>
      <c r="Q253">
        <v>9.7896999999999998</v>
      </c>
      <c r="R253">
        <v>9.5535999999999994</v>
      </c>
      <c r="S253">
        <v>9.7837999999999994</v>
      </c>
      <c r="T253">
        <v>10.278700000000001</v>
      </c>
      <c r="U253">
        <v>10.1366</v>
      </c>
      <c r="V253">
        <v>10.421800000000001</v>
      </c>
      <c r="W253">
        <v>10.2758</v>
      </c>
      <c r="X253">
        <v>10.8332</v>
      </c>
      <c r="Y253">
        <v>10.929</v>
      </c>
      <c r="Z253">
        <v>10.161200000000001</v>
      </c>
      <c r="AA253">
        <v>10.8294</v>
      </c>
      <c r="AB253">
        <v>11.6496</v>
      </c>
      <c r="AC253">
        <v>11.723700000000001</v>
      </c>
      <c r="AD253" t="s">
        <v>73</v>
      </c>
    </row>
    <row r="254" spans="1:30" x14ac:dyDescent="0.3">
      <c r="A254" t="s">
        <v>562</v>
      </c>
      <c r="B254" s="5" t="s">
        <v>563</v>
      </c>
      <c r="C254" t="s">
        <v>529</v>
      </c>
      <c r="D254" s="5" t="s">
        <v>530</v>
      </c>
      <c r="E254" t="s">
        <v>73</v>
      </c>
      <c r="F254" t="s">
        <v>73</v>
      </c>
      <c r="G254" t="s">
        <v>73</v>
      </c>
      <c r="H254" t="s">
        <v>73</v>
      </c>
      <c r="I254" t="s">
        <v>73</v>
      </c>
      <c r="J254" t="s">
        <v>73</v>
      </c>
      <c r="K254" t="s">
        <v>73</v>
      </c>
      <c r="L254" t="s">
        <v>73</v>
      </c>
      <c r="M254" t="s">
        <v>73</v>
      </c>
      <c r="N254" t="s">
        <v>73</v>
      </c>
      <c r="O254" t="s">
        <v>73</v>
      </c>
      <c r="P254" t="s">
        <v>73</v>
      </c>
      <c r="Q254" t="s">
        <v>73</v>
      </c>
      <c r="R254" t="s">
        <v>73</v>
      </c>
      <c r="S254" t="s">
        <v>73</v>
      </c>
      <c r="T254" t="s">
        <v>73</v>
      </c>
      <c r="U254" t="s">
        <v>73</v>
      </c>
      <c r="V254" t="s">
        <v>73</v>
      </c>
      <c r="W254" t="s">
        <v>73</v>
      </c>
      <c r="X254" t="s">
        <v>73</v>
      </c>
      <c r="Y254" t="s">
        <v>73</v>
      </c>
      <c r="Z254" t="s">
        <v>73</v>
      </c>
      <c r="AA254" t="s">
        <v>73</v>
      </c>
      <c r="AB254" t="s">
        <v>73</v>
      </c>
      <c r="AC254" t="s">
        <v>73</v>
      </c>
      <c r="AD254" t="s">
        <v>73</v>
      </c>
    </row>
    <row r="255" spans="1:30" x14ac:dyDescent="0.3">
      <c r="A255" t="s">
        <v>562</v>
      </c>
      <c r="B255" s="5" t="s">
        <v>563</v>
      </c>
      <c r="C255" t="s">
        <v>531</v>
      </c>
      <c r="D255" s="5" t="s">
        <v>532</v>
      </c>
      <c r="E255">
        <v>29.178399999999993</v>
      </c>
      <c r="F255">
        <v>30.102399999999992</v>
      </c>
      <c r="G255">
        <v>29.192700000000002</v>
      </c>
      <c r="H255">
        <v>30.311399999999999</v>
      </c>
      <c r="I255">
        <v>30.305899999999994</v>
      </c>
      <c r="J255">
        <v>28.393800000000002</v>
      </c>
      <c r="K255">
        <v>27.827699999999997</v>
      </c>
      <c r="L255">
        <v>28.608100000000004</v>
      </c>
      <c r="M255">
        <v>26.7623</v>
      </c>
      <c r="N255">
        <v>28.459399999999999</v>
      </c>
      <c r="O255">
        <v>29.323600000000003</v>
      </c>
      <c r="P255">
        <v>29.479899999999994</v>
      </c>
      <c r="Q255">
        <v>31.046099999999992</v>
      </c>
      <c r="R255">
        <v>32.127799999999993</v>
      </c>
      <c r="S255">
        <v>32.065699999999993</v>
      </c>
      <c r="T255">
        <v>33.019399999999997</v>
      </c>
      <c r="U255">
        <v>33.931199999999997</v>
      </c>
      <c r="V255">
        <v>33.841600000000007</v>
      </c>
      <c r="W255">
        <v>30.9665</v>
      </c>
      <c r="X255">
        <v>31.947800000000001</v>
      </c>
      <c r="Y255">
        <v>33.0122</v>
      </c>
      <c r="Z255">
        <v>31.004199999999997</v>
      </c>
      <c r="AA255">
        <v>29.842799999999997</v>
      </c>
      <c r="AB255">
        <v>30.234399999999997</v>
      </c>
      <c r="AC255">
        <v>30.166699999999999</v>
      </c>
      <c r="AD255" t="s">
        <v>73</v>
      </c>
    </row>
    <row r="256" spans="1:30" x14ac:dyDescent="0.3">
      <c r="A256" t="s">
        <v>562</v>
      </c>
      <c r="B256" s="5" t="s">
        <v>563</v>
      </c>
      <c r="C256" t="s">
        <v>533</v>
      </c>
      <c r="D256" s="5" t="s">
        <v>534</v>
      </c>
      <c r="E256">
        <v>6.2100000000000002E-2</v>
      </c>
      <c r="F256">
        <v>7.4899999999999994E-2</v>
      </c>
      <c r="G256">
        <v>8.1699999999999995E-2</v>
      </c>
      <c r="H256">
        <v>6.3E-2</v>
      </c>
      <c r="I256">
        <v>6.8199999999999997E-2</v>
      </c>
      <c r="J256">
        <v>5.8900000000000001E-2</v>
      </c>
      <c r="K256">
        <v>4.0900000000000006E-2</v>
      </c>
      <c r="L256">
        <v>3.2399999999999998E-2</v>
      </c>
      <c r="M256">
        <v>6.9599999999999995E-2</v>
      </c>
      <c r="N256">
        <v>8.3500000000000005E-2</v>
      </c>
      <c r="O256">
        <v>6.4100000000000004E-2</v>
      </c>
      <c r="P256">
        <v>6.6699999999999995E-2</v>
      </c>
      <c r="Q256">
        <v>6.6699999999999995E-2</v>
      </c>
      <c r="R256">
        <v>9.2700000000000005E-2</v>
      </c>
      <c r="S256">
        <v>0.10239999999999999</v>
      </c>
      <c r="T256">
        <v>0.10970000000000001</v>
      </c>
      <c r="U256">
        <v>9.7599999999999992E-2</v>
      </c>
      <c r="V256">
        <v>9.8900000000000002E-2</v>
      </c>
      <c r="W256">
        <v>0.1105</v>
      </c>
      <c r="X256">
        <v>0.1017</v>
      </c>
      <c r="Y256">
        <v>0.1016</v>
      </c>
      <c r="Z256">
        <v>8.5300000000000001E-2</v>
      </c>
      <c r="AA256">
        <v>7.8299999999999995E-2</v>
      </c>
      <c r="AB256">
        <v>7.8899999999999998E-2</v>
      </c>
      <c r="AC256">
        <v>7.9699999999999993E-2</v>
      </c>
      <c r="AD256" t="s">
        <v>73</v>
      </c>
    </row>
    <row r="257" spans="1:30" x14ac:dyDescent="0.3">
      <c r="A257" t="s">
        <v>562</v>
      </c>
      <c r="B257" s="5" t="s">
        <v>563</v>
      </c>
      <c r="C257" t="s">
        <v>535</v>
      </c>
      <c r="D257" s="5" t="s">
        <v>536</v>
      </c>
      <c r="E257" t="s">
        <v>73</v>
      </c>
      <c r="F257" t="s">
        <v>73</v>
      </c>
      <c r="G257" t="s">
        <v>73</v>
      </c>
      <c r="H257" t="s">
        <v>73</v>
      </c>
      <c r="I257" t="s">
        <v>73</v>
      </c>
      <c r="J257" t="s">
        <v>73</v>
      </c>
      <c r="K257" t="s">
        <v>73</v>
      </c>
      <c r="L257" t="s">
        <v>73</v>
      </c>
      <c r="M257" t="s">
        <v>73</v>
      </c>
      <c r="N257" t="s">
        <v>73</v>
      </c>
      <c r="O257" t="s">
        <v>73</v>
      </c>
      <c r="P257" t="s">
        <v>73</v>
      </c>
      <c r="Q257" t="s">
        <v>73</v>
      </c>
      <c r="R257" t="s">
        <v>73</v>
      </c>
      <c r="S257" t="s">
        <v>73</v>
      </c>
      <c r="T257" t="s">
        <v>73</v>
      </c>
      <c r="U257" t="s">
        <v>73</v>
      </c>
      <c r="V257" t="s">
        <v>73</v>
      </c>
      <c r="W257" t="s">
        <v>73</v>
      </c>
      <c r="X257" t="s">
        <v>73</v>
      </c>
      <c r="Y257" t="s">
        <v>73</v>
      </c>
      <c r="Z257" t="s">
        <v>73</v>
      </c>
      <c r="AA257" t="s">
        <v>73</v>
      </c>
      <c r="AB257" t="s">
        <v>73</v>
      </c>
      <c r="AC257" t="s">
        <v>73</v>
      </c>
      <c r="AD257" t="s">
        <v>73</v>
      </c>
    </row>
    <row r="258" spans="1:30" x14ac:dyDescent="0.3">
      <c r="A258" t="s">
        <v>562</v>
      </c>
      <c r="B258" s="5" t="s">
        <v>563</v>
      </c>
      <c r="C258" t="s">
        <v>537</v>
      </c>
      <c r="D258" s="5" t="s">
        <v>538</v>
      </c>
      <c r="E258">
        <v>22.993399999999998</v>
      </c>
      <c r="F258">
        <v>23.793399999999998</v>
      </c>
      <c r="G258">
        <v>23.574100000000001</v>
      </c>
      <c r="H258">
        <v>23.8385</v>
      </c>
      <c r="I258">
        <v>23.842600000000001</v>
      </c>
      <c r="J258">
        <v>22.202300000000001</v>
      </c>
      <c r="K258">
        <v>21.415300000000002</v>
      </c>
      <c r="L258">
        <v>22.392999999999997</v>
      </c>
      <c r="M258">
        <v>22.201099999999997</v>
      </c>
      <c r="N258">
        <v>22.870799999999992</v>
      </c>
      <c r="O258">
        <v>24.15</v>
      </c>
      <c r="P258">
        <v>24.770099999999999</v>
      </c>
      <c r="Q258">
        <v>25.930399999999999</v>
      </c>
      <c r="R258">
        <v>26.412699999999997</v>
      </c>
      <c r="S258">
        <v>26.893299999999996</v>
      </c>
      <c r="T258">
        <v>27.212199999999996</v>
      </c>
      <c r="U258">
        <v>27.769500000000001</v>
      </c>
      <c r="V258">
        <v>29.052799999999998</v>
      </c>
      <c r="W258">
        <v>26.724499999999999</v>
      </c>
      <c r="X258">
        <v>28.098799999999997</v>
      </c>
      <c r="Y258">
        <v>28.147700000000004</v>
      </c>
      <c r="Z258">
        <v>26.471399999999996</v>
      </c>
      <c r="AA258">
        <v>24.506</v>
      </c>
      <c r="AB258">
        <v>25.023600000000002</v>
      </c>
      <c r="AC258">
        <v>25.006699999999999</v>
      </c>
      <c r="AD258" t="s">
        <v>73</v>
      </c>
    </row>
    <row r="259" spans="1:30" x14ac:dyDescent="0.3">
      <c r="A259" t="s">
        <v>562</v>
      </c>
      <c r="B259" s="5" t="s">
        <v>563</v>
      </c>
      <c r="C259" t="s">
        <v>539</v>
      </c>
      <c r="D259" s="5" t="s">
        <v>540</v>
      </c>
      <c r="E259">
        <v>0.86420000000000008</v>
      </c>
      <c r="F259">
        <v>0.98099999999999998</v>
      </c>
      <c r="G259">
        <v>1.1897</v>
      </c>
      <c r="H259">
        <v>0.5393</v>
      </c>
      <c r="I259">
        <v>0.61239999999999983</v>
      </c>
      <c r="J259">
        <v>0.75450000000000006</v>
      </c>
      <c r="K259">
        <v>0.87129999999999996</v>
      </c>
      <c r="L259">
        <v>0.68430000000000002</v>
      </c>
      <c r="M259">
        <v>0.84679999999999989</v>
      </c>
      <c r="N259">
        <v>0.83410000000000006</v>
      </c>
      <c r="O259">
        <v>1.2911000000000001</v>
      </c>
      <c r="P259">
        <v>0.9133</v>
      </c>
      <c r="Q259">
        <v>1.1921999999999999</v>
      </c>
      <c r="R259">
        <v>2.0202999999999998</v>
      </c>
      <c r="S259">
        <v>1.7643</v>
      </c>
      <c r="T259">
        <v>1.4689000000000001</v>
      </c>
      <c r="U259">
        <v>2.1060999999999996</v>
      </c>
      <c r="V259">
        <v>2.3335999999999997</v>
      </c>
      <c r="W259">
        <v>2.2342999999999997</v>
      </c>
      <c r="X259">
        <v>2.3858999999999999</v>
      </c>
      <c r="Y259">
        <v>2.1461000000000001</v>
      </c>
      <c r="Z259">
        <v>2.5786000000000002</v>
      </c>
      <c r="AA259">
        <v>2.5268999999999999</v>
      </c>
      <c r="AB259">
        <v>2.6013999999999999</v>
      </c>
      <c r="AC259">
        <v>2.7052</v>
      </c>
      <c r="AD259" t="s">
        <v>73</v>
      </c>
    </row>
    <row r="260" spans="1:30" x14ac:dyDescent="0.3">
      <c r="A260" t="s">
        <v>562</v>
      </c>
      <c r="B260" s="5" t="s">
        <v>563</v>
      </c>
      <c r="C260" t="s">
        <v>541</v>
      </c>
      <c r="D260" s="5" t="s">
        <v>542</v>
      </c>
      <c r="E260">
        <v>7.0000000000000007E-2</v>
      </c>
      <c r="F260">
        <v>8.2799999999999999E-2</v>
      </c>
      <c r="G260">
        <v>8.4799999999999986E-2</v>
      </c>
      <c r="H260">
        <v>6.6100000000000006E-2</v>
      </c>
      <c r="I260">
        <v>7.6100000000000001E-2</v>
      </c>
      <c r="J260">
        <v>6.6799999999999998E-2</v>
      </c>
      <c r="K260">
        <v>4.8800000000000003E-2</v>
      </c>
      <c r="L260">
        <v>4.0300000000000002E-2</v>
      </c>
      <c r="M260">
        <v>7.7100000000000002E-2</v>
      </c>
      <c r="N260">
        <v>9.1399999999999995E-2</v>
      </c>
      <c r="O260">
        <v>7.1999999999999995E-2</v>
      </c>
      <c r="P260">
        <v>7.46E-2</v>
      </c>
      <c r="Q260">
        <v>7.6100000000000001E-2</v>
      </c>
      <c r="R260">
        <v>0.1021</v>
      </c>
      <c r="S260">
        <v>0.11179999999999998</v>
      </c>
      <c r="T260">
        <v>0.1191</v>
      </c>
      <c r="U260">
        <v>0.107</v>
      </c>
      <c r="V260">
        <v>0.10829999999999999</v>
      </c>
      <c r="W260">
        <v>0.11990000000000001</v>
      </c>
      <c r="X260">
        <v>0.1111</v>
      </c>
      <c r="Y260">
        <v>0.111</v>
      </c>
      <c r="Z260">
        <v>9.4699999999999993E-2</v>
      </c>
      <c r="AA260">
        <v>8.77E-2</v>
      </c>
      <c r="AB260">
        <v>8.829999999999999E-2</v>
      </c>
      <c r="AC260">
        <v>8.9099999999999999E-2</v>
      </c>
      <c r="AD260" t="s">
        <v>73</v>
      </c>
    </row>
    <row r="261" spans="1:30" x14ac:dyDescent="0.3">
      <c r="A261" t="s">
        <v>562</v>
      </c>
      <c r="B261" s="5" t="s">
        <v>563</v>
      </c>
      <c r="C261" t="s">
        <v>543</v>
      </c>
      <c r="D261" s="5" t="s">
        <v>544</v>
      </c>
      <c r="E261">
        <v>18.890699999999995</v>
      </c>
      <c r="F261">
        <v>19.528000000000002</v>
      </c>
      <c r="G261">
        <v>18.130600000000001</v>
      </c>
      <c r="H261">
        <v>19.183699999999998</v>
      </c>
      <c r="I261">
        <v>20.241700000000002</v>
      </c>
      <c r="J261">
        <v>21.5091</v>
      </c>
      <c r="K261">
        <v>23.233499999999999</v>
      </c>
      <c r="L261">
        <v>24.431299999999997</v>
      </c>
      <c r="M261">
        <v>25.425000000000001</v>
      </c>
      <c r="N261">
        <v>25.988100000000003</v>
      </c>
      <c r="O261">
        <v>27.526099999999996</v>
      </c>
      <c r="P261">
        <v>28.103099999999998</v>
      </c>
      <c r="Q261">
        <v>28.1004</v>
      </c>
      <c r="R261">
        <v>27.916100000000004</v>
      </c>
      <c r="S261">
        <v>28.331200000000003</v>
      </c>
      <c r="T261">
        <v>28.845300000000002</v>
      </c>
      <c r="U261">
        <v>27.784799999999997</v>
      </c>
      <c r="V261">
        <v>28.338399999999996</v>
      </c>
      <c r="W261">
        <v>29.572200000000002</v>
      </c>
      <c r="X261">
        <v>31.843500000000002</v>
      </c>
      <c r="Y261">
        <v>33.822099999999999</v>
      </c>
      <c r="Z261">
        <v>32.230999999999995</v>
      </c>
      <c r="AA261">
        <v>33.593800000000002</v>
      </c>
      <c r="AB261">
        <v>34.817700000000002</v>
      </c>
      <c r="AC261">
        <v>35.770200000000003</v>
      </c>
      <c r="AD261" t="s">
        <v>73</v>
      </c>
    </row>
    <row r="262" spans="1:30" x14ac:dyDescent="0.3">
      <c r="A262" t="s">
        <v>562</v>
      </c>
      <c r="B262" s="5" t="s">
        <v>563</v>
      </c>
      <c r="C262" t="s">
        <v>545</v>
      </c>
      <c r="D262" s="5" t="s">
        <v>546</v>
      </c>
      <c r="E262">
        <v>18.890699999999995</v>
      </c>
      <c r="F262">
        <v>19.528000000000002</v>
      </c>
      <c r="G262">
        <v>18.130600000000001</v>
      </c>
      <c r="H262">
        <v>19.183699999999998</v>
      </c>
      <c r="I262">
        <v>20.241700000000002</v>
      </c>
      <c r="J262">
        <v>21.5091</v>
      </c>
      <c r="K262">
        <v>23.233499999999999</v>
      </c>
      <c r="L262">
        <v>24.431299999999997</v>
      </c>
      <c r="M262">
        <v>25.425000000000001</v>
      </c>
      <c r="N262">
        <v>25.988100000000003</v>
      </c>
      <c r="O262">
        <v>27.526099999999996</v>
      </c>
      <c r="P262">
        <v>28.103099999999998</v>
      </c>
      <c r="Q262">
        <v>28.1004</v>
      </c>
      <c r="R262">
        <v>27.916100000000004</v>
      </c>
      <c r="S262">
        <v>28.331200000000003</v>
      </c>
      <c r="T262">
        <v>28.845300000000002</v>
      </c>
      <c r="U262">
        <v>27.784799999999997</v>
      </c>
      <c r="V262">
        <v>28.338399999999996</v>
      </c>
      <c r="W262">
        <v>29.572200000000002</v>
      </c>
      <c r="X262">
        <v>31.843500000000002</v>
      </c>
      <c r="Y262">
        <v>33.822099999999999</v>
      </c>
      <c r="Z262">
        <v>32.230999999999995</v>
      </c>
      <c r="AA262">
        <v>33.593800000000002</v>
      </c>
      <c r="AB262">
        <v>34.817700000000002</v>
      </c>
      <c r="AC262">
        <v>35.770200000000003</v>
      </c>
      <c r="AD262" t="s">
        <v>73</v>
      </c>
    </row>
    <row r="263" spans="1:30" x14ac:dyDescent="0.3">
      <c r="A263" t="s">
        <v>562</v>
      </c>
      <c r="B263" s="5" t="s">
        <v>563</v>
      </c>
      <c r="C263" t="s">
        <v>547</v>
      </c>
      <c r="D263" s="5" t="s">
        <v>548</v>
      </c>
      <c r="E263">
        <v>1.1031000000000002</v>
      </c>
      <c r="F263">
        <v>1.2437999999999998</v>
      </c>
      <c r="G263">
        <v>1.2148000000000001</v>
      </c>
      <c r="H263">
        <v>0.99049999999999994</v>
      </c>
      <c r="I263">
        <v>1.2552999999999999</v>
      </c>
      <c r="J263">
        <v>1.1152</v>
      </c>
      <c r="K263">
        <v>1.3415999999999999</v>
      </c>
      <c r="L263">
        <v>1.2373999999999998</v>
      </c>
      <c r="M263">
        <v>1.2899</v>
      </c>
      <c r="N263">
        <v>1.2809000000000001</v>
      </c>
      <c r="O263">
        <v>1.8025000000000002</v>
      </c>
      <c r="P263">
        <v>1.4696999999999998</v>
      </c>
      <c r="Q263">
        <v>1.7689999999999999</v>
      </c>
      <c r="R263">
        <v>2.7014</v>
      </c>
      <c r="S263">
        <v>2.6343999999999994</v>
      </c>
      <c r="T263">
        <v>2.3924000000000007</v>
      </c>
      <c r="U263">
        <v>2.9842</v>
      </c>
      <c r="V263">
        <v>3.2690999999999999</v>
      </c>
      <c r="W263">
        <v>3.0781999999999998</v>
      </c>
      <c r="X263">
        <v>3.0687000000000002</v>
      </c>
      <c r="Y263">
        <v>3.4157999999999999</v>
      </c>
      <c r="Z263">
        <v>4.2658000000000014</v>
      </c>
      <c r="AA263">
        <v>4.0980999999999996</v>
      </c>
      <c r="AB263">
        <v>4.2202000000000002</v>
      </c>
      <c r="AC263">
        <v>4.3582000000000001</v>
      </c>
      <c r="AD263" t="s">
        <v>73</v>
      </c>
    </row>
    <row r="264" spans="1:30" x14ac:dyDescent="0.3">
      <c r="A264" t="s">
        <v>562</v>
      </c>
      <c r="B264" s="5" t="s">
        <v>563</v>
      </c>
      <c r="C264" t="s">
        <v>549</v>
      </c>
      <c r="D264" s="5" t="s">
        <v>550</v>
      </c>
      <c r="E264">
        <v>0.96629999999999994</v>
      </c>
      <c r="F264">
        <v>1.0495000000000001</v>
      </c>
      <c r="G264">
        <v>1.0608</v>
      </c>
      <c r="H264">
        <v>0.95850000000000002</v>
      </c>
      <c r="I264">
        <v>1.0798000000000001</v>
      </c>
      <c r="J264">
        <v>0.92719999999999991</v>
      </c>
      <c r="K264">
        <v>1.1702999999999999</v>
      </c>
      <c r="L264">
        <v>1.0645</v>
      </c>
      <c r="M264">
        <v>1.1291</v>
      </c>
      <c r="N264">
        <v>1.1002000000000001</v>
      </c>
      <c r="O264">
        <v>1.6138999999999999</v>
      </c>
      <c r="P264">
        <v>1.2392000000000001</v>
      </c>
      <c r="Q264">
        <v>1.4441999999999999</v>
      </c>
      <c r="R264">
        <v>2.4207000000000001</v>
      </c>
      <c r="S264">
        <v>2.2946</v>
      </c>
      <c r="T264">
        <v>1.9074000000000002</v>
      </c>
      <c r="U264">
        <v>2.5194000000000001</v>
      </c>
      <c r="V264">
        <v>2.9335</v>
      </c>
      <c r="W264">
        <v>2.7264000000000004</v>
      </c>
      <c r="X264">
        <v>2.7315</v>
      </c>
      <c r="Y264">
        <v>3.0096999999999996</v>
      </c>
      <c r="Z264">
        <v>4.0028000000000006</v>
      </c>
      <c r="AA264">
        <v>3.6449000000000003</v>
      </c>
      <c r="AB264">
        <v>3.7429000000000006</v>
      </c>
      <c r="AC264">
        <v>3.8555000000000001</v>
      </c>
      <c r="AD264" t="s">
        <v>73</v>
      </c>
    </row>
    <row r="265" spans="1:30" x14ac:dyDescent="0.3">
      <c r="A265" t="s">
        <v>562</v>
      </c>
      <c r="B265" s="5" t="s">
        <v>563</v>
      </c>
      <c r="C265" t="s">
        <v>551</v>
      </c>
      <c r="D265" s="5" t="s">
        <v>552</v>
      </c>
      <c r="E265">
        <v>1.1031</v>
      </c>
      <c r="F265">
        <v>1.2437999999999998</v>
      </c>
      <c r="G265">
        <v>1.2147999999999999</v>
      </c>
      <c r="H265">
        <v>0.99050000000000005</v>
      </c>
      <c r="I265">
        <v>1.2553000000000001</v>
      </c>
      <c r="J265">
        <v>1.1152</v>
      </c>
      <c r="K265">
        <v>1.3415999999999999</v>
      </c>
      <c r="L265">
        <v>1.2373999999999998</v>
      </c>
      <c r="M265">
        <v>1.2899</v>
      </c>
      <c r="N265">
        <v>1.2809000000000001</v>
      </c>
      <c r="O265">
        <v>1.8025</v>
      </c>
      <c r="P265">
        <v>1.4697000000000002</v>
      </c>
      <c r="Q265">
        <v>1.7689999999999999</v>
      </c>
      <c r="R265">
        <v>2.7014</v>
      </c>
      <c r="S265">
        <v>2.6343999999999999</v>
      </c>
      <c r="T265">
        <v>2.3924000000000007</v>
      </c>
      <c r="U265">
        <v>2.9842000000000004</v>
      </c>
      <c r="V265">
        <v>3.2691000000000003</v>
      </c>
      <c r="W265">
        <v>3.0781999999999998</v>
      </c>
      <c r="X265">
        <v>3.0687000000000002</v>
      </c>
      <c r="Y265">
        <v>3.4158000000000004</v>
      </c>
      <c r="Z265">
        <v>4.2658000000000014</v>
      </c>
      <c r="AA265">
        <v>4.0980999999999996</v>
      </c>
      <c r="AB265">
        <v>4.2201999999999993</v>
      </c>
      <c r="AC265">
        <v>4.358200000000001</v>
      </c>
      <c r="AD265" t="s">
        <v>73</v>
      </c>
    </row>
    <row r="266" spans="1:30" x14ac:dyDescent="0.3">
      <c r="A266" t="s">
        <v>562</v>
      </c>
      <c r="B266" s="5" t="s">
        <v>563</v>
      </c>
      <c r="C266" t="s">
        <v>553</v>
      </c>
      <c r="D266" s="5" t="s">
        <v>554</v>
      </c>
      <c r="E266">
        <v>47.092799999999997</v>
      </c>
      <c r="F266">
        <v>47.464899999999986</v>
      </c>
      <c r="G266">
        <v>54.182100000000013</v>
      </c>
      <c r="H266">
        <v>54.000700000000002</v>
      </c>
      <c r="I266">
        <v>55.570900000000009</v>
      </c>
      <c r="J266">
        <v>45.671799999999998</v>
      </c>
      <c r="K266">
        <v>49.296700000000008</v>
      </c>
      <c r="L266">
        <v>49.281100000000009</v>
      </c>
      <c r="M266">
        <v>47.625200000000014</v>
      </c>
      <c r="N266">
        <v>54.776900000000005</v>
      </c>
      <c r="O266">
        <v>51.142499999999984</v>
      </c>
      <c r="P266">
        <v>56.498699999999999</v>
      </c>
      <c r="Q266">
        <v>57.998300000000008</v>
      </c>
      <c r="R266">
        <v>60.4542</v>
      </c>
      <c r="S266">
        <v>56.886400000000009</v>
      </c>
      <c r="T266">
        <v>57.801200000000001</v>
      </c>
      <c r="U266">
        <v>54.893999999999991</v>
      </c>
      <c r="V266">
        <v>52.037500000000001</v>
      </c>
      <c r="W266">
        <v>52.117999999999995</v>
      </c>
      <c r="X266">
        <v>54.397200000000005</v>
      </c>
      <c r="Y266">
        <v>56.06280000000001</v>
      </c>
      <c r="Z266">
        <v>57.127699999999997</v>
      </c>
      <c r="AA266">
        <v>52.813300000000005</v>
      </c>
      <c r="AB266">
        <v>53.029400000000003</v>
      </c>
      <c r="AC266">
        <v>53.504500000000007</v>
      </c>
      <c r="AD266" t="s">
        <v>73</v>
      </c>
    </row>
    <row r="267" spans="1:30" x14ac:dyDescent="0.3">
      <c r="A267" t="s">
        <v>562</v>
      </c>
      <c r="B267" s="5" t="s">
        <v>563</v>
      </c>
      <c r="C267" t="s">
        <v>555</v>
      </c>
      <c r="D267" s="5" t="s">
        <v>556</v>
      </c>
      <c r="E267">
        <v>107.02767802891999</v>
      </c>
      <c r="F267">
        <v>108.41556033102999</v>
      </c>
      <c r="G267">
        <v>113.34434811294</v>
      </c>
      <c r="H267">
        <v>114.83148432566</v>
      </c>
      <c r="I267">
        <v>119.22198111098</v>
      </c>
      <c r="J267">
        <v>108.57124340471</v>
      </c>
      <c r="K267">
        <v>112.74371651708</v>
      </c>
      <c r="L267">
        <v>116.35058061298</v>
      </c>
      <c r="M267">
        <v>114.31117956159</v>
      </c>
      <c r="N267">
        <v>124.87155145280001</v>
      </c>
      <c r="O267">
        <v>123.73625519892001</v>
      </c>
      <c r="P267">
        <v>130.65426660736</v>
      </c>
      <c r="Q267">
        <v>133.73971403003</v>
      </c>
      <c r="R267">
        <v>137.36562764583999</v>
      </c>
      <c r="S267">
        <v>134.47194721084</v>
      </c>
      <c r="T267">
        <v>137.57572796433001</v>
      </c>
      <c r="U267">
        <v>136.71626147647001</v>
      </c>
      <c r="V267">
        <v>134.63867622378001</v>
      </c>
      <c r="W267">
        <v>134.42276200344</v>
      </c>
      <c r="X267">
        <v>140.17623275078</v>
      </c>
      <c r="Y267">
        <v>145.67817037596001</v>
      </c>
      <c r="Z267">
        <v>142.28027049581999</v>
      </c>
      <c r="AA267">
        <v>140.59882085538001</v>
      </c>
      <c r="AB267">
        <v>142.00671577711</v>
      </c>
      <c r="AC267">
        <v>143.47393777721999</v>
      </c>
      <c r="AD267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6A9D-2779-4122-AC8F-E67CB6130B87}">
  <dimension ref="A1:AD267"/>
  <sheetViews>
    <sheetView topLeftCell="B1" workbookViewId="0">
      <selection activeCell="C2" sqref="C2"/>
    </sheetView>
  </sheetViews>
  <sheetFormatPr defaultRowHeight="14.4" x14ac:dyDescent="0.3"/>
  <cols>
    <col min="1" max="1" width="46.5546875" bestFit="1" customWidth="1"/>
    <col min="2" max="2" width="14.6640625" bestFit="1" customWidth="1"/>
    <col min="3" max="3" width="60.109375" bestFit="1" customWidth="1"/>
  </cols>
  <sheetData>
    <row r="1" spans="1:30" x14ac:dyDescent="0.3">
      <c r="A1" t="s">
        <v>59</v>
      </c>
      <c r="B1" s="5" t="s">
        <v>60</v>
      </c>
      <c r="C1" t="s">
        <v>61</v>
      </c>
      <c r="D1" s="5" t="s">
        <v>62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</row>
    <row r="2" spans="1:30" x14ac:dyDescent="0.3">
      <c r="A2" t="s">
        <v>566</v>
      </c>
      <c r="B2" s="5" t="s">
        <v>567</v>
      </c>
      <c r="C2" t="s">
        <v>65</v>
      </c>
      <c r="D2" s="5" t="s">
        <v>66</v>
      </c>
      <c r="E2" t="s">
        <v>73</v>
      </c>
      <c r="F2" t="s">
        <v>73</v>
      </c>
      <c r="G2">
        <v>38.627891863844262</v>
      </c>
      <c r="H2">
        <v>37.418855443148132</v>
      </c>
      <c r="I2">
        <v>29.721067137695691</v>
      </c>
      <c r="J2">
        <v>31.114854912061997</v>
      </c>
      <c r="K2">
        <v>28.63596858446855</v>
      </c>
      <c r="L2">
        <v>30.105011357401256</v>
      </c>
      <c r="M2">
        <v>24.892270005974172</v>
      </c>
      <c r="N2">
        <v>29.297501054725888</v>
      </c>
      <c r="O2">
        <v>26.21006853745515</v>
      </c>
      <c r="P2">
        <v>23.743663987754339</v>
      </c>
      <c r="Q2">
        <v>24.390873626370986</v>
      </c>
      <c r="R2">
        <v>22.810662736176635</v>
      </c>
      <c r="S2">
        <v>22.137041371957359</v>
      </c>
      <c r="T2">
        <v>20.634322716679801</v>
      </c>
      <c r="U2">
        <v>25.740314036458191</v>
      </c>
      <c r="V2">
        <v>26.420199083444835</v>
      </c>
      <c r="W2">
        <v>22.042896752757535</v>
      </c>
      <c r="X2">
        <v>25.773970739410473</v>
      </c>
      <c r="Y2">
        <v>29.975582521046068</v>
      </c>
      <c r="Z2">
        <v>33.597618872545105</v>
      </c>
      <c r="AA2">
        <v>33.701432321392254</v>
      </c>
      <c r="AB2">
        <v>34.743247144517397</v>
      </c>
      <c r="AC2" t="s">
        <v>73</v>
      </c>
      <c r="AD2" t="s">
        <v>73</v>
      </c>
    </row>
    <row r="3" spans="1:30" x14ac:dyDescent="0.3">
      <c r="A3" t="s">
        <v>566</v>
      </c>
      <c r="B3" s="5" t="s">
        <v>567</v>
      </c>
      <c r="C3" t="s">
        <v>67</v>
      </c>
      <c r="D3" s="5" t="s">
        <v>68</v>
      </c>
      <c r="E3">
        <v>22.17901394736872</v>
      </c>
      <c r="F3">
        <v>20.452405414131871</v>
      </c>
      <c r="G3">
        <v>19.763916469680932</v>
      </c>
      <c r="H3">
        <v>19.807620331469234</v>
      </c>
      <c r="I3">
        <v>18.563079991399498</v>
      </c>
      <c r="J3">
        <v>17.124717895572875</v>
      </c>
      <c r="K3">
        <v>16.041575033486794</v>
      </c>
      <c r="L3">
        <v>15.532549448123401</v>
      </c>
      <c r="M3">
        <v>15.422100399492001</v>
      </c>
      <c r="N3">
        <v>15.279221727152773</v>
      </c>
      <c r="O3">
        <v>16.358608191425244</v>
      </c>
      <c r="P3">
        <v>16.720222949178634</v>
      </c>
      <c r="Q3">
        <v>17.591368551637093</v>
      </c>
      <c r="R3">
        <v>18.924817420614023</v>
      </c>
      <c r="S3">
        <v>19.237758916428209</v>
      </c>
      <c r="T3">
        <v>18.747160277341159</v>
      </c>
      <c r="U3">
        <v>19.167190753496964</v>
      </c>
      <c r="V3">
        <v>18.079078214295993</v>
      </c>
      <c r="W3">
        <v>17.915555817954939</v>
      </c>
      <c r="X3">
        <v>18.160397370671323</v>
      </c>
      <c r="Y3">
        <v>18.806137864916863</v>
      </c>
      <c r="Z3">
        <v>17.793224984540966</v>
      </c>
      <c r="AA3">
        <v>16.984475447657445</v>
      </c>
      <c r="AB3">
        <v>16.274238831300625</v>
      </c>
      <c r="AC3">
        <v>15.451903129433084</v>
      </c>
      <c r="AD3" t="s">
        <v>73</v>
      </c>
    </row>
    <row r="4" spans="1:30" x14ac:dyDescent="0.3">
      <c r="A4" t="s">
        <v>566</v>
      </c>
      <c r="B4" s="5" t="s">
        <v>567</v>
      </c>
      <c r="C4" t="s">
        <v>69</v>
      </c>
      <c r="D4" s="5" t="s">
        <v>70</v>
      </c>
      <c r="E4">
        <v>8.3950484950457298</v>
      </c>
      <c r="F4">
        <v>8.886179657498996</v>
      </c>
      <c r="G4">
        <v>8.413026447859119</v>
      </c>
      <c r="H4">
        <v>8.4567195073532329</v>
      </c>
      <c r="I4">
        <v>7.7221740341564056</v>
      </c>
      <c r="J4">
        <v>6.559271369984196</v>
      </c>
      <c r="K4">
        <v>6.3660027142626276</v>
      </c>
      <c r="L4">
        <v>6.3260187840114179</v>
      </c>
      <c r="M4">
        <v>5.5497509204962814</v>
      </c>
      <c r="N4">
        <v>8.0112174149781463</v>
      </c>
      <c r="O4">
        <v>7.5317156149137725</v>
      </c>
      <c r="P4">
        <v>7.0835251217136683</v>
      </c>
      <c r="Q4">
        <v>8.0269716741209454</v>
      </c>
      <c r="R4">
        <v>9.1200746419498397</v>
      </c>
      <c r="S4">
        <v>9.4070744085637266</v>
      </c>
      <c r="T4">
        <v>10.532789696501805</v>
      </c>
      <c r="U4">
        <v>11.068313054579384</v>
      </c>
      <c r="V4">
        <v>11.031880930478364</v>
      </c>
      <c r="W4">
        <v>11.243830135499515</v>
      </c>
      <c r="X4">
        <v>11.479179885716384</v>
      </c>
      <c r="Y4">
        <v>12.834169388718584</v>
      </c>
      <c r="Z4">
        <v>11.235434560508907</v>
      </c>
      <c r="AA4">
        <v>10.647063855347213</v>
      </c>
      <c r="AB4">
        <v>13.369245043485634</v>
      </c>
      <c r="AC4">
        <v>13.959706150576709</v>
      </c>
      <c r="AD4" t="s">
        <v>73</v>
      </c>
    </row>
    <row r="5" spans="1:30" x14ac:dyDescent="0.3">
      <c r="A5" t="s">
        <v>566</v>
      </c>
      <c r="B5" s="5" t="s">
        <v>567</v>
      </c>
      <c r="C5" t="s">
        <v>71</v>
      </c>
      <c r="D5" s="5" t="s">
        <v>72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</row>
    <row r="6" spans="1:30" x14ac:dyDescent="0.3">
      <c r="A6" t="s">
        <v>566</v>
      </c>
      <c r="B6" s="5" t="s">
        <v>567</v>
      </c>
      <c r="C6" t="s">
        <v>74</v>
      </c>
      <c r="D6" s="5" t="s">
        <v>75</v>
      </c>
      <c r="E6">
        <v>0.51705574789341679</v>
      </c>
      <c r="F6">
        <v>0.44195315527943119</v>
      </c>
      <c r="G6">
        <v>0.38588724589056878</v>
      </c>
      <c r="H6">
        <v>0.41911789303652591</v>
      </c>
      <c r="I6">
        <v>0.41474199788125599</v>
      </c>
      <c r="J6">
        <v>0.38057680803501148</v>
      </c>
      <c r="K6">
        <v>0.35352233832886287</v>
      </c>
      <c r="L6">
        <v>0.36879668394643617</v>
      </c>
      <c r="M6">
        <v>0.40691796390440477</v>
      </c>
      <c r="N6">
        <v>0.41892893331921782</v>
      </c>
      <c r="O6">
        <v>0.46650860197286254</v>
      </c>
      <c r="P6">
        <v>0.49056082724127614</v>
      </c>
      <c r="Q6">
        <v>0.60116445393557227</v>
      </c>
      <c r="R6">
        <v>0.5855589842547847</v>
      </c>
      <c r="S6">
        <v>0.53762349300967638</v>
      </c>
      <c r="T6">
        <v>0.51342010968339757</v>
      </c>
      <c r="U6">
        <v>0.5219996484336189</v>
      </c>
      <c r="V6">
        <v>0.55953851251619124</v>
      </c>
      <c r="W6">
        <v>0.5463678828152807</v>
      </c>
      <c r="X6">
        <v>0.52263324841577907</v>
      </c>
      <c r="Y6">
        <v>0.55944276971581408</v>
      </c>
      <c r="Z6">
        <v>0.53184487916982393</v>
      </c>
      <c r="AA6">
        <v>0.48749186215661411</v>
      </c>
      <c r="AB6">
        <v>0.47849213558895959</v>
      </c>
      <c r="AC6">
        <v>0.46592379640818032</v>
      </c>
      <c r="AD6" t="s">
        <v>73</v>
      </c>
    </row>
    <row r="7" spans="1:30" x14ac:dyDescent="0.3">
      <c r="A7" t="s">
        <v>566</v>
      </c>
      <c r="B7" s="5" t="s">
        <v>567</v>
      </c>
      <c r="C7" t="s">
        <v>76</v>
      </c>
      <c r="D7" s="5" t="s">
        <v>77</v>
      </c>
      <c r="E7" t="s">
        <v>73</v>
      </c>
      <c r="F7" t="s">
        <v>73</v>
      </c>
      <c r="G7">
        <v>9.3867906039344984</v>
      </c>
      <c r="H7">
        <v>10.00007684629395</v>
      </c>
      <c r="I7">
        <v>10.363591444992622</v>
      </c>
      <c r="J7">
        <v>8.5653673168135516</v>
      </c>
      <c r="K7">
        <v>8.4410089784327536</v>
      </c>
      <c r="L7">
        <v>8.6162404218655446</v>
      </c>
      <c r="M7">
        <v>7.8183180329579525</v>
      </c>
      <c r="N7">
        <v>10.366147457300096</v>
      </c>
      <c r="O7">
        <v>10.091306858865346</v>
      </c>
      <c r="P7">
        <v>9.5563060221644438</v>
      </c>
      <c r="Q7">
        <v>9.6969793236660333</v>
      </c>
      <c r="R7">
        <v>10.329550703440447</v>
      </c>
      <c r="S7">
        <v>11.478215893010914</v>
      </c>
      <c r="T7">
        <v>13.663772327979595</v>
      </c>
      <c r="U7">
        <v>14.671141326956159</v>
      </c>
      <c r="V7">
        <v>14.928326001911252</v>
      </c>
      <c r="W7">
        <v>13.33979056789306</v>
      </c>
      <c r="X7">
        <v>12.391158567315602</v>
      </c>
      <c r="Y7">
        <v>15.022367426867619</v>
      </c>
      <c r="Z7">
        <v>16.561923695764047</v>
      </c>
      <c r="AA7">
        <v>18.989092980165253</v>
      </c>
      <c r="AB7">
        <v>20.689762325646782</v>
      </c>
      <c r="AC7">
        <v>22.069326284466687</v>
      </c>
      <c r="AD7" t="s">
        <v>73</v>
      </c>
    </row>
    <row r="8" spans="1:30" x14ac:dyDescent="0.3">
      <c r="A8" t="s">
        <v>566</v>
      </c>
      <c r="B8" s="5" t="s">
        <v>567</v>
      </c>
      <c r="C8" t="s">
        <v>78</v>
      </c>
      <c r="D8" s="5" t="s">
        <v>79</v>
      </c>
      <c r="E8">
        <v>1.2890973441141773</v>
      </c>
      <c r="F8">
        <v>1.2898788602483553</v>
      </c>
      <c r="G8">
        <v>1.361733715487556</v>
      </c>
      <c r="H8">
        <v>1.3602253239422315</v>
      </c>
      <c r="I8">
        <v>1.2410278987690764</v>
      </c>
      <c r="J8">
        <v>1.3291155634413894</v>
      </c>
      <c r="K8">
        <v>1.2326984704197823</v>
      </c>
      <c r="L8">
        <v>1.1790544157891198</v>
      </c>
      <c r="M8">
        <v>1.1303895016917798</v>
      </c>
      <c r="N8">
        <v>1.1120311999145209</v>
      </c>
      <c r="O8">
        <v>1.2146488130216742</v>
      </c>
      <c r="P8">
        <v>1.415185262970134</v>
      </c>
      <c r="Q8">
        <v>1.3770194611875368</v>
      </c>
      <c r="R8">
        <v>1.484000402365012</v>
      </c>
      <c r="S8">
        <v>1.4412318569997127</v>
      </c>
      <c r="T8">
        <v>1.4456831761229101</v>
      </c>
      <c r="U8">
        <v>1.4585037531732279</v>
      </c>
      <c r="V8">
        <v>1.6609115105535328</v>
      </c>
      <c r="W8">
        <v>1.6267919119597514</v>
      </c>
      <c r="X8">
        <v>1.6467120463550726</v>
      </c>
      <c r="Y8">
        <v>2.2789406572878352</v>
      </c>
      <c r="Z8">
        <v>2.0808000480842583</v>
      </c>
      <c r="AA8">
        <v>1.9556603230728629</v>
      </c>
      <c r="AB8">
        <v>1.9432678068254421</v>
      </c>
      <c r="AC8" t="s">
        <v>73</v>
      </c>
      <c r="AD8" t="s">
        <v>73</v>
      </c>
    </row>
    <row r="9" spans="1:30" x14ac:dyDescent="0.3">
      <c r="A9" t="s">
        <v>566</v>
      </c>
      <c r="B9" s="5" t="s">
        <v>567</v>
      </c>
      <c r="C9" t="s">
        <v>80</v>
      </c>
      <c r="D9" s="5" t="s">
        <v>81</v>
      </c>
      <c r="E9">
        <v>4.679910944172974</v>
      </c>
      <c r="F9">
        <v>4.5685896089178595</v>
      </c>
      <c r="G9">
        <v>10.206646714441103</v>
      </c>
      <c r="H9">
        <v>10.328166939116995</v>
      </c>
      <c r="I9">
        <v>8.362486610028256</v>
      </c>
      <c r="J9">
        <v>7.9387542742093835</v>
      </c>
      <c r="K9">
        <v>6.9355722912639237</v>
      </c>
      <c r="L9">
        <v>7.4523539460692305</v>
      </c>
      <c r="M9">
        <v>7.3189545972435974</v>
      </c>
      <c r="N9">
        <v>5.2736234689013957</v>
      </c>
      <c r="O9">
        <v>7.1321674507896375</v>
      </c>
      <c r="P9">
        <v>6.9987337702251935</v>
      </c>
      <c r="Q9">
        <v>5.7817442068500986</v>
      </c>
      <c r="R9">
        <v>6.0529184367045143</v>
      </c>
      <c r="S9">
        <v>6.7127035142855851</v>
      </c>
      <c r="T9">
        <v>5.1566859021408034</v>
      </c>
      <c r="U9">
        <v>6.2645658201025425</v>
      </c>
      <c r="V9">
        <v>5.2316223772505843</v>
      </c>
      <c r="W9">
        <v>4.5378788968114625</v>
      </c>
      <c r="X9">
        <v>5.3185559967348039</v>
      </c>
      <c r="Y9">
        <v>6.3570336757552655</v>
      </c>
      <c r="Z9">
        <v>7.2912824962204148</v>
      </c>
      <c r="AA9">
        <v>6.5415694048483672</v>
      </c>
      <c r="AB9">
        <v>5.846778603906901</v>
      </c>
      <c r="AC9">
        <v>5.8060171091595922</v>
      </c>
      <c r="AD9" t="s">
        <v>73</v>
      </c>
    </row>
    <row r="10" spans="1:30" x14ac:dyDescent="0.3">
      <c r="A10" t="s">
        <v>566</v>
      </c>
      <c r="B10" s="5" t="s">
        <v>567</v>
      </c>
      <c r="C10" t="s">
        <v>82</v>
      </c>
      <c r="D10" s="5" t="s">
        <v>83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>
        <v>17.912681952639666</v>
      </c>
      <c r="R10">
        <v>18.434762883496763</v>
      </c>
      <c r="S10">
        <v>18.072036347066245</v>
      </c>
      <c r="T10">
        <v>17.223120031805646</v>
      </c>
      <c r="U10">
        <v>16.390473533849974</v>
      </c>
      <c r="V10">
        <v>14.994260124277622</v>
      </c>
      <c r="W10">
        <v>13.942311655414613</v>
      </c>
      <c r="X10">
        <v>11.525610737958814</v>
      </c>
      <c r="Y10">
        <v>11.349805155454892</v>
      </c>
      <c r="Z10">
        <v>11.3435484176857</v>
      </c>
      <c r="AA10">
        <v>10.146703925568268</v>
      </c>
      <c r="AB10">
        <v>8.1022379918879874</v>
      </c>
      <c r="AC10">
        <v>7.8058862175467327</v>
      </c>
      <c r="AD10" t="s">
        <v>73</v>
      </c>
    </row>
    <row r="11" spans="1:30" x14ac:dyDescent="0.3">
      <c r="A11" t="s">
        <v>566</v>
      </c>
      <c r="B11" s="5" t="s">
        <v>567</v>
      </c>
      <c r="C11" t="s">
        <v>84</v>
      </c>
      <c r="D11" s="5" t="s">
        <v>85</v>
      </c>
      <c r="E11">
        <v>1.8607536052101102E-2</v>
      </c>
      <c r="F11">
        <v>1.8617486651085324E-2</v>
      </c>
      <c r="G11">
        <v>1.8053933992083607E-2</v>
      </c>
      <c r="H11">
        <v>1.8010582241948531E-2</v>
      </c>
      <c r="I11">
        <v>1.7566258116961549E-2</v>
      </c>
      <c r="J11">
        <v>1.7327777397713445E-2</v>
      </c>
      <c r="K11">
        <v>1.7507703728937316E-2</v>
      </c>
      <c r="L11">
        <v>1.7838596379954174E-2</v>
      </c>
      <c r="M11">
        <v>1.6997398710241314E-2</v>
      </c>
      <c r="N11">
        <v>1.9906853426494491E-2</v>
      </c>
      <c r="O11">
        <v>2.0492087891020343E-2</v>
      </c>
      <c r="P11">
        <v>2.0394902926192053E-2</v>
      </c>
      <c r="Q11">
        <v>2.1468748658203207E-2</v>
      </c>
      <c r="R11">
        <v>1.7817463161882915E-2</v>
      </c>
      <c r="S11">
        <v>1.481297320193025E-2</v>
      </c>
      <c r="T11">
        <v>1.2519790791279062E-2</v>
      </c>
      <c r="U11">
        <v>1.8611754127867995E-2</v>
      </c>
      <c r="V11">
        <v>2.3918578557174976E-2</v>
      </c>
      <c r="W11">
        <v>2.2253006969539468E-2</v>
      </c>
      <c r="X11">
        <v>1.8424324734019351E-2</v>
      </c>
      <c r="Y11">
        <v>2.1700602355479583E-2</v>
      </c>
      <c r="Z11">
        <v>2.9998546665170166E-2</v>
      </c>
      <c r="AA11">
        <v>3.4214431533221873E-2</v>
      </c>
      <c r="AB11" t="s">
        <v>73</v>
      </c>
      <c r="AC11" t="s">
        <v>73</v>
      </c>
      <c r="AD11" t="s">
        <v>73</v>
      </c>
    </row>
    <row r="12" spans="1:30" x14ac:dyDescent="0.3">
      <c r="A12" t="s">
        <v>566</v>
      </c>
      <c r="B12" s="5" t="s">
        <v>567</v>
      </c>
      <c r="C12" t="s">
        <v>5</v>
      </c>
      <c r="D12" s="5" t="s">
        <v>86</v>
      </c>
      <c r="E12">
        <v>3.1063067622916862</v>
      </c>
      <c r="F12">
        <v>3.5018708625155903</v>
      </c>
      <c r="G12">
        <v>3.9442512389713404</v>
      </c>
      <c r="H12">
        <v>2.8873358493568229</v>
      </c>
      <c r="I12">
        <v>3.0582191662112308</v>
      </c>
      <c r="J12">
        <v>2.8892149353241345</v>
      </c>
      <c r="K12">
        <v>2.7401131918318922</v>
      </c>
      <c r="L12">
        <v>2.2128103415406728</v>
      </c>
      <c r="M12">
        <v>2.3541791077600278</v>
      </c>
      <c r="N12">
        <v>2.3142357064120143</v>
      </c>
      <c r="O12">
        <v>2.2182483732055589</v>
      </c>
      <c r="P12">
        <v>2.3048596226149898</v>
      </c>
      <c r="Q12">
        <v>2.273178564953509</v>
      </c>
      <c r="R12">
        <v>2.2907681325216136</v>
      </c>
      <c r="S12">
        <v>2.2269576926596679</v>
      </c>
      <c r="T12">
        <v>2.3766439148705505</v>
      </c>
      <c r="U12">
        <v>2.4130023233025382</v>
      </c>
      <c r="V12">
        <v>2.7209831965106677</v>
      </c>
      <c r="W12">
        <v>2.4719175263084736</v>
      </c>
      <c r="X12">
        <v>2.1242491119766163</v>
      </c>
      <c r="Y12">
        <v>2.0151271539653477</v>
      </c>
      <c r="Z12">
        <v>2.3053787548008797</v>
      </c>
      <c r="AA12">
        <v>2.6724269995061838</v>
      </c>
      <c r="AB12">
        <v>2.5716983189452285</v>
      </c>
      <c r="AC12">
        <v>2.0356526524939134</v>
      </c>
      <c r="AD12" t="s">
        <v>73</v>
      </c>
    </row>
    <row r="13" spans="1:30" x14ac:dyDescent="0.3">
      <c r="A13" t="s">
        <v>566</v>
      </c>
      <c r="B13" s="5" t="s">
        <v>567</v>
      </c>
      <c r="C13" t="s">
        <v>6</v>
      </c>
      <c r="D13" s="5" t="s">
        <v>87</v>
      </c>
      <c r="E13">
        <v>1.6708960115050921</v>
      </c>
      <c r="F13">
        <v>1.7082552734698775</v>
      </c>
      <c r="G13">
        <v>1.5922342629838409</v>
      </c>
      <c r="H13">
        <v>1.486930755901904</v>
      </c>
      <c r="I13">
        <v>1.4931762753994029</v>
      </c>
      <c r="J13">
        <v>1.2823949829425367</v>
      </c>
      <c r="K13">
        <v>1.3275179680062377</v>
      </c>
      <c r="L13">
        <v>1.4619634033560616</v>
      </c>
      <c r="M13">
        <v>1.3850411478541662</v>
      </c>
      <c r="N13">
        <v>1.1765530636883335</v>
      </c>
      <c r="O13">
        <v>1.2928859599085472</v>
      </c>
      <c r="P13">
        <v>1.4613064807108107</v>
      </c>
      <c r="Q13">
        <v>1.4176813431630579</v>
      </c>
      <c r="R13">
        <v>1.2778499210887166</v>
      </c>
      <c r="S13">
        <v>1.27555801772568</v>
      </c>
      <c r="T13">
        <v>1.1436285417298944</v>
      </c>
      <c r="U13">
        <v>1.1492826407726808</v>
      </c>
      <c r="V13">
        <v>1.1999020307668142</v>
      </c>
      <c r="W13">
        <v>1.1091141402141187</v>
      </c>
      <c r="X13">
        <v>1.0446341365349903</v>
      </c>
      <c r="Y13">
        <v>1.0713811327287088</v>
      </c>
      <c r="Z13">
        <v>1.2152388657487989</v>
      </c>
      <c r="AA13">
        <v>1.3464959645730148</v>
      </c>
      <c r="AB13">
        <v>1.2417617203893359</v>
      </c>
      <c r="AC13">
        <v>1.2166337579244761</v>
      </c>
      <c r="AD13" t="s">
        <v>73</v>
      </c>
    </row>
    <row r="14" spans="1:30" x14ac:dyDescent="0.3">
      <c r="A14" t="s">
        <v>566</v>
      </c>
      <c r="B14" s="5" t="s">
        <v>567</v>
      </c>
      <c r="C14" t="s">
        <v>88</v>
      </c>
      <c r="D14" s="5" t="s">
        <v>89</v>
      </c>
      <c r="E14">
        <v>16.084864670100252</v>
      </c>
      <c r="F14">
        <v>14.837459553013771</v>
      </c>
      <c r="G14">
        <v>13.954639175257732</v>
      </c>
      <c r="H14">
        <v>12.425662911914923</v>
      </c>
      <c r="I14">
        <v>10.988019038240603</v>
      </c>
      <c r="J14">
        <v>9.1475344380115793</v>
      </c>
      <c r="K14">
        <v>7.0910371168556825</v>
      </c>
      <c r="L14">
        <v>6.5400821565205129</v>
      </c>
      <c r="M14">
        <v>5.5708918409854205</v>
      </c>
      <c r="N14">
        <v>6.1219330646180641</v>
      </c>
      <c r="O14">
        <v>5.5445661132697515</v>
      </c>
      <c r="P14">
        <v>5.0762259513843553</v>
      </c>
      <c r="Q14">
        <v>5.1397695077241758</v>
      </c>
      <c r="R14">
        <v>5.3662644804234985</v>
      </c>
      <c r="S14">
        <v>5.3194067180555162</v>
      </c>
      <c r="T14">
        <v>6.1776388378080176</v>
      </c>
      <c r="U14">
        <v>5.6051117745576349</v>
      </c>
      <c r="V14">
        <v>5.6073690106884202</v>
      </c>
      <c r="W14">
        <v>5.2123807621235576</v>
      </c>
      <c r="X14">
        <v>5.6953802496330725</v>
      </c>
      <c r="Y14">
        <v>6.7389474235340963</v>
      </c>
      <c r="Z14">
        <v>5.7259836572134866</v>
      </c>
      <c r="AA14">
        <v>4.6122083081105325</v>
      </c>
      <c r="AB14">
        <v>5.5105889461732627</v>
      </c>
      <c r="AC14">
        <v>5.6571709000530328</v>
      </c>
      <c r="AD14" t="s">
        <v>73</v>
      </c>
    </row>
    <row r="15" spans="1:30" x14ac:dyDescent="0.3">
      <c r="A15" t="s">
        <v>566</v>
      </c>
      <c r="B15" s="5" t="s">
        <v>567</v>
      </c>
      <c r="C15" t="s">
        <v>90</v>
      </c>
      <c r="D15" s="5" t="s">
        <v>91</v>
      </c>
      <c r="E15">
        <v>1.344646856857018</v>
      </c>
      <c r="F15">
        <v>1.1986299311238628</v>
      </c>
      <c r="G15">
        <v>1.5133158281125438</v>
      </c>
      <c r="H15">
        <v>1.3472242108028216</v>
      </c>
      <c r="I15">
        <v>1.1617518599625192</v>
      </c>
      <c r="J15">
        <v>1.0644354527154796</v>
      </c>
      <c r="K15">
        <v>1.1704246477661118</v>
      </c>
      <c r="L15">
        <v>1.0933912457126067</v>
      </c>
      <c r="M15">
        <v>1.0431312939388182</v>
      </c>
      <c r="N15">
        <v>0.90964099235019968</v>
      </c>
      <c r="O15">
        <v>1.0974904316267422</v>
      </c>
      <c r="P15">
        <v>1.0923047132948378</v>
      </c>
      <c r="Q15">
        <v>1.0727211671206298</v>
      </c>
      <c r="R15">
        <v>0.92789705306769255</v>
      </c>
      <c r="S15">
        <v>0.83848784910809682</v>
      </c>
      <c r="T15">
        <v>0.81519902682976286</v>
      </c>
      <c r="U15">
        <v>0.87703793483658643</v>
      </c>
      <c r="V15">
        <v>0.77047296917304708</v>
      </c>
      <c r="W15">
        <v>0.67710933599600598</v>
      </c>
      <c r="X15">
        <v>0.53475935828876997</v>
      </c>
      <c r="Y15">
        <v>0.77582213987957382</v>
      </c>
      <c r="Z15">
        <v>0.45443216748359228</v>
      </c>
      <c r="AA15">
        <v>0.41448390996488405</v>
      </c>
      <c r="AB15">
        <v>0.45444723108052354</v>
      </c>
      <c r="AC15">
        <v>0.51475418119347172</v>
      </c>
      <c r="AD15" t="s">
        <v>73</v>
      </c>
    </row>
    <row r="16" spans="1:30" x14ac:dyDescent="0.3">
      <c r="A16" t="s">
        <v>566</v>
      </c>
      <c r="B16" s="5" t="s">
        <v>567</v>
      </c>
      <c r="C16" t="s">
        <v>92</v>
      </c>
      <c r="D16" s="5" t="s">
        <v>93</v>
      </c>
      <c r="E16" t="s">
        <v>73</v>
      </c>
      <c r="F16" t="s">
        <v>73</v>
      </c>
      <c r="G16" t="s">
        <v>73</v>
      </c>
      <c r="H16" t="s">
        <v>73</v>
      </c>
      <c r="I16" t="s">
        <v>73</v>
      </c>
      <c r="J16" t="s">
        <v>73</v>
      </c>
      <c r="K16">
        <v>0.26876350105421404</v>
      </c>
      <c r="L16">
        <v>0.29227169028013045</v>
      </c>
      <c r="M16">
        <v>0.2648102365707074</v>
      </c>
      <c r="N16">
        <v>0.3372843565683491</v>
      </c>
      <c r="O16">
        <v>0.28554278429018609</v>
      </c>
      <c r="P16">
        <v>0.27987396780915941</v>
      </c>
      <c r="Q16">
        <v>0.26518025933913786</v>
      </c>
      <c r="R16">
        <v>0.26428004721027681</v>
      </c>
      <c r="S16">
        <v>0.28796578369907155</v>
      </c>
      <c r="T16">
        <v>0.30191123220997057</v>
      </c>
      <c r="U16">
        <v>0.31599668462494823</v>
      </c>
      <c r="V16">
        <v>0.27707464645460972</v>
      </c>
      <c r="W16">
        <v>0.27511231680463732</v>
      </c>
      <c r="X16">
        <v>0.26867438190426091</v>
      </c>
      <c r="Y16">
        <v>0.30315511374810294</v>
      </c>
      <c r="Z16">
        <v>0.26862604129221823</v>
      </c>
      <c r="AA16">
        <v>0.24616046914750622</v>
      </c>
      <c r="AB16">
        <v>0.2514928067184507</v>
      </c>
      <c r="AC16">
        <v>0.2455030850024045</v>
      </c>
      <c r="AD16" t="s">
        <v>73</v>
      </c>
    </row>
    <row r="17" spans="1:30" x14ac:dyDescent="0.3">
      <c r="A17" t="s">
        <v>566</v>
      </c>
      <c r="B17" s="5" t="s">
        <v>567</v>
      </c>
      <c r="C17" t="s">
        <v>94</v>
      </c>
      <c r="D17" s="5" t="s">
        <v>95</v>
      </c>
      <c r="E17">
        <v>22.718148075592339</v>
      </c>
      <c r="F17">
        <v>21.848340581525864</v>
      </c>
      <c r="G17">
        <v>20.584134422636602</v>
      </c>
      <c r="H17">
        <v>19.812718297704237</v>
      </c>
      <c r="I17">
        <v>19.266959566285934</v>
      </c>
      <c r="J17">
        <v>18.57103954559642</v>
      </c>
      <c r="K17">
        <v>18.034016510854197</v>
      </c>
      <c r="L17">
        <v>17.806536782395479</v>
      </c>
      <c r="M17">
        <v>17.595695542199223</v>
      </c>
      <c r="N17">
        <v>17.104629051963219</v>
      </c>
      <c r="O17">
        <v>17.001181259291869</v>
      </c>
      <c r="P17">
        <v>16.809986757350281</v>
      </c>
      <c r="Q17">
        <v>16.177563173275303</v>
      </c>
      <c r="R17">
        <v>15.493277997590765</v>
      </c>
      <c r="S17">
        <v>15.351620898634371</v>
      </c>
      <c r="T17">
        <v>14.782996436936399</v>
      </c>
      <c r="U17">
        <v>13.464792317603862</v>
      </c>
      <c r="V17">
        <v>12.95727604337327</v>
      </c>
      <c r="W17">
        <v>12.480077185619647</v>
      </c>
      <c r="X17">
        <v>11.97532313589843</v>
      </c>
      <c r="Y17">
        <v>11.999686860248516</v>
      </c>
      <c r="Z17">
        <v>11.632858427128234</v>
      </c>
      <c r="AA17">
        <v>11.217601035159509</v>
      </c>
      <c r="AB17">
        <v>11.003690020959768</v>
      </c>
      <c r="AC17">
        <v>11.164801427690268</v>
      </c>
      <c r="AD17" t="s">
        <v>73</v>
      </c>
    </row>
    <row r="18" spans="1:30" x14ac:dyDescent="0.3">
      <c r="A18" t="s">
        <v>566</v>
      </c>
      <c r="B18" s="5" t="s">
        <v>567</v>
      </c>
      <c r="C18" t="s">
        <v>96</v>
      </c>
      <c r="D18" s="5" t="s">
        <v>97</v>
      </c>
      <c r="E18">
        <v>1.9954240889034156</v>
      </c>
      <c r="F18">
        <v>2.1181862825339666</v>
      </c>
      <c r="G18">
        <v>1.8895863511990987</v>
      </c>
      <c r="H18">
        <v>1.9785013241937999</v>
      </c>
      <c r="I18">
        <v>1.6431993032370444</v>
      </c>
      <c r="J18">
        <v>1.5865951040712134</v>
      </c>
      <c r="K18">
        <v>1.4501626790110524</v>
      </c>
      <c r="L18">
        <v>1.3470225783980576</v>
      </c>
      <c r="M18">
        <v>1.295864963887019</v>
      </c>
      <c r="N18">
        <v>1.4375584757407165</v>
      </c>
      <c r="O18">
        <v>1.6049992067549226</v>
      </c>
      <c r="P18">
        <v>1.5618654094047431</v>
      </c>
      <c r="Q18">
        <v>1.6488904702809188</v>
      </c>
      <c r="R18">
        <v>1.8183582721626199</v>
      </c>
      <c r="S18">
        <v>1.7524819414297406</v>
      </c>
      <c r="T18">
        <v>1.6303537112922615</v>
      </c>
      <c r="U18">
        <v>1.6970359144256864</v>
      </c>
      <c r="V18">
        <v>1.8035772414945936</v>
      </c>
      <c r="W18">
        <v>2.1684619165437899</v>
      </c>
      <c r="X18">
        <v>2.2614961415808565</v>
      </c>
      <c r="Y18">
        <v>3.0913344614900917</v>
      </c>
      <c r="Z18">
        <v>1.9806474935057292</v>
      </c>
      <c r="AA18">
        <v>1.4488227860971112</v>
      </c>
      <c r="AB18">
        <v>1.6523033260651367</v>
      </c>
      <c r="AC18">
        <v>1.5750761864751501</v>
      </c>
      <c r="AD18" t="s">
        <v>73</v>
      </c>
    </row>
    <row r="19" spans="1:30" x14ac:dyDescent="0.3">
      <c r="A19" t="s">
        <v>566</v>
      </c>
      <c r="B19" s="5" t="s">
        <v>567</v>
      </c>
      <c r="C19" t="s">
        <v>98</v>
      </c>
      <c r="D19" s="5" t="s">
        <v>99</v>
      </c>
      <c r="E19">
        <v>12.096827169414702</v>
      </c>
      <c r="F19">
        <v>10.35042973936133</v>
      </c>
      <c r="G19">
        <v>10.128432223977841</v>
      </c>
      <c r="H19">
        <v>8.6356277075219889</v>
      </c>
      <c r="I19">
        <v>8.8502514412363631</v>
      </c>
      <c r="J19">
        <v>8.5185908085653121</v>
      </c>
      <c r="K19">
        <v>8.578727591557648</v>
      </c>
      <c r="L19">
        <v>8.3031699588227479</v>
      </c>
      <c r="M19">
        <v>8.6662536944066915</v>
      </c>
      <c r="N19">
        <v>8.1308989361065738</v>
      </c>
      <c r="O19">
        <v>8.8919302288200921</v>
      </c>
      <c r="P19">
        <v>8.0018877443082879</v>
      </c>
      <c r="Q19">
        <v>8.1309426830847205</v>
      </c>
      <c r="R19">
        <v>6.80909244753712</v>
      </c>
      <c r="S19">
        <v>7.3030569773094243</v>
      </c>
      <c r="T19">
        <v>6.2832075832436969</v>
      </c>
      <c r="U19">
        <v>6.895280624335169</v>
      </c>
      <c r="V19">
        <v>7.5658025384829237</v>
      </c>
      <c r="W19">
        <v>6.5901077259018779</v>
      </c>
      <c r="X19">
        <v>6.7946688279927354</v>
      </c>
      <c r="Y19">
        <v>7.077239768956618</v>
      </c>
      <c r="Z19">
        <v>6.70661864890688</v>
      </c>
      <c r="AA19">
        <v>8.0418187167403907</v>
      </c>
      <c r="AB19">
        <v>7.2485995714986995</v>
      </c>
      <c r="AC19">
        <v>6.8659798496918718</v>
      </c>
      <c r="AD19" t="s">
        <v>73</v>
      </c>
    </row>
    <row r="20" spans="1:30" x14ac:dyDescent="0.3">
      <c r="A20" t="s">
        <v>566</v>
      </c>
      <c r="B20" s="5" t="s">
        <v>567</v>
      </c>
      <c r="C20" t="s">
        <v>7</v>
      </c>
      <c r="D20" s="5" t="s">
        <v>100</v>
      </c>
      <c r="E20">
        <v>1.1760052797371365</v>
      </c>
      <c r="F20">
        <v>1.1093502976716276</v>
      </c>
      <c r="G20">
        <v>1.0331341427577592</v>
      </c>
      <c r="H20">
        <v>1.0294445025288033</v>
      </c>
      <c r="I20">
        <v>1.0229105413151485</v>
      </c>
      <c r="J20">
        <v>0.84063997399025148</v>
      </c>
      <c r="K20">
        <v>0.90726938058105222</v>
      </c>
      <c r="L20">
        <v>0.88752394003938673</v>
      </c>
      <c r="M20">
        <v>0.71233806718596615</v>
      </c>
      <c r="N20">
        <v>0.7186796608565893</v>
      </c>
      <c r="O20">
        <v>0.84791863504921228</v>
      </c>
      <c r="P20">
        <v>0.7262398434410029</v>
      </c>
      <c r="Q20">
        <v>0.84457469539347962</v>
      </c>
      <c r="R20">
        <v>0.76456547790854057</v>
      </c>
      <c r="S20">
        <v>0.71651821928331882</v>
      </c>
      <c r="T20">
        <v>0.75061727206657392</v>
      </c>
      <c r="U20">
        <v>0.67319054368468434</v>
      </c>
      <c r="V20">
        <v>0.7295325831425381</v>
      </c>
      <c r="W20">
        <v>0.66462557112009391</v>
      </c>
      <c r="X20">
        <v>0.71878958353712807</v>
      </c>
      <c r="Y20">
        <v>0.71281802364157143</v>
      </c>
      <c r="Z20">
        <v>0.65489938487951316</v>
      </c>
      <c r="AA20">
        <v>0.67143041151479643</v>
      </c>
      <c r="AB20">
        <v>0.77456566601308852</v>
      </c>
      <c r="AC20">
        <v>0.79163682759719212</v>
      </c>
      <c r="AD20" t="s">
        <v>73</v>
      </c>
    </row>
    <row r="21" spans="1:30" x14ac:dyDescent="0.3">
      <c r="A21" t="s">
        <v>566</v>
      </c>
      <c r="B21" s="5" t="s">
        <v>567</v>
      </c>
      <c r="C21" t="s">
        <v>101</v>
      </c>
      <c r="D21" s="5" t="s">
        <v>102</v>
      </c>
      <c r="E21">
        <v>10.643638061145655</v>
      </c>
      <c r="F21">
        <v>9.5094118174543016</v>
      </c>
      <c r="G21">
        <v>9.1787960410866667</v>
      </c>
      <c r="H21">
        <v>10.461504712006468</v>
      </c>
      <c r="I21">
        <v>10.345814389638067</v>
      </c>
      <c r="J21">
        <v>9.7401720031711356</v>
      </c>
      <c r="K21">
        <v>9.5199222163657868</v>
      </c>
      <c r="L21">
        <v>8.6927077806583668</v>
      </c>
      <c r="M21">
        <v>8.3343639427592429</v>
      </c>
      <c r="N21">
        <v>8.5457026316892453</v>
      </c>
      <c r="O21">
        <v>8.7467618424456113</v>
      </c>
      <c r="P21">
        <v>8.8642588650532623</v>
      </c>
      <c r="Q21">
        <v>10.374467257164333</v>
      </c>
      <c r="R21">
        <v>10.079376070492041</v>
      </c>
      <c r="S21">
        <v>10.179548415983932</v>
      </c>
      <c r="T21">
        <v>9.6138851978219009</v>
      </c>
      <c r="U21">
        <v>7.7034858312846648</v>
      </c>
      <c r="V21">
        <v>8.5616629007162643</v>
      </c>
      <c r="W21">
        <v>7.1645685171021558</v>
      </c>
      <c r="X21">
        <v>6.5560913222365045</v>
      </c>
      <c r="Y21">
        <v>8.3571697847968966</v>
      </c>
      <c r="Z21">
        <v>7.8955038512315445</v>
      </c>
      <c r="AA21">
        <v>7.7485812174775885</v>
      </c>
      <c r="AB21">
        <v>8.137116341664056</v>
      </c>
      <c r="AC21">
        <v>7.9478780926072714</v>
      </c>
      <c r="AD21" t="s">
        <v>73</v>
      </c>
    </row>
    <row r="22" spans="1:30" x14ac:dyDescent="0.3">
      <c r="A22" t="s">
        <v>566</v>
      </c>
      <c r="B22" s="5" t="s">
        <v>567</v>
      </c>
      <c r="C22" t="s">
        <v>103</v>
      </c>
      <c r="D22" s="5" t="s">
        <v>104</v>
      </c>
      <c r="E22">
        <v>23.541233992526177</v>
      </c>
      <c r="F22">
        <v>25.048162742776615</v>
      </c>
      <c r="G22">
        <v>25.382729277639982</v>
      </c>
      <c r="H22">
        <v>24.453983735119781</v>
      </c>
      <c r="I22">
        <v>26.520849280028429</v>
      </c>
      <c r="J22">
        <v>26.689428502699077</v>
      </c>
      <c r="K22">
        <v>26.631803428758026</v>
      </c>
      <c r="L22">
        <v>26.971086966640762</v>
      </c>
      <c r="M22">
        <v>26.826156185213947</v>
      </c>
      <c r="N22">
        <v>26.978955376099449</v>
      </c>
      <c r="O22">
        <v>25.841135496268148</v>
      </c>
      <c r="P22">
        <v>25.797000825327288</v>
      </c>
      <c r="Q22">
        <v>25.768975831229451</v>
      </c>
      <c r="R22">
        <v>25.275404639082293</v>
      </c>
      <c r="S22">
        <v>25.618452973800842</v>
      </c>
      <c r="T22">
        <v>26.39208509250367</v>
      </c>
      <c r="U22">
        <v>27.753635498049317</v>
      </c>
      <c r="V22">
        <v>28.489016527326427</v>
      </c>
      <c r="W22">
        <v>28.064773912707718</v>
      </c>
      <c r="X22">
        <v>26.875801625833695</v>
      </c>
      <c r="Y22">
        <v>27.109175036111786</v>
      </c>
      <c r="Z22">
        <v>28.528950609859237</v>
      </c>
      <c r="AA22">
        <v>26.896678796812385</v>
      </c>
      <c r="AB22">
        <v>25.401972366756318</v>
      </c>
      <c r="AC22">
        <v>24.231722951964933</v>
      </c>
      <c r="AD22" t="s">
        <v>73</v>
      </c>
    </row>
    <row r="23" spans="1:30" x14ac:dyDescent="0.3">
      <c r="A23" t="s">
        <v>566</v>
      </c>
      <c r="B23" s="5" t="s">
        <v>567</v>
      </c>
      <c r="C23" t="s">
        <v>105</v>
      </c>
      <c r="D23" s="5" t="s">
        <v>106</v>
      </c>
      <c r="E23">
        <v>0.66895215502242822</v>
      </c>
      <c r="F23">
        <v>0.69232761026202261</v>
      </c>
      <c r="G23">
        <v>0.79545812434535168</v>
      </c>
      <c r="H23">
        <v>0.82185105785824775</v>
      </c>
      <c r="I23">
        <v>0.84415846489722945</v>
      </c>
      <c r="J23">
        <v>0.8016415317895802</v>
      </c>
      <c r="K23" t="s">
        <v>73</v>
      </c>
      <c r="L23" t="s">
        <v>73</v>
      </c>
      <c r="M23" t="s">
        <v>73</v>
      </c>
      <c r="N23" t="s">
        <v>73</v>
      </c>
      <c r="O23">
        <v>0.28609428917755392</v>
      </c>
      <c r="P23">
        <v>0.3129410262596411</v>
      </c>
      <c r="Q23">
        <v>0.28139653456436214</v>
      </c>
      <c r="R23">
        <v>0.3282833438193461</v>
      </c>
      <c r="S23">
        <v>0.21111670305588348</v>
      </c>
      <c r="T23">
        <v>0.22788949681127518</v>
      </c>
      <c r="U23">
        <v>0.30701845284671059</v>
      </c>
      <c r="V23">
        <v>0.27470081133346663</v>
      </c>
      <c r="W23">
        <v>0.2349855251407526</v>
      </c>
      <c r="X23">
        <v>0.22096150517312332</v>
      </c>
      <c r="Y23">
        <v>0.25548235870791786</v>
      </c>
      <c r="Z23">
        <v>0.29098617743641081</v>
      </c>
      <c r="AA23">
        <v>0.21854416239193911</v>
      </c>
      <c r="AB23">
        <v>0.19252283593352418</v>
      </c>
      <c r="AC23" t="s">
        <v>73</v>
      </c>
      <c r="AD23" t="s">
        <v>73</v>
      </c>
    </row>
    <row r="24" spans="1:30" x14ac:dyDescent="0.3">
      <c r="A24" t="s">
        <v>566</v>
      </c>
      <c r="B24" s="5" t="s">
        <v>567</v>
      </c>
      <c r="C24" t="s">
        <v>107</v>
      </c>
      <c r="D24" s="5" t="s">
        <v>108</v>
      </c>
      <c r="E24">
        <v>21.620602872314056</v>
      </c>
      <c r="F24">
        <v>20.883588560920092</v>
      </c>
      <c r="G24">
        <v>20.819981449249873</v>
      </c>
      <c r="H24">
        <v>19.786842389249802</v>
      </c>
      <c r="I24">
        <v>19.378514955420687</v>
      </c>
      <c r="J24">
        <v>18.033934683079202</v>
      </c>
      <c r="K24">
        <v>17.341299234672878</v>
      </c>
      <c r="L24">
        <v>14.906241021340602</v>
      </c>
      <c r="M24">
        <v>14.487692875997721</v>
      </c>
      <c r="N24">
        <v>14.005454995288005</v>
      </c>
      <c r="O24">
        <v>12.41285895734857</v>
      </c>
      <c r="P24">
        <v>11.799634056080945</v>
      </c>
      <c r="Q24">
        <v>11.57298954574016</v>
      </c>
      <c r="R24">
        <v>11.85263024438337</v>
      </c>
      <c r="S24">
        <v>12.063782239410596</v>
      </c>
      <c r="T24">
        <v>11.995070539355144</v>
      </c>
      <c r="U24">
        <v>12.002371748271393</v>
      </c>
      <c r="V24">
        <v>12.929792411513585</v>
      </c>
      <c r="W24">
        <v>13.550920036101441</v>
      </c>
      <c r="X24">
        <v>12.933952784885053</v>
      </c>
      <c r="Y24">
        <v>15.703075564462047</v>
      </c>
      <c r="Z24">
        <v>15.794784004980109</v>
      </c>
      <c r="AA24">
        <v>14.671011956090444</v>
      </c>
      <c r="AB24">
        <v>14.993108693631838</v>
      </c>
      <c r="AC24" t="s">
        <v>73</v>
      </c>
      <c r="AD24" t="s">
        <v>73</v>
      </c>
    </row>
    <row r="25" spans="1:30" x14ac:dyDescent="0.3">
      <c r="A25" t="s">
        <v>566</v>
      </c>
      <c r="B25" s="5" t="s">
        <v>567</v>
      </c>
      <c r="C25" t="s">
        <v>109</v>
      </c>
      <c r="D25" s="5" t="s">
        <v>110</v>
      </c>
      <c r="E25">
        <v>12.965811884223765</v>
      </c>
      <c r="F25">
        <v>13.255653666174243</v>
      </c>
      <c r="G25">
        <v>12.955118631020953</v>
      </c>
      <c r="H25">
        <v>13.427236956279101</v>
      </c>
      <c r="I25">
        <v>13.322383638847707</v>
      </c>
      <c r="J25">
        <v>11.792721532911195</v>
      </c>
      <c r="K25">
        <v>10.93754805462884</v>
      </c>
      <c r="L25">
        <v>10.011155665671996</v>
      </c>
      <c r="M25">
        <v>10.442404115522647</v>
      </c>
      <c r="N25">
        <v>11.152407449731106</v>
      </c>
      <c r="O25">
        <v>10.389905701059378</v>
      </c>
      <c r="P25">
        <v>9.7695858816953951</v>
      </c>
      <c r="Q25">
        <v>9.812161914832803</v>
      </c>
      <c r="R25">
        <v>9.9669794768463031</v>
      </c>
      <c r="S25">
        <v>9.7402175377016924</v>
      </c>
      <c r="T25">
        <v>10.239494114445522</v>
      </c>
      <c r="U25">
        <v>11.17187541505321</v>
      </c>
      <c r="V25">
        <v>7.6771372247475158</v>
      </c>
      <c r="W25">
        <v>7.4503539997101296</v>
      </c>
      <c r="X25">
        <v>7.6328826450160534</v>
      </c>
      <c r="Y25">
        <v>9.1240558683466642</v>
      </c>
      <c r="Z25">
        <v>8.8100191225576339</v>
      </c>
      <c r="AA25">
        <v>8.6602848130617716</v>
      </c>
      <c r="AB25">
        <v>9.3109800975655137</v>
      </c>
      <c r="AC25">
        <v>8.8262588428048065</v>
      </c>
      <c r="AD25" t="s">
        <v>73</v>
      </c>
    </row>
    <row r="26" spans="1:30" x14ac:dyDescent="0.3">
      <c r="A26" t="s">
        <v>566</v>
      </c>
      <c r="B26" s="5" t="s">
        <v>567</v>
      </c>
      <c r="C26" t="s">
        <v>111</v>
      </c>
      <c r="D26" s="5" t="s">
        <v>112</v>
      </c>
      <c r="E26">
        <v>9.0014637633190731</v>
      </c>
      <c r="F26">
        <v>9.1205807019670733</v>
      </c>
      <c r="G26">
        <v>8.8735063619680954</v>
      </c>
      <c r="H26">
        <v>8.1050211413547757</v>
      </c>
      <c r="I26">
        <v>8.5834940759076659</v>
      </c>
      <c r="J26">
        <v>8.2973682539021194</v>
      </c>
      <c r="K26">
        <v>8.0542892725065691</v>
      </c>
      <c r="L26">
        <v>7.7049534096333208</v>
      </c>
      <c r="M26">
        <v>7.2072720123494154</v>
      </c>
      <c r="N26">
        <v>7.0766016346684948</v>
      </c>
      <c r="O26">
        <v>6.7967621591376437</v>
      </c>
      <c r="P26">
        <v>6.757745395551308</v>
      </c>
      <c r="Q26">
        <v>6.1376715536851192</v>
      </c>
      <c r="R26">
        <v>6.8413908712335578</v>
      </c>
      <c r="S26">
        <v>5.9510575251710049</v>
      </c>
      <c r="T26">
        <v>6.0375681759839015</v>
      </c>
      <c r="U26">
        <v>6.1655906210721474</v>
      </c>
      <c r="V26">
        <v>5.4310487956715008</v>
      </c>
      <c r="W26">
        <v>5.7187825072293137</v>
      </c>
      <c r="X26">
        <v>5.4500415614087556</v>
      </c>
      <c r="Y26">
        <v>5.9144390898889077</v>
      </c>
      <c r="Z26">
        <v>5.019318417548094</v>
      </c>
      <c r="AA26">
        <v>4.826249270626831</v>
      </c>
      <c r="AB26">
        <v>4.6532223062835234</v>
      </c>
      <c r="AC26">
        <v>4.5339137531572549</v>
      </c>
      <c r="AD26" t="s">
        <v>73</v>
      </c>
    </row>
    <row r="27" spans="1:30" x14ac:dyDescent="0.3">
      <c r="A27" t="s">
        <v>566</v>
      </c>
      <c r="B27" s="5" t="s">
        <v>567</v>
      </c>
      <c r="C27" t="s">
        <v>113</v>
      </c>
      <c r="D27" s="5" t="s">
        <v>114</v>
      </c>
      <c r="E27">
        <v>2.7946997890345369</v>
      </c>
      <c r="F27">
        <v>2.5902906202539144</v>
      </c>
      <c r="G27">
        <v>2.4256159925615992</v>
      </c>
      <c r="H27">
        <v>2.7223869552226621</v>
      </c>
      <c r="I27">
        <v>2.2595853495910205</v>
      </c>
      <c r="J27">
        <v>1.8283805240503284</v>
      </c>
      <c r="K27">
        <v>1.738935094243008</v>
      </c>
      <c r="L27">
        <v>1.9266843575501542</v>
      </c>
      <c r="M27">
        <v>2.1400702761033656</v>
      </c>
      <c r="N27">
        <v>2.3759841962596266</v>
      </c>
      <c r="O27">
        <v>2.0910409188325034</v>
      </c>
      <c r="P27">
        <v>2.1189230068096188</v>
      </c>
      <c r="Q27">
        <v>2.3148110827157962</v>
      </c>
      <c r="R27">
        <v>1.9935432232723445</v>
      </c>
      <c r="S27">
        <v>1.8195983525325894</v>
      </c>
      <c r="T27">
        <v>1.9477648675882884</v>
      </c>
      <c r="U27">
        <v>1.9758875736702912</v>
      </c>
      <c r="V27">
        <v>1.8419939490754045</v>
      </c>
      <c r="W27">
        <v>2.1173108320472851</v>
      </c>
      <c r="X27">
        <v>2.0834294935165505</v>
      </c>
      <c r="Y27">
        <v>2.2080690580405369</v>
      </c>
      <c r="Z27">
        <v>1.7885929290385385</v>
      </c>
      <c r="AA27">
        <v>1.579789821793665</v>
      </c>
      <c r="AB27">
        <v>1.6646156885711478</v>
      </c>
      <c r="AC27">
        <v>1.7121621923095873</v>
      </c>
      <c r="AD27" t="s">
        <v>73</v>
      </c>
    </row>
    <row r="28" spans="1:30" x14ac:dyDescent="0.3">
      <c r="A28" t="s">
        <v>566</v>
      </c>
      <c r="B28" s="5" t="s">
        <v>567</v>
      </c>
      <c r="C28" t="s">
        <v>8</v>
      </c>
      <c r="D28" s="5" t="s">
        <v>115</v>
      </c>
      <c r="E28">
        <v>4.7504599720911003</v>
      </c>
      <c r="F28">
        <v>4.8010430189550783</v>
      </c>
      <c r="G28">
        <v>5.4752748947628058</v>
      </c>
      <c r="H28">
        <v>6.1671843874241832</v>
      </c>
      <c r="I28">
        <v>5.6653115767889508</v>
      </c>
      <c r="J28">
        <v>4.6511688226617798</v>
      </c>
      <c r="K28">
        <v>4.3700437789580686</v>
      </c>
      <c r="L28">
        <v>4.4169154361723493</v>
      </c>
      <c r="M28">
        <v>4.5678511810472253</v>
      </c>
      <c r="N28">
        <v>4.4767739921445333</v>
      </c>
      <c r="O28">
        <v>4.1157564864705494</v>
      </c>
      <c r="P28">
        <v>4.3420341282890602</v>
      </c>
      <c r="Q28">
        <v>4.1683282242410851</v>
      </c>
      <c r="R28">
        <v>4.5068861816595609</v>
      </c>
      <c r="S28">
        <v>4.3256105387736152</v>
      </c>
      <c r="T28">
        <v>4.3191494293122075</v>
      </c>
      <c r="U28">
        <v>4.8913535872106575</v>
      </c>
      <c r="V28">
        <v>4.6005916952048036</v>
      </c>
      <c r="W28">
        <v>4.4203993034601954</v>
      </c>
      <c r="X28">
        <v>4.2050140951086972</v>
      </c>
      <c r="Y28">
        <v>5.711485115159201</v>
      </c>
      <c r="Z28">
        <v>6.5587626120738136</v>
      </c>
      <c r="AA28">
        <v>5.767474908422181</v>
      </c>
      <c r="AB28">
        <v>6.0230602351415667</v>
      </c>
      <c r="AC28">
        <v>5.7522764094248986</v>
      </c>
      <c r="AD28" t="s">
        <v>73</v>
      </c>
    </row>
    <row r="29" spans="1:30" x14ac:dyDescent="0.3">
      <c r="A29" t="s">
        <v>566</v>
      </c>
      <c r="B29" s="5" t="s">
        <v>567</v>
      </c>
      <c r="C29" t="s">
        <v>116</v>
      </c>
      <c r="D29" s="5" t="s">
        <v>117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73</v>
      </c>
      <c r="AC29" t="s">
        <v>73</v>
      </c>
      <c r="AD29" t="s">
        <v>73</v>
      </c>
    </row>
    <row r="30" spans="1:30" x14ac:dyDescent="0.3">
      <c r="A30" t="s">
        <v>566</v>
      </c>
      <c r="B30" s="5" t="s">
        <v>567</v>
      </c>
      <c r="C30" t="s">
        <v>118</v>
      </c>
      <c r="D30" s="5" t="s">
        <v>119</v>
      </c>
      <c r="E30">
        <v>1.0687905845391845</v>
      </c>
      <c r="F30">
        <v>1.1881926707619896</v>
      </c>
      <c r="G30">
        <v>1.1544900114217513</v>
      </c>
      <c r="H30">
        <v>1.2372583372264965</v>
      </c>
      <c r="I30">
        <v>1.1704948086428266</v>
      </c>
      <c r="J30">
        <v>0.97461126778554608</v>
      </c>
      <c r="K30">
        <v>0.75474250405332899</v>
      </c>
      <c r="L30">
        <v>0.72634251340255263</v>
      </c>
      <c r="M30">
        <v>0.69216612734936955</v>
      </c>
      <c r="N30">
        <v>0.97991754638016115</v>
      </c>
      <c r="O30">
        <v>0.73334987748841107</v>
      </c>
      <c r="P30">
        <v>0.57277531404200355</v>
      </c>
      <c r="Q30">
        <v>0.6551566839351054</v>
      </c>
      <c r="R30">
        <v>0.68493743981263233</v>
      </c>
      <c r="S30">
        <v>0.86282731712299698</v>
      </c>
      <c r="T30">
        <v>1.1032125006315388</v>
      </c>
      <c r="U30">
        <v>1.2036546260626768</v>
      </c>
      <c r="V30">
        <v>1.0864509033046197</v>
      </c>
      <c r="W30">
        <v>1.0176419588790251</v>
      </c>
      <c r="X30">
        <v>0.9860551301185152</v>
      </c>
      <c r="Y30">
        <v>1.2175028361059137</v>
      </c>
      <c r="Z30">
        <v>1.2562902227508086</v>
      </c>
      <c r="AA30">
        <v>1.0961602887624109</v>
      </c>
      <c r="AB30">
        <v>1.173122221641125</v>
      </c>
      <c r="AC30">
        <v>1.1744767438091599</v>
      </c>
      <c r="AD30" t="s">
        <v>73</v>
      </c>
    </row>
    <row r="31" spans="1:30" x14ac:dyDescent="0.3">
      <c r="A31" t="s">
        <v>566</v>
      </c>
      <c r="B31" s="5" t="s">
        <v>567</v>
      </c>
      <c r="C31" t="s">
        <v>120</v>
      </c>
      <c r="D31" s="5" t="s">
        <v>121</v>
      </c>
      <c r="E31">
        <v>10.970482362946971</v>
      </c>
      <c r="F31">
        <v>10.603253242166442</v>
      </c>
      <c r="G31">
        <v>9.7105696276395772</v>
      </c>
      <c r="H31">
        <v>9.0956277501738576</v>
      </c>
      <c r="I31">
        <v>8.4521853765914212</v>
      </c>
      <c r="J31">
        <v>7.2836857288943371</v>
      </c>
      <c r="K31">
        <v>6.0962849205300449</v>
      </c>
      <c r="L31">
        <v>4.6517848919421168</v>
      </c>
      <c r="M31">
        <v>5.8696269220184893</v>
      </c>
      <c r="N31">
        <v>4.2357856596612269</v>
      </c>
      <c r="O31">
        <v>4.0325007615746902</v>
      </c>
      <c r="P31">
        <v>4.6613690679606359</v>
      </c>
      <c r="Q31">
        <v>4.4301400237658859</v>
      </c>
      <c r="R31">
        <v>4.5154169450188109</v>
      </c>
      <c r="S31">
        <v>4.5587170499562628</v>
      </c>
      <c r="T31">
        <v>4.0619757742723781</v>
      </c>
      <c r="U31">
        <v>4.0548985296074997</v>
      </c>
      <c r="V31">
        <v>4.0431768980730762</v>
      </c>
      <c r="W31">
        <v>3.4046154205745709</v>
      </c>
      <c r="X31">
        <v>3.2020559751223461</v>
      </c>
      <c r="Y31">
        <v>3.4359984630053915</v>
      </c>
      <c r="Z31">
        <v>4.3289472973210632</v>
      </c>
      <c r="AA31">
        <v>3.7113641358378873</v>
      </c>
      <c r="AB31">
        <v>2.5224465539931171</v>
      </c>
      <c r="AC31">
        <v>2.351056257120582</v>
      </c>
      <c r="AD31" t="s">
        <v>73</v>
      </c>
    </row>
    <row r="32" spans="1:30" x14ac:dyDescent="0.3">
      <c r="A32" t="s">
        <v>566</v>
      </c>
      <c r="B32" s="5" t="s">
        <v>567</v>
      </c>
      <c r="C32" t="s">
        <v>122</v>
      </c>
      <c r="D32" s="5" t="s">
        <v>123</v>
      </c>
      <c r="E32">
        <v>24.914036461832691</v>
      </c>
      <c r="F32">
        <v>26.92043043236788</v>
      </c>
      <c r="G32">
        <v>26.372448475120919</v>
      </c>
      <c r="H32">
        <v>25.960976824654537</v>
      </c>
      <c r="I32">
        <v>23.381438451309169</v>
      </c>
      <c r="J32">
        <v>26.770919027028139</v>
      </c>
      <c r="K32">
        <v>25.228976164516485</v>
      </c>
      <c r="L32">
        <v>21.839487405846313</v>
      </c>
      <c r="M32">
        <v>27.314280245880983</v>
      </c>
      <c r="N32">
        <v>23.20484712860944</v>
      </c>
      <c r="O32">
        <v>24.1433866229434</v>
      </c>
      <c r="P32">
        <v>23.043650452489047</v>
      </c>
      <c r="Q32">
        <v>23.75600501815752</v>
      </c>
      <c r="R32">
        <v>23.641092791970838</v>
      </c>
      <c r="S32">
        <v>23.693772772599917</v>
      </c>
      <c r="T32">
        <v>22.646498490202937</v>
      </c>
      <c r="U32">
        <v>21.714717829021303</v>
      </c>
      <c r="V32">
        <v>20.585587218828174</v>
      </c>
      <c r="W32">
        <v>20.997473284009065</v>
      </c>
      <c r="X32">
        <v>18.220524552442075</v>
      </c>
      <c r="Y32">
        <v>17.915163567756192</v>
      </c>
      <c r="Z32">
        <v>17.290215753844869</v>
      </c>
      <c r="AA32">
        <v>20.6297606481805</v>
      </c>
      <c r="AB32">
        <v>19.00655933992002</v>
      </c>
      <c r="AC32">
        <v>20.932614794912332</v>
      </c>
      <c r="AD32" t="s">
        <v>73</v>
      </c>
    </row>
    <row r="33" spans="1:30" x14ac:dyDescent="0.3">
      <c r="A33" t="s">
        <v>566</v>
      </c>
      <c r="B33" s="5" t="s">
        <v>567</v>
      </c>
      <c r="C33" t="s">
        <v>124</v>
      </c>
      <c r="D33" s="5" t="s">
        <v>125</v>
      </c>
      <c r="E33">
        <v>44.10704010936864</v>
      </c>
      <c r="F33">
        <v>43.843142058279717</v>
      </c>
      <c r="G33">
        <v>43.333611242125158</v>
      </c>
      <c r="H33">
        <v>42.841283700539385</v>
      </c>
      <c r="I33">
        <v>41.90260496890339</v>
      </c>
      <c r="J33">
        <v>40.84812339229493</v>
      </c>
      <c r="K33">
        <v>40.637682265821816</v>
      </c>
      <c r="L33">
        <v>34.934171919759052</v>
      </c>
      <c r="M33">
        <v>38.004823301706466</v>
      </c>
      <c r="N33">
        <v>36.853240373834176</v>
      </c>
      <c r="O33">
        <v>38.430545287633535</v>
      </c>
      <c r="P33">
        <v>36.704351514652828</v>
      </c>
      <c r="Q33">
        <v>35.510415987175378</v>
      </c>
      <c r="R33">
        <v>38.367118260227741</v>
      </c>
      <c r="S33">
        <v>34.957823843160419</v>
      </c>
      <c r="T33">
        <v>35.247739183027484</v>
      </c>
      <c r="U33">
        <v>35.555315834275774</v>
      </c>
      <c r="V33">
        <v>37.403435004326461</v>
      </c>
      <c r="W33">
        <v>35.353902548720569</v>
      </c>
      <c r="X33">
        <v>34.248354599817667</v>
      </c>
      <c r="Y33">
        <v>30.544827852373817</v>
      </c>
      <c r="Z33">
        <v>33.16297433265796</v>
      </c>
      <c r="AA33">
        <v>34.683720938661054</v>
      </c>
      <c r="AB33">
        <v>33.427204203393934</v>
      </c>
      <c r="AC33">
        <v>34.908972875140734</v>
      </c>
      <c r="AD33" t="s">
        <v>73</v>
      </c>
    </row>
    <row r="34" spans="1:30" x14ac:dyDescent="0.3">
      <c r="A34" t="s">
        <v>566</v>
      </c>
      <c r="B34" s="5" t="s">
        <v>567</v>
      </c>
      <c r="C34" t="s">
        <v>126</v>
      </c>
      <c r="D34" s="5" t="s">
        <v>127</v>
      </c>
      <c r="E34">
        <v>12.871782703277413</v>
      </c>
      <c r="F34">
        <v>11.415766019347398</v>
      </c>
      <c r="G34">
        <v>10.35147124889744</v>
      </c>
      <c r="H34">
        <v>10.143698252738314</v>
      </c>
      <c r="I34">
        <v>9.8634677191550324</v>
      </c>
      <c r="J34">
        <v>9.0011873226934913</v>
      </c>
      <c r="K34">
        <v>8.3187121345923991</v>
      </c>
      <c r="L34">
        <v>6.0946870713709282</v>
      </c>
      <c r="M34">
        <v>5.3157824187062701</v>
      </c>
      <c r="N34">
        <v>6.0263224658557233</v>
      </c>
      <c r="O34">
        <v>5.8290927700713286</v>
      </c>
      <c r="P34">
        <v>5.3992532700112079</v>
      </c>
      <c r="Q34">
        <v>5.7908875849456392</v>
      </c>
      <c r="R34">
        <v>5.8235912560306282</v>
      </c>
      <c r="S34">
        <v>5.7350692386328674</v>
      </c>
      <c r="T34">
        <v>6.4082863760271973</v>
      </c>
      <c r="U34">
        <v>6.3135227735371195</v>
      </c>
      <c r="V34">
        <v>5.3753350261964483</v>
      </c>
      <c r="W34">
        <v>4.5227686741032125</v>
      </c>
      <c r="X34">
        <v>4.4373608669529965</v>
      </c>
      <c r="Y34">
        <v>6.1913274548518222</v>
      </c>
      <c r="Z34">
        <v>5.9714740592318289</v>
      </c>
      <c r="AA34">
        <v>4.9540486885113575</v>
      </c>
      <c r="AB34">
        <v>4.8548383330400862</v>
      </c>
      <c r="AC34">
        <v>4.9155859362583598</v>
      </c>
      <c r="AD34" t="s">
        <v>73</v>
      </c>
    </row>
    <row r="35" spans="1:30" x14ac:dyDescent="0.3">
      <c r="A35" t="s">
        <v>566</v>
      </c>
      <c r="B35" s="5" t="s">
        <v>567</v>
      </c>
      <c r="C35" t="s">
        <v>128</v>
      </c>
      <c r="D35" s="5" t="s">
        <v>129</v>
      </c>
      <c r="E35">
        <v>35.52773573645662</v>
      </c>
      <c r="F35">
        <v>32.965377253488555</v>
      </c>
      <c r="G35">
        <v>29.611004676093721</v>
      </c>
      <c r="H35">
        <v>29.474379569752777</v>
      </c>
      <c r="I35">
        <v>26.628662754703946</v>
      </c>
      <c r="J35">
        <v>27.445788891742691</v>
      </c>
      <c r="K35">
        <v>26.285742936201867</v>
      </c>
      <c r="L35">
        <v>25.465628342257311</v>
      </c>
      <c r="M35">
        <v>28.034086991509199</v>
      </c>
      <c r="N35">
        <v>28.089323941887933</v>
      </c>
      <c r="O35">
        <v>27.874291655550827</v>
      </c>
      <c r="P35">
        <v>28.035854459806526</v>
      </c>
      <c r="Q35">
        <v>26.795349937528297</v>
      </c>
      <c r="R35">
        <v>24.447155140412971</v>
      </c>
      <c r="S35">
        <v>22.193815240444493</v>
      </c>
      <c r="T35">
        <v>20.140848855458216</v>
      </c>
      <c r="U35">
        <v>18.90798155559165</v>
      </c>
      <c r="V35">
        <v>17.868177158358588</v>
      </c>
      <c r="W35">
        <v>16.497947908222766</v>
      </c>
      <c r="X35">
        <v>15.438506517715695</v>
      </c>
      <c r="Y35">
        <v>17.039652291143486</v>
      </c>
      <c r="Z35">
        <v>16.904414371009576</v>
      </c>
      <c r="AA35">
        <v>16.544085988484795</v>
      </c>
      <c r="AB35">
        <v>17.07844724553506</v>
      </c>
      <c r="AC35">
        <v>16.576872609134981</v>
      </c>
      <c r="AD35" t="s">
        <v>73</v>
      </c>
    </row>
    <row r="36" spans="1:30" x14ac:dyDescent="0.3">
      <c r="A36" t="s">
        <v>566</v>
      </c>
      <c r="B36" s="5" t="s">
        <v>567</v>
      </c>
      <c r="C36" t="s">
        <v>130</v>
      </c>
      <c r="D36" s="5" t="s">
        <v>131</v>
      </c>
      <c r="E36">
        <v>18.117742464256605</v>
      </c>
      <c r="F36">
        <v>18.620958266944495</v>
      </c>
      <c r="G36">
        <v>18.271680395233368</v>
      </c>
      <c r="H36">
        <v>17.473784234888974</v>
      </c>
      <c r="I36">
        <v>17.560952721881311</v>
      </c>
      <c r="J36">
        <v>16.734176851979001</v>
      </c>
      <c r="K36">
        <v>15.625081794524732</v>
      </c>
      <c r="L36">
        <v>15.857531905937613</v>
      </c>
      <c r="M36">
        <v>16.001191885466469</v>
      </c>
      <c r="N36">
        <v>16.387190345399141</v>
      </c>
      <c r="O36">
        <v>17.269710876721714</v>
      </c>
      <c r="P36">
        <v>16.697390736319313</v>
      </c>
      <c r="Q36">
        <v>16.657240168221747</v>
      </c>
      <c r="R36">
        <v>16.723661192250734</v>
      </c>
      <c r="S36">
        <v>16.82583817800948</v>
      </c>
      <c r="T36">
        <v>17.209415904159307</v>
      </c>
      <c r="U36">
        <v>17.192662389115068</v>
      </c>
      <c r="V36">
        <v>16.692941822773058</v>
      </c>
      <c r="W36">
        <v>16.498800697859316</v>
      </c>
      <c r="X36">
        <v>16.80228356444006</v>
      </c>
      <c r="Y36">
        <v>17.496865054091426</v>
      </c>
      <c r="Z36">
        <v>16.95920354159572</v>
      </c>
      <c r="AA36">
        <v>16.546164413274528</v>
      </c>
      <c r="AB36">
        <v>17.099637277351114</v>
      </c>
      <c r="AC36">
        <v>18.461947877535106</v>
      </c>
      <c r="AD36" t="s">
        <v>73</v>
      </c>
    </row>
    <row r="37" spans="1:30" x14ac:dyDescent="0.3">
      <c r="A37" t="s">
        <v>566</v>
      </c>
      <c r="B37" s="5" t="s">
        <v>567</v>
      </c>
      <c r="C37" t="s">
        <v>9</v>
      </c>
      <c r="D37" s="5" t="s">
        <v>132</v>
      </c>
      <c r="E37">
        <v>2.0916530071071899</v>
      </c>
      <c r="F37">
        <v>2.1178906717575261</v>
      </c>
      <c r="G37">
        <v>1.9876232211626665</v>
      </c>
      <c r="H37">
        <v>2.0530913924934371</v>
      </c>
      <c r="I37">
        <v>2.1678131110918124</v>
      </c>
      <c r="J37">
        <v>1.8803114578006195</v>
      </c>
      <c r="K37">
        <v>1.7010184594948197</v>
      </c>
      <c r="L37">
        <v>1.5871607317165928</v>
      </c>
      <c r="M37">
        <v>1.7682735480133251</v>
      </c>
      <c r="N37">
        <v>1.5498932753953012</v>
      </c>
      <c r="O37">
        <v>1.4932360811166077</v>
      </c>
      <c r="P37">
        <v>1.7656644662562715</v>
      </c>
      <c r="Q37">
        <v>1.8113457439094136</v>
      </c>
      <c r="R37">
        <v>1.8942315122783611</v>
      </c>
      <c r="S37">
        <v>1.5865480774195357</v>
      </c>
      <c r="T37">
        <v>1.8698359459858667</v>
      </c>
      <c r="U37">
        <v>1.8622258931352882</v>
      </c>
      <c r="V37">
        <v>1.8899946324488788</v>
      </c>
      <c r="W37">
        <v>1.6998915762240614</v>
      </c>
      <c r="X37">
        <v>1.697079353361028</v>
      </c>
      <c r="Y37">
        <v>1.8397893111812245</v>
      </c>
      <c r="Z37">
        <v>1.5979878650405746</v>
      </c>
      <c r="AA37" t="s">
        <v>73</v>
      </c>
      <c r="AB37" t="s">
        <v>73</v>
      </c>
      <c r="AC37" t="s">
        <v>73</v>
      </c>
      <c r="AD37" t="s">
        <v>73</v>
      </c>
    </row>
    <row r="38" spans="1:30" x14ac:dyDescent="0.3">
      <c r="A38" t="s">
        <v>566</v>
      </c>
      <c r="B38" s="5" t="s">
        <v>567</v>
      </c>
      <c r="C38" t="s">
        <v>133</v>
      </c>
      <c r="D38" s="5" t="s">
        <v>134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>
        <v>0.23390231481063839</v>
      </c>
      <c r="L38">
        <v>0.24999268141799907</v>
      </c>
      <c r="M38">
        <v>0.26235509330957846</v>
      </c>
      <c r="N38">
        <v>0.31423446905831526</v>
      </c>
      <c r="O38">
        <v>0.31284910547895739</v>
      </c>
      <c r="P38">
        <v>0.32902379119415487</v>
      </c>
      <c r="Q38">
        <v>0.33063348989075259</v>
      </c>
      <c r="R38">
        <v>0.3409753245592605</v>
      </c>
      <c r="S38">
        <v>0.35797583927762294</v>
      </c>
      <c r="T38">
        <v>0.37869533876310763</v>
      </c>
      <c r="U38">
        <v>0.39945773256778005</v>
      </c>
      <c r="V38">
        <v>0.41831655523956585</v>
      </c>
      <c r="W38">
        <v>0.40858743836975936</v>
      </c>
      <c r="X38">
        <v>0.4143171207596662</v>
      </c>
      <c r="Y38">
        <v>0.43539788933499352</v>
      </c>
      <c r="Z38">
        <v>0.45418107291304705</v>
      </c>
      <c r="AA38">
        <v>0.46893990167682986</v>
      </c>
      <c r="AB38">
        <v>0.41555401681338822</v>
      </c>
      <c r="AC38" t="s">
        <v>73</v>
      </c>
      <c r="AD38" t="s">
        <v>73</v>
      </c>
    </row>
    <row r="39" spans="1:30" x14ac:dyDescent="0.3">
      <c r="A39" t="s">
        <v>566</v>
      </c>
      <c r="B39" s="5" t="s">
        <v>567</v>
      </c>
      <c r="C39" t="s">
        <v>135</v>
      </c>
      <c r="D39" s="5" t="s">
        <v>136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>
        <v>38.333868160892585</v>
      </c>
      <c r="O39">
        <v>37.363579595940919</v>
      </c>
      <c r="P39">
        <v>37.569022783611402</v>
      </c>
      <c r="Q39">
        <v>36.814166473542812</v>
      </c>
      <c r="R39">
        <v>32.258906246072492</v>
      </c>
      <c r="S39">
        <v>33.985621722614255</v>
      </c>
      <c r="T39">
        <v>31.527381028374453</v>
      </c>
      <c r="U39">
        <v>31.918991489723687</v>
      </c>
      <c r="V39">
        <v>32.790171225704796</v>
      </c>
      <c r="W39">
        <v>31.24133151215716</v>
      </c>
      <c r="X39">
        <v>28.341832464943838</v>
      </c>
      <c r="Y39">
        <v>29.495937226409868</v>
      </c>
      <c r="Z39">
        <v>35.755329998045546</v>
      </c>
      <c r="AA39">
        <v>36.217110002411857</v>
      </c>
      <c r="AB39">
        <v>28.611055523969302</v>
      </c>
      <c r="AC39">
        <v>27.898636787988718</v>
      </c>
      <c r="AD39" t="s">
        <v>73</v>
      </c>
    </row>
    <row r="40" spans="1:30" x14ac:dyDescent="0.3">
      <c r="A40" t="s">
        <v>566</v>
      </c>
      <c r="B40" s="5" t="s">
        <v>567</v>
      </c>
      <c r="C40" t="s">
        <v>137</v>
      </c>
      <c r="D40" s="5" t="s">
        <v>138</v>
      </c>
      <c r="E40">
        <v>40.705137847503387</v>
      </c>
      <c r="F40">
        <v>40.295438996171711</v>
      </c>
      <c r="G40">
        <v>37.902932468175706</v>
      </c>
      <c r="H40">
        <v>25.633940531566601</v>
      </c>
      <c r="I40">
        <v>29.77426104255812</v>
      </c>
      <c r="J40">
        <v>29.281987301438512</v>
      </c>
      <c r="K40">
        <v>32.133549307533229</v>
      </c>
      <c r="L40">
        <v>29.351416386451984</v>
      </c>
      <c r="M40">
        <v>29.057543794830082</v>
      </c>
      <c r="N40">
        <v>33.156690452395935</v>
      </c>
      <c r="O40">
        <v>33.250951294426159</v>
      </c>
      <c r="P40">
        <v>27.156333887962202</v>
      </c>
      <c r="Q40">
        <v>27.084397228026504</v>
      </c>
      <c r="R40">
        <v>31.712860327493381</v>
      </c>
      <c r="S40">
        <v>31.168807669524611</v>
      </c>
      <c r="T40">
        <v>33.621025510837875</v>
      </c>
      <c r="U40">
        <v>39.371615109693352</v>
      </c>
      <c r="V40">
        <v>38.430085311830631</v>
      </c>
      <c r="W40">
        <v>37.61814416171913</v>
      </c>
      <c r="X40">
        <v>37.590365253391411</v>
      </c>
      <c r="Y40">
        <v>40.687470063118027</v>
      </c>
      <c r="Z40">
        <v>37.442094688471265</v>
      </c>
      <c r="AA40">
        <v>35.227982398597931</v>
      </c>
      <c r="AB40">
        <v>35.216071436436856</v>
      </c>
      <c r="AC40">
        <v>37.69869520166084</v>
      </c>
      <c r="AD40" t="s">
        <v>73</v>
      </c>
    </row>
    <row r="41" spans="1:30" x14ac:dyDescent="0.3">
      <c r="A41" t="s">
        <v>566</v>
      </c>
      <c r="B41" s="5" t="s">
        <v>567</v>
      </c>
      <c r="C41" t="s">
        <v>139</v>
      </c>
      <c r="D41" s="5" t="s">
        <v>140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>
        <v>0.77509060316216982</v>
      </c>
      <c r="V41">
        <v>0.8079532786394833</v>
      </c>
      <c r="W41">
        <v>0.76748716620200008</v>
      </c>
      <c r="X41">
        <v>0.74791070306486707</v>
      </c>
      <c r="Y41">
        <v>0.65071518437109044</v>
      </c>
      <c r="Z41">
        <v>0.72632561722743272</v>
      </c>
      <c r="AA41">
        <v>0.65038305783139028</v>
      </c>
      <c r="AB41">
        <v>0.59887341153067042</v>
      </c>
      <c r="AC41" t="s">
        <v>73</v>
      </c>
      <c r="AD41" t="s">
        <v>73</v>
      </c>
    </row>
    <row r="42" spans="1:30" x14ac:dyDescent="0.3">
      <c r="A42" t="s">
        <v>566</v>
      </c>
      <c r="B42" s="5" t="s">
        <v>567</v>
      </c>
      <c r="C42" t="s">
        <v>10</v>
      </c>
      <c r="D42" s="5" t="s">
        <v>141</v>
      </c>
      <c r="E42">
        <v>5.0829624305111825</v>
      </c>
      <c r="F42">
        <v>4.062420264161446</v>
      </c>
      <c r="G42">
        <v>4.0650332475328419</v>
      </c>
      <c r="H42">
        <v>4.0947753309382451</v>
      </c>
      <c r="I42">
        <v>3.758265825403353</v>
      </c>
      <c r="J42">
        <v>3.9222119378950295</v>
      </c>
      <c r="K42">
        <v>3.7120451436571398</v>
      </c>
      <c r="L42">
        <v>3.5505710887990198</v>
      </c>
      <c r="M42">
        <v>3.4244322613297844</v>
      </c>
      <c r="N42">
        <v>3.6971269558848636</v>
      </c>
      <c r="O42">
        <v>3.4782846318978557</v>
      </c>
      <c r="P42">
        <v>3.6261832358388064</v>
      </c>
      <c r="Q42">
        <v>3.274933539617523</v>
      </c>
      <c r="R42">
        <v>3.4733753278992627</v>
      </c>
      <c r="S42">
        <v>3.9466206299946176</v>
      </c>
      <c r="T42">
        <v>3.7094042753648999</v>
      </c>
      <c r="U42">
        <v>4.1990893712919615</v>
      </c>
      <c r="V42">
        <v>4.2809716137703715</v>
      </c>
      <c r="W42">
        <v>3.9274359246112347</v>
      </c>
      <c r="X42">
        <v>3.9878121713789962</v>
      </c>
      <c r="Y42">
        <v>4.0454268440994694</v>
      </c>
      <c r="Z42">
        <v>3.505864368136149</v>
      </c>
      <c r="AA42">
        <v>3.2346792584916213</v>
      </c>
      <c r="AB42">
        <v>3.4902273336242464</v>
      </c>
      <c r="AC42">
        <v>3.9123635123516083</v>
      </c>
      <c r="AD42" t="s">
        <v>73</v>
      </c>
    </row>
    <row r="43" spans="1:30" x14ac:dyDescent="0.3">
      <c r="A43" t="s">
        <v>566</v>
      </c>
      <c r="B43" s="5" t="s">
        <v>567</v>
      </c>
      <c r="C43" t="s">
        <v>11</v>
      </c>
      <c r="D43" s="5" t="s">
        <v>142</v>
      </c>
      <c r="E43">
        <v>14.527251949982528</v>
      </c>
      <c r="F43">
        <v>13.822106956034069</v>
      </c>
      <c r="G43">
        <v>13.129493825818919</v>
      </c>
      <c r="H43">
        <v>12.175760091492659</v>
      </c>
      <c r="I43">
        <v>12.728842936040138</v>
      </c>
      <c r="J43">
        <v>11.482812353382569</v>
      </c>
      <c r="K43">
        <v>10.475862365800095</v>
      </c>
      <c r="L43">
        <v>10.093419455926169</v>
      </c>
      <c r="M43">
        <v>10.009977073413793</v>
      </c>
      <c r="N43">
        <v>9.4729958166159687</v>
      </c>
      <c r="O43">
        <v>9.1664990613073289</v>
      </c>
      <c r="P43">
        <v>9.0338458593332032</v>
      </c>
      <c r="Q43">
        <v>8.9650567353399193</v>
      </c>
      <c r="R43">
        <v>8.7844213160247051</v>
      </c>
      <c r="S43">
        <v>8.482429409336536</v>
      </c>
      <c r="T43">
        <v>8.2240135947952453</v>
      </c>
      <c r="U43">
        <v>7.9006501750541585</v>
      </c>
      <c r="V43">
        <v>7.328392392860418</v>
      </c>
      <c r="W43">
        <v>6.9171428923683624</v>
      </c>
      <c r="X43">
        <v>7.006215757883405</v>
      </c>
      <c r="Y43">
        <v>7.5401819852124072</v>
      </c>
      <c r="Z43">
        <v>7.0893525161800381</v>
      </c>
      <c r="AA43">
        <v>7.1478869283017081</v>
      </c>
      <c r="AB43">
        <v>6.889519410800685</v>
      </c>
      <c r="AC43">
        <v>6.7759988129128619</v>
      </c>
      <c r="AD43" t="s">
        <v>73</v>
      </c>
    </row>
    <row r="44" spans="1:30" x14ac:dyDescent="0.3">
      <c r="A44" t="s">
        <v>566</v>
      </c>
      <c r="B44" s="5" t="s">
        <v>567</v>
      </c>
      <c r="C44" t="s">
        <v>12</v>
      </c>
      <c r="D44" s="5" t="s">
        <v>143</v>
      </c>
      <c r="E44">
        <v>8.3057195333067995</v>
      </c>
      <c r="F44">
        <v>8.3209726766762149</v>
      </c>
      <c r="G44">
        <v>8.5100051768484821</v>
      </c>
      <c r="H44">
        <v>8.3287741651214464</v>
      </c>
      <c r="I44">
        <v>7.9109831623137357</v>
      </c>
      <c r="J44">
        <v>7.5272667017795118</v>
      </c>
      <c r="K44">
        <v>7.1867695307177071</v>
      </c>
      <c r="L44">
        <v>6.9345586759578621</v>
      </c>
      <c r="M44">
        <v>6.6873848504052011</v>
      </c>
      <c r="N44">
        <v>6.6897406962880854</v>
      </c>
      <c r="O44">
        <v>6.3248538764106899</v>
      </c>
      <c r="P44">
        <v>6.0916961082221501</v>
      </c>
      <c r="Q44">
        <v>5.5826870535493249</v>
      </c>
      <c r="R44">
        <v>5.392714954494723</v>
      </c>
      <c r="S44">
        <v>5.4469572147442076</v>
      </c>
      <c r="T44">
        <v>5.9804248084981584</v>
      </c>
      <c r="U44">
        <v>6.6064122660578706</v>
      </c>
      <c r="V44">
        <v>6.3896635526811822</v>
      </c>
      <c r="W44">
        <v>6.2257096896003308</v>
      </c>
      <c r="X44">
        <v>6.4107208216831371</v>
      </c>
      <c r="Y44">
        <v>7.5084804666334826</v>
      </c>
      <c r="Z44">
        <v>7.7718730138500156</v>
      </c>
      <c r="AA44">
        <v>8.8315447368904056</v>
      </c>
      <c r="AB44">
        <v>8.8079229465303346</v>
      </c>
      <c r="AC44">
        <v>9.2827963599221075</v>
      </c>
      <c r="AD44" t="s">
        <v>73</v>
      </c>
    </row>
    <row r="45" spans="1:30" x14ac:dyDescent="0.3">
      <c r="A45" t="s">
        <v>566</v>
      </c>
      <c r="B45" s="5" t="s">
        <v>567</v>
      </c>
      <c r="C45" t="s">
        <v>144</v>
      </c>
      <c r="D45" s="5" t="s">
        <v>145</v>
      </c>
      <c r="E45">
        <v>29.376319930988338</v>
      </c>
      <c r="F45">
        <v>29.37628657527021</v>
      </c>
      <c r="G45">
        <v>29.376012439903036</v>
      </c>
      <c r="H45">
        <v>29.376127259501573</v>
      </c>
      <c r="I45">
        <v>29.376019929183993</v>
      </c>
      <c r="J45">
        <v>29.376273903782934</v>
      </c>
      <c r="K45">
        <v>29.376340619868259</v>
      </c>
      <c r="L45">
        <v>28.956646255431036</v>
      </c>
      <c r="M45">
        <v>29.138915008096955</v>
      </c>
      <c r="N45">
        <v>30.033006400861801</v>
      </c>
      <c r="O45">
        <v>30.415978180544716</v>
      </c>
      <c r="P45">
        <v>30.564273111428225</v>
      </c>
      <c r="Q45">
        <v>30.173089921436357</v>
      </c>
      <c r="R45">
        <v>30.789862047949462</v>
      </c>
      <c r="S45">
        <v>30.011451447336583</v>
      </c>
      <c r="T45">
        <v>30.598628211772727</v>
      </c>
      <c r="U45">
        <v>31.368472028772054</v>
      </c>
      <c r="V45">
        <v>31.898886868975335</v>
      </c>
      <c r="W45">
        <v>33.720153068083221</v>
      </c>
      <c r="X45">
        <v>35.620097980059192</v>
      </c>
      <c r="Y45">
        <v>35.797403585504824</v>
      </c>
      <c r="Z45">
        <v>35.240948799591834</v>
      </c>
      <c r="AA45">
        <v>35.164324124623988</v>
      </c>
      <c r="AB45">
        <v>35.942770387229395</v>
      </c>
      <c r="AC45">
        <v>36.626502927637354</v>
      </c>
      <c r="AD45" t="s">
        <v>73</v>
      </c>
    </row>
    <row r="46" spans="1:30" x14ac:dyDescent="0.3">
      <c r="A46" t="s">
        <v>566</v>
      </c>
      <c r="B46" s="5" t="s">
        <v>567</v>
      </c>
      <c r="C46" t="s">
        <v>146</v>
      </c>
      <c r="D46" s="5" t="s">
        <v>147</v>
      </c>
      <c r="E46">
        <v>31.972358265241464</v>
      </c>
      <c r="F46">
        <v>32.870904020044748</v>
      </c>
      <c r="G46">
        <v>26.583779320499179</v>
      </c>
      <c r="H46">
        <v>26.053838806606709</v>
      </c>
      <c r="I46">
        <v>23.879359490824381</v>
      </c>
      <c r="J46">
        <v>19.844651087233338</v>
      </c>
      <c r="K46">
        <v>20.385902753772342</v>
      </c>
      <c r="L46">
        <v>18.265259079812925</v>
      </c>
      <c r="M46">
        <v>18.232962559399564</v>
      </c>
      <c r="N46">
        <v>17.215053961648866</v>
      </c>
      <c r="O46">
        <v>28.855850633420683</v>
      </c>
      <c r="P46">
        <v>15.741544467002017</v>
      </c>
      <c r="Q46">
        <v>15.323258069825417</v>
      </c>
      <c r="R46">
        <v>13.673876120863405</v>
      </c>
      <c r="S46">
        <v>12.488689362081002</v>
      </c>
      <c r="T46">
        <v>12.456053797914008</v>
      </c>
      <c r="U46">
        <v>12.289550901342135</v>
      </c>
      <c r="V46">
        <v>12.25910598272406</v>
      </c>
      <c r="W46">
        <v>12.302193665549312</v>
      </c>
      <c r="X46">
        <v>13.151215704108681</v>
      </c>
      <c r="Y46">
        <v>13.746106636895394</v>
      </c>
      <c r="Z46">
        <v>11.315706251900012</v>
      </c>
      <c r="AA46">
        <v>10.337007473816183</v>
      </c>
      <c r="AB46">
        <v>10.377395159527785</v>
      </c>
      <c r="AC46">
        <v>9.6354790460375401</v>
      </c>
      <c r="AD46" t="s">
        <v>73</v>
      </c>
    </row>
    <row r="47" spans="1:30" x14ac:dyDescent="0.3">
      <c r="A47" t="s">
        <v>566</v>
      </c>
      <c r="B47" s="5" t="s">
        <v>567</v>
      </c>
      <c r="C47" t="s">
        <v>148</v>
      </c>
      <c r="D47" s="5" t="s">
        <v>149</v>
      </c>
      <c r="E47">
        <v>5.3042529989094875</v>
      </c>
      <c r="F47">
        <v>5.799931650637113</v>
      </c>
      <c r="G47">
        <v>6.2615801225711438</v>
      </c>
      <c r="H47">
        <v>6.2752239393641105</v>
      </c>
      <c r="I47">
        <v>5.5094063034449059</v>
      </c>
      <c r="J47">
        <v>6.1042378665185133</v>
      </c>
      <c r="K47">
        <v>4.8131464184944486</v>
      </c>
      <c r="L47">
        <v>4.9198110806247257</v>
      </c>
      <c r="M47">
        <v>4.2481509716336365</v>
      </c>
      <c r="N47">
        <v>5.2799332750758614</v>
      </c>
      <c r="O47">
        <v>4.0385345212259125</v>
      </c>
      <c r="P47">
        <v>3.9839361915251863</v>
      </c>
      <c r="Q47">
        <v>3.7987749229843417</v>
      </c>
      <c r="R47">
        <v>4.2600821881156419</v>
      </c>
      <c r="S47">
        <v>4.5576547428764176</v>
      </c>
      <c r="T47">
        <v>5.8105889311642764</v>
      </c>
      <c r="U47">
        <v>6.7636503515412105</v>
      </c>
      <c r="V47">
        <v>7.3099397195145119</v>
      </c>
      <c r="W47">
        <v>6.7883925540022165</v>
      </c>
      <c r="X47">
        <v>7.3469917082119016</v>
      </c>
      <c r="Y47">
        <v>10.690424309702939</v>
      </c>
      <c r="Z47">
        <v>9.0967486893800249</v>
      </c>
      <c r="AA47">
        <v>8.0419106943363019</v>
      </c>
      <c r="AB47">
        <v>8.9521158763060082</v>
      </c>
      <c r="AC47">
        <v>9.4403397404622407</v>
      </c>
      <c r="AD47" t="s">
        <v>73</v>
      </c>
    </row>
    <row r="48" spans="1:30" x14ac:dyDescent="0.3">
      <c r="A48" t="s">
        <v>566</v>
      </c>
      <c r="B48" s="5" t="s">
        <v>567</v>
      </c>
      <c r="C48" t="s">
        <v>13</v>
      </c>
      <c r="D48" s="5" t="s">
        <v>150</v>
      </c>
      <c r="E48">
        <v>9.2488231853434506</v>
      </c>
      <c r="F48">
        <v>8.3795362700738369</v>
      </c>
      <c r="G48">
        <v>8.4277502901843722</v>
      </c>
      <c r="H48">
        <v>8.8400780087151354</v>
      </c>
      <c r="I48">
        <v>8.8524087680023769</v>
      </c>
      <c r="J48">
        <v>8.6222369462672663</v>
      </c>
      <c r="K48">
        <v>8.4298281970663353</v>
      </c>
      <c r="L48">
        <v>7.9153110434290337</v>
      </c>
      <c r="M48">
        <v>6.9769604693420515</v>
      </c>
      <c r="N48">
        <v>7.0496297006620789</v>
      </c>
      <c r="O48">
        <v>6.4851894083594663</v>
      </c>
      <c r="P48">
        <v>5.5998721223086099</v>
      </c>
      <c r="Q48">
        <v>5.1308419142905901</v>
      </c>
      <c r="R48">
        <v>4.783350932948526</v>
      </c>
      <c r="S48">
        <v>4.8878837898313936</v>
      </c>
      <c r="T48">
        <v>4.7491104290484056</v>
      </c>
      <c r="U48">
        <v>4.9143557868633003</v>
      </c>
      <c r="V48">
        <v>4.6997763315990095</v>
      </c>
      <c r="W48">
        <v>4.4838283372217305</v>
      </c>
      <c r="X48">
        <v>4.2020511630246453</v>
      </c>
      <c r="Y48">
        <v>4.3442255603549667</v>
      </c>
      <c r="Z48">
        <v>4.3667132593712727</v>
      </c>
      <c r="AA48">
        <v>4.1400736209008544</v>
      </c>
      <c r="AB48">
        <v>3.8004765728883916</v>
      </c>
      <c r="AC48">
        <v>3.562426141678225</v>
      </c>
      <c r="AD48" t="s">
        <v>73</v>
      </c>
    </row>
    <row r="49" spans="1:30" x14ac:dyDescent="0.3">
      <c r="A49" t="s">
        <v>566</v>
      </c>
      <c r="B49" s="5" t="s">
        <v>567</v>
      </c>
      <c r="C49" t="s">
        <v>151</v>
      </c>
      <c r="D49" s="5" t="s">
        <v>152</v>
      </c>
      <c r="E49">
        <v>16.195154514693002</v>
      </c>
      <c r="F49">
        <v>17.277097552718367</v>
      </c>
      <c r="G49">
        <v>18.73731415722601</v>
      </c>
      <c r="H49">
        <v>20.77602022027288</v>
      </c>
      <c r="I49">
        <v>16.640018984398033</v>
      </c>
      <c r="J49">
        <v>16.065185358480296</v>
      </c>
      <c r="K49">
        <v>15.944794906629218</v>
      </c>
      <c r="L49">
        <v>15.578746325539919</v>
      </c>
      <c r="M49">
        <v>16.185484182972566</v>
      </c>
      <c r="N49">
        <v>15.249581638575915</v>
      </c>
      <c r="O49">
        <v>17.488917070784215</v>
      </c>
      <c r="P49">
        <v>18.486671488644724</v>
      </c>
      <c r="Q49">
        <v>16.37514987588612</v>
      </c>
      <c r="R49">
        <v>15.342901935494455</v>
      </c>
      <c r="S49">
        <v>15.241755525618547</v>
      </c>
      <c r="T49">
        <v>18.362041686875173</v>
      </c>
      <c r="U49">
        <v>17.434968407497117</v>
      </c>
      <c r="V49">
        <v>16.940987149693818</v>
      </c>
      <c r="W49">
        <v>17.852601402265908</v>
      </c>
      <c r="X49">
        <v>15.688206363531499</v>
      </c>
      <c r="Y49">
        <v>16.933415476894368</v>
      </c>
      <c r="Z49">
        <v>16.180552963013543</v>
      </c>
      <c r="AA49">
        <v>16.584333209761567</v>
      </c>
      <c r="AB49">
        <v>15.94425784386072</v>
      </c>
      <c r="AC49">
        <v>15.859434378094797</v>
      </c>
      <c r="AD49" t="s">
        <v>73</v>
      </c>
    </row>
    <row r="50" spans="1:30" x14ac:dyDescent="0.3">
      <c r="A50" t="s">
        <v>566</v>
      </c>
      <c r="B50" s="5" t="s">
        <v>567</v>
      </c>
      <c r="C50" t="s">
        <v>153</v>
      </c>
      <c r="D50" s="5" t="s">
        <v>154</v>
      </c>
      <c r="E50">
        <v>4.9674726905319853</v>
      </c>
      <c r="F50">
        <v>4.9627469209302655</v>
      </c>
      <c r="G50">
        <v>4.8421876476631303</v>
      </c>
      <c r="H50">
        <v>3.9360953159101286</v>
      </c>
      <c r="I50">
        <v>4.4176592697251218</v>
      </c>
      <c r="J50">
        <v>3.8665024719747856</v>
      </c>
      <c r="K50">
        <v>3.978181845880485</v>
      </c>
      <c r="L50">
        <v>3.6904482073586977</v>
      </c>
      <c r="M50">
        <v>3.8806438965728129</v>
      </c>
      <c r="N50">
        <v>3.9858244633642048</v>
      </c>
      <c r="O50">
        <v>3.6444898389403297</v>
      </c>
      <c r="P50">
        <v>3.6246940609800764</v>
      </c>
      <c r="Q50">
        <v>3.2839104995376953</v>
      </c>
      <c r="R50">
        <v>3.4376762131673582</v>
      </c>
      <c r="S50">
        <v>2.9387908382952772</v>
      </c>
      <c r="T50">
        <v>2.9638323736792413</v>
      </c>
      <c r="U50">
        <v>3.0598078134885096</v>
      </c>
      <c r="V50">
        <v>2.8902099992231438</v>
      </c>
      <c r="W50">
        <v>2.9508676908128568</v>
      </c>
      <c r="X50">
        <v>2.8568540493220924</v>
      </c>
      <c r="Y50">
        <v>3.1286338705282906</v>
      </c>
      <c r="Z50">
        <v>3.3597332734887111</v>
      </c>
      <c r="AA50">
        <v>3.393223879244057</v>
      </c>
      <c r="AB50">
        <v>2.6839535071423635</v>
      </c>
      <c r="AC50">
        <v>2.8958895143799612</v>
      </c>
      <c r="AD50" t="s">
        <v>73</v>
      </c>
    </row>
    <row r="51" spans="1:30" x14ac:dyDescent="0.3">
      <c r="A51" t="s">
        <v>566</v>
      </c>
      <c r="B51" s="5" t="s">
        <v>567</v>
      </c>
      <c r="C51" t="s">
        <v>155</v>
      </c>
      <c r="D51" s="5" t="s">
        <v>156</v>
      </c>
      <c r="E51">
        <v>6.601255013839177</v>
      </c>
      <c r="F51">
        <v>6.3795672045047089</v>
      </c>
      <c r="G51">
        <v>5.9457287030559236</v>
      </c>
      <c r="H51">
        <v>5.7452118592136197</v>
      </c>
      <c r="I51">
        <v>5.4744391801690968</v>
      </c>
      <c r="J51">
        <v>4.3636522184269433</v>
      </c>
      <c r="K51">
        <v>3.405014523309343</v>
      </c>
      <c r="L51">
        <v>3.9081016792397776</v>
      </c>
      <c r="M51">
        <v>3.8170386950036423</v>
      </c>
      <c r="N51">
        <v>3.9304123711340204</v>
      </c>
      <c r="O51">
        <v>3.6142892675040414</v>
      </c>
      <c r="P51">
        <v>3.6048702710537763</v>
      </c>
      <c r="Q51">
        <v>3.8500977563883461</v>
      </c>
      <c r="R51">
        <v>3.9249235236169437</v>
      </c>
      <c r="S51">
        <v>3.9377058895731385</v>
      </c>
      <c r="T51">
        <v>3.8357541591685336</v>
      </c>
      <c r="U51">
        <v>3.9383388809409046</v>
      </c>
      <c r="V51">
        <v>3.8001810121052806</v>
      </c>
      <c r="W51">
        <v>3.7823729480893209</v>
      </c>
      <c r="X51">
        <v>3.5673263229544143</v>
      </c>
      <c r="Y51">
        <v>2.7619420225054028</v>
      </c>
      <c r="Z51">
        <v>0.8820325080976783</v>
      </c>
      <c r="AA51">
        <v>0.80067225510312079</v>
      </c>
      <c r="AB51">
        <v>1.4057874013374094</v>
      </c>
      <c r="AC51">
        <v>1.2397463719349742</v>
      </c>
      <c r="AD51" t="s">
        <v>73</v>
      </c>
    </row>
    <row r="52" spans="1:30" x14ac:dyDescent="0.3">
      <c r="A52" t="s">
        <v>566</v>
      </c>
      <c r="B52" s="5" t="s">
        <v>567</v>
      </c>
      <c r="C52" t="s">
        <v>157</v>
      </c>
      <c r="D52" s="5" t="s">
        <v>158</v>
      </c>
      <c r="E52">
        <v>0.5474357124432232</v>
      </c>
      <c r="F52">
        <v>0.85406844620203093</v>
      </c>
      <c r="G52">
        <v>0.61735797097919576</v>
      </c>
      <c r="H52">
        <v>0.58814648704912009</v>
      </c>
      <c r="I52">
        <v>0.55976034864426727</v>
      </c>
      <c r="J52">
        <v>0.58886549305300451</v>
      </c>
      <c r="K52">
        <v>0.55754040631257784</v>
      </c>
      <c r="L52">
        <v>0.63715195035992567</v>
      </c>
      <c r="M52">
        <v>0.64338130732010623</v>
      </c>
      <c r="N52">
        <v>0.45835259199559047</v>
      </c>
      <c r="O52">
        <v>0.44100180060071514</v>
      </c>
      <c r="P52">
        <v>0.30949463795204146</v>
      </c>
      <c r="Q52">
        <v>0.18896464534047114</v>
      </c>
      <c r="R52">
        <v>0.22782235986505217</v>
      </c>
      <c r="S52">
        <v>0.2073274690435476</v>
      </c>
      <c r="T52">
        <v>0.205941926250781</v>
      </c>
      <c r="U52">
        <v>0.1695668182276531</v>
      </c>
      <c r="V52">
        <v>0.16628179903779364</v>
      </c>
      <c r="W52">
        <v>0.21477923102013941</v>
      </c>
      <c r="X52">
        <v>0.23176741592343234</v>
      </c>
      <c r="Y52">
        <v>0.26841909400896108</v>
      </c>
      <c r="Z52">
        <v>0.25915578909001274</v>
      </c>
      <c r="AA52">
        <v>0.26617439424771511</v>
      </c>
      <c r="AB52">
        <v>0.26825339773777251</v>
      </c>
      <c r="AC52">
        <v>0.27884371453694479</v>
      </c>
      <c r="AD52" t="s">
        <v>73</v>
      </c>
    </row>
    <row r="53" spans="1:30" x14ac:dyDescent="0.3">
      <c r="A53" t="s">
        <v>566</v>
      </c>
      <c r="B53" s="5" t="s">
        <v>567</v>
      </c>
      <c r="C53" t="s">
        <v>159</v>
      </c>
      <c r="D53" s="5" t="s">
        <v>160</v>
      </c>
      <c r="E53">
        <v>3.6472636485340613</v>
      </c>
      <c r="F53">
        <v>3.8607964531155718</v>
      </c>
      <c r="G53">
        <v>3.7882677482382396</v>
      </c>
      <c r="H53">
        <v>3.3529015922720951</v>
      </c>
      <c r="I53">
        <v>3.0833314268793841</v>
      </c>
      <c r="J53">
        <v>2.7385278148671461</v>
      </c>
      <c r="K53">
        <v>2.2759759957394978</v>
      </c>
      <c r="L53">
        <v>2.0235328085140596</v>
      </c>
      <c r="M53">
        <v>2.0933120948744683</v>
      </c>
      <c r="N53">
        <v>1.988819440023162</v>
      </c>
      <c r="O53">
        <v>2.0576608949728348</v>
      </c>
      <c r="P53">
        <v>2.1453186099197121</v>
      </c>
      <c r="Q53">
        <v>2.0012800986818822</v>
      </c>
      <c r="R53">
        <v>2.0363356667327781</v>
      </c>
      <c r="S53">
        <v>1.8448762123273281</v>
      </c>
      <c r="T53">
        <v>1.8679845184110946</v>
      </c>
      <c r="U53">
        <v>2.14376219902412</v>
      </c>
      <c r="V53">
        <v>1.8526329822874079</v>
      </c>
      <c r="W53">
        <v>1.718138098614564</v>
      </c>
      <c r="X53">
        <v>1.748205428742045</v>
      </c>
      <c r="Y53">
        <v>1.8253356919424548</v>
      </c>
      <c r="Z53">
        <v>1.5025027173990291</v>
      </c>
      <c r="AA53">
        <v>1.1860761260119994</v>
      </c>
      <c r="AB53">
        <v>1.154959184356066</v>
      </c>
      <c r="AC53">
        <v>1.1551281214652711</v>
      </c>
      <c r="AD53" t="s">
        <v>73</v>
      </c>
    </row>
    <row r="54" spans="1:30" x14ac:dyDescent="0.3">
      <c r="A54" t="s">
        <v>566</v>
      </c>
      <c r="B54" s="5" t="s">
        <v>567</v>
      </c>
      <c r="C54" t="s">
        <v>161</v>
      </c>
      <c r="D54" s="5" t="s">
        <v>162</v>
      </c>
      <c r="E54">
        <v>3.2302371129724547</v>
      </c>
      <c r="F54">
        <v>3.1877152649316591</v>
      </c>
      <c r="G54">
        <v>2.6462525319231229</v>
      </c>
      <c r="H54">
        <v>2.4310346227247877</v>
      </c>
      <c r="I54">
        <v>2.4080430678769873</v>
      </c>
      <c r="J54">
        <v>2.2812577067976121</v>
      </c>
      <c r="K54">
        <v>2.1629334109859579</v>
      </c>
      <c r="L54">
        <v>2.0887153003309367</v>
      </c>
      <c r="M54">
        <v>1.9203658443556562</v>
      </c>
      <c r="N54">
        <v>1.7588623002632107</v>
      </c>
      <c r="O54">
        <v>1.5225819697333367</v>
      </c>
      <c r="P54">
        <v>1.9639323086765372</v>
      </c>
      <c r="Q54">
        <v>2.2316266615125442</v>
      </c>
      <c r="R54">
        <v>2.3475831558132132</v>
      </c>
      <c r="S54">
        <v>2.3926956451029704</v>
      </c>
      <c r="T54">
        <v>2.2589257134798841</v>
      </c>
      <c r="U54">
        <v>2.1480973687959812</v>
      </c>
      <c r="V54">
        <v>2.1054596875588878</v>
      </c>
      <c r="W54">
        <v>1.9685622468279822</v>
      </c>
      <c r="X54">
        <v>1.8915177090881117</v>
      </c>
      <c r="Y54">
        <v>1.9439913882530087</v>
      </c>
      <c r="Z54">
        <v>1.7588666649227818</v>
      </c>
      <c r="AA54">
        <v>2.076349755002644</v>
      </c>
      <c r="AB54">
        <v>2.1412191541263934</v>
      </c>
      <c r="AC54">
        <v>1.8992353511814275</v>
      </c>
      <c r="AD54" t="s">
        <v>73</v>
      </c>
    </row>
    <row r="55" spans="1:30" x14ac:dyDescent="0.3">
      <c r="A55" t="s">
        <v>566</v>
      </c>
      <c r="B55" s="5" t="s">
        <v>567</v>
      </c>
      <c r="C55" t="s">
        <v>14</v>
      </c>
      <c r="D55" s="5" t="s">
        <v>163</v>
      </c>
      <c r="E55">
        <v>2.1495301259157795</v>
      </c>
      <c r="F55">
        <v>2.3098141092311355</v>
      </c>
      <c r="G55">
        <v>1.7548454579579029</v>
      </c>
      <c r="H55">
        <v>1.5870035716672073</v>
      </c>
      <c r="I55">
        <v>1.5968233470381021</v>
      </c>
      <c r="J55">
        <v>1.1305638879059134</v>
      </c>
      <c r="K55">
        <v>1.1468087165890455</v>
      </c>
      <c r="L55">
        <v>1.1703836697596852</v>
      </c>
      <c r="M55">
        <v>0.84168285035050094</v>
      </c>
      <c r="N55">
        <v>0.80694593123891123</v>
      </c>
      <c r="O55">
        <v>1.1884393485633966</v>
      </c>
      <c r="P55">
        <v>1.2683280740331475</v>
      </c>
      <c r="Q55">
        <v>1.6175821991743298</v>
      </c>
      <c r="R55">
        <v>1.2566404150844557</v>
      </c>
      <c r="S55">
        <v>1.3534272022490319</v>
      </c>
      <c r="T55">
        <v>0.90831806092930234</v>
      </c>
      <c r="U55">
        <v>0.92879780499664988</v>
      </c>
      <c r="V55">
        <v>1.2598580673451407</v>
      </c>
      <c r="W55">
        <v>0.99704488734782981</v>
      </c>
      <c r="X55">
        <v>1.2412274116914404</v>
      </c>
      <c r="Y55">
        <v>1.3375200866845138</v>
      </c>
      <c r="Z55">
        <v>1.0810312092896883</v>
      </c>
      <c r="AA55">
        <v>1.002285337296636</v>
      </c>
      <c r="AB55">
        <v>1.0378705697631696</v>
      </c>
      <c r="AC55">
        <v>0.92772226209988828</v>
      </c>
      <c r="AD55" t="s">
        <v>73</v>
      </c>
    </row>
    <row r="56" spans="1:30" x14ac:dyDescent="0.3">
      <c r="A56" t="s">
        <v>566</v>
      </c>
      <c r="B56" s="5" t="s">
        <v>567</v>
      </c>
      <c r="C56" t="s">
        <v>164</v>
      </c>
      <c r="D56" s="5" t="s">
        <v>165</v>
      </c>
      <c r="E56" t="s">
        <v>73</v>
      </c>
      <c r="F56" t="s">
        <v>73</v>
      </c>
      <c r="G56" t="s">
        <v>73</v>
      </c>
      <c r="H56" t="s">
        <v>73</v>
      </c>
      <c r="I56" t="s">
        <v>73</v>
      </c>
      <c r="J56" t="s">
        <v>73</v>
      </c>
      <c r="K56" t="s">
        <v>73</v>
      </c>
      <c r="L56" t="s">
        <v>73</v>
      </c>
      <c r="M56" t="s">
        <v>73</v>
      </c>
      <c r="N56" t="s">
        <v>73</v>
      </c>
      <c r="O56" t="s">
        <v>73</v>
      </c>
      <c r="P56" t="s">
        <v>73</v>
      </c>
      <c r="Q56" t="s">
        <v>73</v>
      </c>
      <c r="R56">
        <v>1.193923047283536</v>
      </c>
      <c r="S56">
        <v>1.2241102332676219</v>
      </c>
      <c r="T56">
        <v>1.0590075264409906</v>
      </c>
      <c r="U56">
        <v>0.99558771996225959</v>
      </c>
      <c r="V56">
        <v>1.2942409518358942</v>
      </c>
      <c r="W56">
        <v>1.4167110203576694</v>
      </c>
      <c r="X56">
        <v>1.51935229833123</v>
      </c>
      <c r="Y56">
        <v>1.9974447358868224</v>
      </c>
      <c r="Z56">
        <v>3.0071622618426548</v>
      </c>
      <c r="AA56">
        <v>2.6310179224764427</v>
      </c>
      <c r="AB56">
        <v>2.50202235262172</v>
      </c>
      <c r="AC56">
        <v>2.5119476858485958</v>
      </c>
      <c r="AD56" t="s">
        <v>73</v>
      </c>
    </row>
    <row r="57" spans="1:30" x14ac:dyDescent="0.3">
      <c r="A57" t="s">
        <v>566</v>
      </c>
      <c r="B57" s="5" t="s">
        <v>567</v>
      </c>
      <c r="C57" t="s">
        <v>166</v>
      </c>
      <c r="D57" s="5" t="s">
        <v>167</v>
      </c>
      <c r="E57">
        <v>11.9039950242678</v>
      </c>
      <c r="F57">
        <v>11.216209586420057</v>
      </c>
      <c r="G57">
        <v>10.628405591092157</v>
      </c>
      <c r="H57">
        <v>11.251438549148777</v>
      </c>
      <c r="I57">
        <v>11.539323325117635</v>
      </c>
      <c r="J57">
        <v>11.914696337505793</v>
      </c>
      <c r="K57">
        <v>10.950027555065688</v>
      </c>
      <c r="L57">
        <v>10.993212010161164</v>
      </c>
      <c r="M57">
        <v>12.357929336964993</v>
      </c>
      <c r="N57">
        <v>13.292198510239411</v>
      </c>
      <c r="O57">
        <v>12.16711075647255</v>
      </c>
      <c r="P57">
        <v>13.139869972574514</v>
      </c>
      <c r="Q57">
        <v>12.528470561439473</v>
      </c>
      <c r="R57">
        <v>14.071095776905418</v>
      </c>
      <c r="S57">
        <v>13.581085891436745</v>
      </c>
      <c r="T57">
        <v>13.541388814795056</v>
      </c>
      <c r="U57">
        <v>13.500411045021519</v>
      </c>
      <c r="V57">
        <v>11.743783940147003</v>
      </c>
      <c r="W57">
        <v>9.6476955183757198</v>
      </c>
      <c r="X57">
        <v>10.116700201207243</v>
      </c>
      <c r="Y57">
        <v>12.252914609809894</v>
      </c>
      <c r="Z57">
        <v>14.015106654560288</v>
      </c>
      <c r="AA57">
        <v>12.943819957557348</v>
      </c>
      <c r="AB57">
        <v>12.10972170728145</v>
      </c>
      <c r="AC57">
        <v>12.224324992741858</v>
      </c>
      <c r="AD57" t="s">
        <v>73</v>
      </c>
    </row>
    <row r="58" spans="1:30" x14ac:dyDescent="0.3">
      <c r="A58" t="s">
        <v>566</v>
      </c>
      <c r="B58" s="5" t="s">
        <v>567</v>
      </c>
      <c r="C58" t="s">
        <v>168</v>
      </c>
      <c r="D58" s="5" t="s">
        <v>169</v>
      </c>
      <c r="E58">
        <v>6.7183420474789379</v>
      </c>
      <c r="F58">
        <v>6.9975186127097464</v>
      </c>
      <c r="G58">
        <v>6.8051192182903719</v>
      </c>
      <c r="H58">
        <v>6.6938498439482625</v>
      </c>
      <c r="I58">
        <v>7.020472992553918</v>
      </c>
      <c r="J58">
        <v>7.2119352837562198</v>
      </c>
      <c r="K58">
        <v>6.8587193196752034</v>
      </c>
      <c r="L58">
        <v>6.5115739105670523</v>
      </c>
      <c r="M58">
        <v>6.270991801216967</v>
      </c>
      <c r="N58">
        <v>6.0102137397095241</v>
      </c>
      <c r="O58">
        <v>5.8749317850491218</v>
      </c>
      <c r="P58">
        <v>5.4136207001604015</v>
      </c>
      <c r="Q58">
        <v>5.1389270578641728</v>
      </c>
      <c r="R58">
        <v>4.9941058842562871</v>
      </c>
      <c r="S58">
        <v>4.8378030326476367</v>
      </c>
      <c r="T58">
        <v>5.058832344246273</v>
      </c>
      <c r="U58">
        <v>5.0270451056437313</v>
      </c>
      <c r="V58">
        <v>4.8376093405265284</v>
      </c>
      <c r="W58">
        <v>4.5714732387527439</v>
      </c>
      <c r="X58">
        <v>4.3251195696103553</v>
      </c>
      <c r="Y58">
        <v>4.522528402378887</v>
      </c>
      <c r="Z58">
        <v>4.2156759028405473</v>
      </c>
      <c r="AA58">
        <v>4.1537198418871073</v>
      </c>
      <c r="AB58">
        <v>4.2942530399852474</v>
      </c>
      <c r="AC58">
        <v>4.453984481879723</v>
      </c>
      <c r="AD58" t="s">
        <v>73</v>
      </c>
    </row>
    <row r="59" spans="1:30" x14ac:dyDescent="0.3">
      <c r="A59" t="s">
        <v>566</v>
      </c>
      <c r="B59" s="5" t="s">
        <v>567</v>
      </c>
      <c r="C59" t="s">
        <v>170</v>
      </c>
      <c r="D59" s="5" t="s">
        <v>171</v>
      </c>
      <c r="E59">
        <v>12.401175424691049</v>
      </c>
      <c r="F59">
        <v>10.470148490588189</v>
      </c>
      <c r="G59">
        <v>9.434003899653721</v>
      </c>
      <c r="H59">
        <v>9.050128130900978</v>
      </c>
      <c r="I59">
        <v>7.9689195156338783</v>
      </c>
      <c r="J59">
        <v>7.7263255461942322</v>
      </c>
      <c r="K59">
        <v>7.7196786518902885</v>
      </c>
      <c r="L59">
        <v>7.6483942167026333</v>
      </c>
      <c r="M59">
        <v>7.3493757008365037</v>
      </c>
      <c r="N59">
        <v>8.6122554200785295</v>
      </c>
      <c r="O59">
        <v>8.3302102589958302</v>
      </c>
      <c r="P59">
        <v>7.908539174874214</v>
      </c>
      <c r="Q59">
        <v>6.9994410899507349</v>
      </c>
      <c r="R59">
        <v>6.9632088048903302</v>
      </c>
      <c r="S59">
        <v>7.4043996700318537</v>
      </c>
      <c r="T59">
        <v>8.0204962972879681</v>
      </c>
      <c r="U59">
        <v>8.0721258589499758</v>
      </c>
      <c r="V59">
        <v>7.902220409515742</v>
      </c>
      <c r="W59">
        <v>7.6450599480581136</v>
      </c>
      <c r="X59">
        <v>7.7867645985908567</v>
      </c>
      <c r="Y59">
        <v>8.3857490589964545</v>
      </c>
      <c r="Z59">
        <v>8.0799998328031837</v>
      </c>
      <c r="AA59">
        <v>7.3930399235546247</v>
      </c>
      <c r="AB59">
        <v>7.995473633338035</v>
      </c>
      <c r="AC59">
        <v>9.4761009507464067</v>
      </c>
      <c r="AD59" t="s">
        <v>73</v>
      </c>
    </row>
    <row r="60" spans="1:30" x14ac:dyDescent="0.3">
      <c r="A60" t="s">
        <v>566</v>
      </c>
      <c r="B60" s="5" t="s">
        <v>567</v>
      </c>
      <c r="C60" t="s">
        <v>15</v>
      </c>
      <c r="D60" s="5" t="s">
        <v>172</v>
      </c>
      <c r="E60">
        <v>15.538077036165834</v>
      </c>
      <c r="F60">
        <v>15.351268469473098</v>
      </c>
      <c r="G60">
        <v>15.404856162575879</v>
      </c>
      <c r="H60">
        <v>15.286706586826348</v>
      </c>
      <c r="I60">
        <v>14.269936121986401</v>
      </c>
      <c r="J60">
        <v>13.981689879294338</v>
      </c>
      <c r="K60">
        <v>13.237202525497816</v>
      </c>
      <c r="L60">
        <v>13.420126208378088</v>
      </c>
      <c r="M60">
        <v>12.630240089335567</v>
      </c>
      <c r="N60">
        <v>12.997946651314527</v>
      </c>
      <c r="O60">
        <v>13.340759157964529</v>
      </c>
      <c r="P60">
        <v>13.869105098096417</v>
      </c>
      <c r="Q60">
        <v>11.27276527139189</v>
      </c>
      <c r="R60">
        <v>11.274349602236079</v>
      </c>
      <c r="S60">
        <v>11.337708920187794</v>
      </c>
      <c r="T60">
        <v>11.394062768525718</v>
      </c>
      <c r="U60">
        <v>11.769316084742009</v>
      </c>
      <c r="V60">
        <v>10.98638064498482</v>
      </c>
      <c r="W60">
        <v>10.830249024902489</v>
      </c>
      <c r="X60">
        <v>10.69713545389564</v>
      </c>
      <c r="Y60">
        <v>11.16682394434873</v>
      </c>
      <c r="Z60">
        <v>11.43693265897255</v>
      </c>
      <c r="AA60">
        <v>10.945753522473701</v>
      </c>
      <c r="AB60">
        <v>10.600311164503614</v>
      </c>
      <c r="AC60">
        <v>13.712112879280483</v>
      </c>
      <c r="AD60" t="s">
        <v>73</v>
      </c>
    </row>
    <row r="61" spans="1:30" x14ac:dyDescent="0.3">
      <c r="A61" t="s">
        <v>566</v>
      </c>
      <c r="B61" s="5" t="s">
        <v>567</v>
      </c>
      <c r="C61" t="s">
        <v>173</v>
      </c>
      <c r="D61" s="5" t="s">
        <v>174</v>
      </c>
      <c r="E61">
        <v>7.1727847766091939</v>
      </c>
      <c r="F61">
        <v>6.6864925979115588</v>
      </c>
      <c r="G61">
        <v>5.8229841982080774</v>
      </c>
      <c r="H61">
        <v>5.4883971344919287</v>
      </c>
      <c r="I61">
        <v>5.7279259126258708</v>
      </c>
      <c r="J61">
        <v>6.1716560076200837</v>
      </c>
      <c r="K61">
        <v>6.0461665673951508</v>
      </c>
      <c r="L61">
        <v>6.993107704968625</v>
      </c>
      <c r="M61">
        <v>7.0901084067340152</v>
      </c>
      <c r="N61">
        <v>6.6685907319894415</v>
      </c>
      <c r="O61">
        <v>6.9817085069753118</v>
      </c>
      <c r="P61">
        <v>7.3301919070311348</v>
      </c>
      <c r="Q61">
        <v>6.5143562539306981</v>
      </c>
      <c r="R61">
        <v>5.6133065586950277</v>
      </c>
      <c r="S61">
        <v>5.8668721537683233</v>
      </c>
      <c r="T61">
        <v>5.5297667401647903</v>
      </c>
      <c r="U61">
        <v>5.7321539073961318</v>
      </c>
      <c r="V61">
        <v>5.3930091408088092</v>
      </c>
      <c r="W61">
        <v>5.1327685298520231</v>
      </c>
      <c r="X61">
        <v>5.1464335217926021</v>
      </c>
      <c r="Y61">
        <v>5.3548004730111201</v>
      </c>
      <c r="Z61">
        <v>4.812255148720145</v>
      </c>
      <c r="AA61">
        <v>4.5587528380815634</v>
      </c>
      <c r="AB61">
        <v>4.4504125664545988</v>
      </c>
      <c r="AC61">
        <v>4.3804093091014389</v>
      </c>
      <c r="AD61" t="s">
        <v>73</v>
      </c>
    </row>
    <row r="62" spans="1:30" x14ac:dyDescent="0.3">
      <c r="A62" t="s">
        <v>566</v>
      </c>
      <c r="B62" s="5" t="s">
        <v>567</v>
      </c>
      <c r="C62" t="s">
        <v>175</v>
      </c>
      <c r="D62" s="5" t="s">
        <v>176</v>
      </c>
      <c r="E62" t="s">
        <v>73</v>
      </c>
      <c r="F62" t="s">
        <v>73</v>
      </c>
      <c r="G62" t="s">
        <v>73</v>
      </c>
      <c r="H62" t="s">
        <v>73</v>
      </c>
      <c r="I62" t="s">
        <v>73</v>
      </c>
      <c r="J62" t="s">
        <v>73</v>
      </c>
      <c r="K62">
        <v>1.5182552777264793</v>
      </c>
      <c r="L62">
        <v>1.3728840440035315</v>
      </c>
      <c r="M62">
        <v>0.89269611957431083</v>
      </c>
      <c r="N62">
        <v>1.0581997906120406</v>
      </c>
      <c r="O62">
        <v>1.0613712857053132</v>
      </c>
      <c r="P62">
        <v>1.0535023877748215</v>
      </c>
      <c r="Q62">
        <v>1.0556570917958086</v>
      </c>
      <c r="R62">
        <v>1.1919906801527345</v>
      </c>
      <c r="S62">
        <v>1.2942487716402906</v>
      </c>
      <c r="T62">
        <v>1.8883908756680206</v>
      </c>
      <c r="U62">
        <v>2.3322392093276143</v>
      </c>
      <c r="V62">
        <v>2.3154633968627194</v>
      </c>
      <c r="W62">
        <v>2.2579796882038532</v>
      </c>
      <c r="X62">
        <v>2.4378785742038103</v>
      </c>
      <c r="Y62">
        <v>3.1515738386633894</v>
      </c>
      <c r="Z62">
        <v>2.8263690019315018</v>
      </c>
      <c r="AA62">
        <v>2.4897830321452545</v>
      </c>
      <c r="AB62">
        <v>3.0934104554038471</v>
      </c>
      <c r="AC62">
        <v>3.1490704594748444</v>
      </c>
      <c r="AD62" t="s">
        <v>73</v>
      </c>
    </row>
    <row r="63" spans="1:30" x14ac:dyDescent="0.3">
      <c r="A63" t="s">
        <v>566</v>
      </c>
      <c r="B63" s="5" t="s">
        <v>567</v>
      </c>
      <c r="C63" t="s">
        <v>177</v>
      </c>
      <c r="D63" s="5" t="s">
        <v>178</v>
      </c>
      <c r="E63">
        <v>12.590421768980439</v>
      </c>
      <c r="F63">
        <v>15.16384440007397</v>
      </c>
      <c r="G63">
        <v>13.601810056538726</v>
      </c>
      <c r="H63">
        <v>11.829921223697134</v>
      </c>
      <c r="I63">
        <v>10.642274296598016</v>
      </c>
      <c r="J63">
        <v>22.600000210894233</v>
      </c>
      <c r="K63">
        <v>24.599999895819984</v>
      </c>
      <c r="L63">
        <v>24.265980587368709</v>
      </c>
      <c r="M63">
        <v>16.776307375277533</v>
      </c>
      <c r="N63">
        <v>14.124227435498391</v>
      </c>
      <c r="O63" t="s">
        <v>73</v>
      </c>
      <c r="P63" t="s">
        <v>73</v>
      </c>
      <c r="Q63" t="s">
        <v>73</v>
      </c>
      <c r="R63" t="s">
        <v>73</v>
      </c>
      <c r="S63" t="s">
        <v>73</v>
      </c>
      <c r="T63" t="s">
        <v>73</v>
      </c>
      <c r="U63" t="s">
        <v>73</v>
      </c>
      <c r="V63" t="s">
        <v>73</v>
      </c>
      <c r="W63" t="s">
        <v>73</v>
      </c>
      <c r="X63" t="s">
        <v>73</v>
      </c>
      <c r="Y63" t="s">
        <v>73</v>
      </c>
      <c r="Z63" t="s">
        <v>73</v>
      </c>
      <c r="AA63" t="s">
        <v>73</v>
      </c>
      <c r="AB63" t="s">
        <v>73</v>
      </c>
      <c r="AC63" t="s">
        <v>73</v>
      </c>
      <c r="AD63" t="s">
        <v>73</v>
      </c>
    </row>
    <row r="64" spans="1:30" x14ac:dyDescent="0.3">
      <c r="A64" t="s">
        <v>566</v>
      </c>
      <c r="B64" s="5" t="s">
        <v>567</v>
      </c>
      <c r="C64" t="s">
        <v>16</v>
      </c>
      <c r="D64" s="5" t="s">
        <v>179</v>
      </c>
      <c r="E64">
        <v>3.8850095882054139</v>
      </c>
      <c r="F64">
        <v>3.4964457065254835</v>
      </c>
      <c r="G64">
        <v>3.5524871000820974</v>
      </c>
      <c r="H64">
        <v>3.4592880777041617</v>
      </c>
      <c r="I64">
        <v>3.6186992560753133</v>
      </c>
      <c r="J64">
        <v>3.2866855253413658</v>
      </c>
      <c r="K64">
        <v>3.1438204669710328</v>
      </c>
      <c r="L64">
        <v>3.9253420417782703</v>
      </c>
      <c r="M64">
        <v>3.4012615258679233</v>
      </c>
      <c r="N64">
        <v>2.4710487327757455</v>
      </c>
      <c r="O64">
        <v>3.1709294530926622</v>
      </c>
      <c r="P64">
        <v>3.6656686292327074</v>
      </c>
      <c r="Q64">
        <v>3.2843229052026977</v>
      </c>
      <c r="R64">
        <v>3.0474297366660141</v>
      </c>
      <c r="S64">
        <v>3.1149616166099863</v>
      </c>
      <c r="T64">
        <v>2.8064215286505068</v>
      </c>
      <c r="U64">
        <v>2.0715978609000993</v>
      </c>
      <c r="V64">
        <v>2.3388559662831065</v>
      </c>
      <c r="W64">
        <v>2.0493846996906631</v>
      </c>
      <c r="X64">
        <v>2.2656489626340037</v>
      </c>
      <c r="Y64">
        <v>1.9318152735340803</v>
      </c>
      <c r="Z64">
        <v>1.9435377125455751</v>
      </c>
      <c r="AA64">
        <v>2.4464085999787279</v>
      </c>
      <c r="AB64">
        <v>1.7155812591916522</v>
      </c>
      <c r="AC64">
        <v>1.7668478295785075</v>
      </c>
      <c r="AD64" t="s">
        <v>73</v>
      </c>
    </row>
    <row r="65" spans="1:30" x14ac:dyDescent="0.3">
      <c r="A65" t="s">
        <v>566</v>
      </c>
      <c r="B65" s="5" t="s">
        <v>567</v>
      </c>
      <c r="C65" t="s">
        <v>180</v>
      </c>
      <c r="D65" s="5" t="s">
        <v>181</v>
      </c>
      <c r="E65">
        <v>10.138305800115136</v>
      </c>
      <c r="F65">
        <v>9.9816226355015587</v>
      </c>
      <c r="G65">
        <v>10.32546306266565</v>
      </c>
      <c r="H65">
        <v>10.177378129443451</v>
      </c>
      <c r="I65">
        <v>7.9354257706821247</v>
      </c>
      <c r="J65">
        <v>9.0472804860860592</v>
      </c>
      <c r="K65">
        <v>9.2023962211245642</v>
      </c>
      <c r="L65">
        <v>8.8436617430108608</v>
      </c>
      <c r="M65">
        <v>8.1820020018654027</v>
      </c>
      <c r="N65">
        <v>7.5518940957454106</v>
      </c>
      <c r="O65">
        <v>8.3096520631073254</v>
      </c>
      <c r="P65">
        <v>7.9742144267144113</v>
      </c>
      <c r="Q65">
        <v>8.4410710795454786</v>
      </c>
      <c r="R65">
        <v>8.375456904256172</v>
      </c>
      <c r="S65">
        <v>8.2038820562989301</v>
      </c>
      <c r="T65">
        <v>7.3785752005035885</v>
      </c>
      <c r="U65">
        <v>5.3768694064827613</v>
      </c>
      <c r="V65">
        <v>8.1147780009254635</v>
      </c>
      <c r="W65">
        <v>7.3853709236019593</v>
      </c>
      <c r="X65">
        <v>7.4240113822119174</v>
      </c>
      <c r="Y65">
        <v>7.6288146518956266</v>
      </c>
      <c r="Z65">
        <v>7.1704012840009126</v>
      </c>
      <c r="AA65">
        <v>7.5711695672315686</v>
      </c>
      <c r="AB65">
        <v>6.6310087903399317</v>
      </c>
      <c r="AC65">
        <v>6.477307702894997</v>
      </c>
      <c r="AD65" t="s">
        <v>73</v>
      </c>
    </row>
    <row r="66" spans="1:30" x14ac:dyDescent="0.3">
      <c r="A66" t="s">
        <v>566</v>
      </c>
      <c r="B66" s="5" t="s">
        <v>567</v>
      </c>
      <c r="C66" t="s">
        <v>17</v>
      </c>
      <c r="D66" s="5" t="s">
        <v>182</v>
      </c>
      <c r="E66">
        <v>44.666017948575934</v>
      </c>
      <c r="F66">
        <v>42.340571124031086</v>
      </c>
      <c r="G66">
        <v>38.692371691463798</v>
      </c>
      <c r="H66">
        <v>37.285055413956115</v>
      </c>
      <c r="I66">
        <v>38.679754946926401</v>
      </c>
      <c r="J66">
        <v>41.174498560733667</v>
      </c>
      <c r="K66">
        <v>42.524170122639312</v>
      </c>
      <c r="L66">
        <v>42.265012192091348</v>
      </c>
      <c r="M66">
        <v>45.184558372959302</v>
      </c>
      <c r="N66">
        <v>45.882694264910455</v>
      </c>
      <c r="O66">
        <v>41.4468200699758</v>
      </c>
      <c r="P66">
        <v>41.249963857453729</v>
      </c>
      <c r="Q66">
        <v>44.330942752146328</v>
      </c>
      <c r="R66">
        <v>41.239505534092544</v>
      </c>
      <c r="S66">
        <v>38.520449688928423</v>
      </c>
      <c r="T66">
        <v>36.056975390578629</v>
      </c>
      <c r="U66">
        <v>34.696956452363423</v>
      </c>
      <c r="V66">
        <v>33.779281340047874</v>
      </c>
      <c r="W66">
        <v>31.218806648717361</v>
      </c>
      <c r="X66">
        <v>33.633324693087438</v>
      </c>
      <c r="Y66">
        <v>35.558270037411774</v>
      </c>
      <c r="Z66">
        <v>37.579113756886272</v>
      </c>
      <c r="AA66">
        <v>37.642226838503476</v>
      </c>
      <c r="AB66">
        <v>35.786480784815154</v>
      </c>
      <c r="AC66">
        <v>34.773778204385465</v>
      </c>
      <c r="AD66" t="s">
        <v>73</v>
      </c>
    </row>
    <row r="67" spans="1:30" x14ac:dyDescent="0.3">
      <c r="A67" t="s">
        <v>566</v>
      </c>
      <c r="B67" s="5" t="s">
        <v>567</v>
      </c>
      <c r="C67" t="s">
        <v>183</v>
      </c>
      <c r="D67" s="5" t="s">
        <v>184</v>
      </c>
      <c r="E67">
        <v>17.984835837506957</v>
      </c>
      <c r="F67">
        <v>17.980262408483231</v>
      </c>
      <c r="G67">
        <v>15.443302041424529</v>
      </c>
      <c r="H67">
        <v>12.005902388243737</v>
      </c>
      <c r="I67">
        <v>11.878217783455272</v>
      </c>
      <c r="J67">
        <v>11.543636880507913</v>
      </c>
      <c r="K67">
        <v>13.778159300590897</v>
      </c>
      <c r="L67">
        <v>12.385238241091974</v>
      </c>
      <c r="M67">
        <v>9.5173196152422062</v>
      </c>
      <c r="N67">
        <v>10.002518502871906</v>
      </c>
      <c r="O67">
        <v>14.813713379390277</v>
      </c>
      <c r="P67">
        <v>14.425464222529474</v>
      </c>
      <c r="Q67">
        <v>12.221629503182902</v>
      </c>
      <c r="R67">
        <v>14.801601747360756</v>
      </c>
      <c r="S67">
        <v>14.992540416269229</v>
      </c>
      <c r="T67">
        <v>15.664376046659353</v>
      </c>
      <c r="U67">
        <v>19.410503638149347</v>
      </c>
      <c r="V67">
        <v>17.978858565838287</v>
      </c>
      <c r="W67">
        <v>16.320003178576396</v>
      </c>
      <c r="X67">
        <v>17.05140622346261</v>
      </c>
      <c r="Y67">
        <v>13.718482389381773</v>
      </c>
      <c r="Z67">
        <v>14.214836948343686</v>
      </c>
      <c r="AA67">
        <v>18.735829880384646</v>
      </c>
      <c r="AB67">
        <v>17.755364964847058</v>
      </c>
      <c r="AC67">
        <v>16.066693149243637</v>
      </c>
      <c r="AD67" t="s">
        <v>73</v>
      </c>
    </row>
    <row r="68" spans="1:30" x14ac:dyDescent="0.3">
      <c r="A68" t="s">
        <v>566</v>
      </c>
      <c r="B68" s="5" t="s">
        <v>567</v>
      </c>
      <c r="C68" t="s">
        <v>185</v>
      </c>
      <c r="D68" s="5" t="s">
        <v>186</v>
      </c>
      <c r="E68">
        <v>14.987543039498362</v>
      </c>
      <c r="F68">
        <v>13.012812333864964</v>
      </c>
      <c r="G68">
        <v>13.310909907213409</v>
      </c>
      <c r="H68">
        <v>12.514353847564891</v>
      </c>
      <c r="I68">
        <v>12.349896656794018</v>
      </c>
      <c r="J68">
        <v>12.07433134920635</v>
      </c>
      <c r="K68">
        <v>12.372657115496555</v>
      </c>
      <c r="L68">
        <v>11.882910240620577</v>
      </c>
      <c r="M68">
        <v>10.697495061979183</v>
      </c>
      <c r="N68">
        <v>10.08844440174229</v>
      </c>
      <c r="O68">
        <v>9.381897375624126</v>
      </c>
      <c r="P68">
        <v>9.2177155717326134</v>
      </c>
      <c r="Q68">
        <v>9.6757787071345174</v>
      </c>
      <c r="R68">
        <v>10.113106994922335</v>
      </c>
      <c r="S68">
        <v>8.0985227018506016</v>
      </c>
      <c r="T68">
        <v>7.871624084693897</v>
      </c>
      <c r="U68">
        <v>10.664333639692888</v>
      </c>
      <c r="V68">
        <v>10.531827360184748</v>
      </c>
      <c r="W68">
        <v>10.906563975369552</v>
      </c>
      <c r="X68">
        <v>12.400516146911347</v>
      </c>
      <c r="Y68">
        <v>15.691834531197173</v>
      </c>
      <c r="Z68">
        <v>17.25367241479417</v>
      </c>
      <c r="AA68">
        <v>14.192894883330442</v>
      </c>
      <c r="AB68">
        <v>12.824591015320696</v>
      </c>
      <c r="AC68">
        <v>13.190027700831026</v>
      </c>
      <c r="AD68" t="s">
        <v>73</v>
      </c>
    </row>
    <row r="69" spans="1:30" x14ac:dyDescent="0.3">
      <c r="A69" t="s">
        <v>566</v>
      </c>
      <c r="B69" s="5" t="s">
        <v>567</v>
      </c>
      <c r="C69" t="s">
        <v>18</v>
      </c>
      <c r="D69" s="5" t="s">
        <v>187</v>
      </c>
      <c r="E69">
        <v>2.9548487381402784</v>
      </c>
      <c r="F69">
        <v>2.7646200549051607</v>
      </c>
      <c r="G69">
        <v>2.6731339261654541</v>
      </c>
      <c r="H69">
        <v>2.5363512925636393</v>
      </c>
      <c r="I69">
        <v>2.379977447540333</v>
      </c>
      <c r="J69">
        <v>2.2785517350272673</v>
      </c>
      <c r="K69">
        <v>2.0016082285767176</v>
      </c>
      <c r="L69">
        <v>2.3805323454097369</v>
      </c>
      <c r="M69">
        <v>2.205371345616284</v>
      </c>
      <c r="N69">
        <v>2.2538311277409413</v>
      </c>
      <c r="O69">
        <v>2.366766411369833</v>
      </c>
      <c r="P69">
        <v>2.2589866180971896</v>
      </c>
      <c r="Q69">
        <v>2.1883639920550162</v>
      </c>
      <c r="R69">
        <v>2.2118262185683326</v>
      </c>
      <c r="S69">
        <v>2.2175803356731678</v>
      </c>
      <c r="T69">
        <v>2.0604970693461215</v>
      </c>
      <c r="U69">
        <v>2.089775029320823</v>
      </c>
      <c r="V69">
        <v>2.0680355664735255</v>
      </c>
      <c r="W69">
        <v>2.1142278088010178</v>
      </c>
      <c r="X69">
        <v>2.1897718411189091</v>
      </c>
      <c r="Y69">
        <v>2.2403939302922748</v>
      </c>
      <c r="Z69">
        <v>2.1590744641507613</v>
      </c>
      <c r="AA69">
        <v>2.2413436789599261</v>
      </c>
      <c r="AB69">
        <v>2.3379317422154462</v>
      </c>
      <c r="AC69">
        <v>2.4673597547497308</v>
      </c>
      <c r="AD69" t="s">
        <v>73</v>
      </c>
    </row>
    <row r="70" spans="1:30" x14ac:dyDescent="0.3">
      <c r="A70" t="s">
        <v>566</v>
      </c>
      <c r="B70" s="5" t="s">
        <v>567</v>
      </c>
      <c r="C70" t="s">
        <v>19</v>
      </c>
      <c r="D70" s="5" t="s">
        <v>188</v>
      </c>
      <c r="E70">
        <v>1.9844965512111734</v>
      </c>
      <c r="F70">
        <v>2.0022601567025422</v>
      </c>
      <c r="G70">
        <v>1.9037838972118895</v>
      </c>
      <c r="H70">
        <v>1.7456066425660948</v>
      </c>
      <c r="I70">
        <v>1.7201855754796702</v>
      </c>
      <c r="J70">
        <v>1.5827040323596233</v>
      </c>
      <c r="K70">
        <v>1.4270640937523564</v>
      </c>
      <c r="L70">
        <v>1.5167273576749971</v>
      </c>
      <c r="M70">
        <v>1.4203067467799115</v>
      </c>
      <c r="N70">
        <v>1.2324157748144708</v>
      </c>
      <c r="O70">
        <v>1.5008804027463696</v>
      </c>
      <c r="P70">
        <v>1.5513727623139713</v>
      </c>
      <c r="Q70">
        <v>1.5259446894911508</v>
      </c>
      <c r="R70">
        <v>1.3614013787051102</v>
      </c>
      <c r="S70">
        <v>1.4615460012199284</v>
      </c>
      <c r="T70">
        <v>1.5036011602789789</v>
      </c>
      <c r="U70">
        <v>1.3379847256444428</v>
      </c>
      <c r="V70">
        <v>1.434960065331969</v>
      </c>
      <c r="W70">
        <v>1.5311017054357825</v>
      </c>
      <c r="X70">
        <v>1.4082848547253466</v>
      </c>
      <c r="Y70">
        <v>1.460434265770403</v>
      </c>
      <c r="Z70">
        <v>1.4633454145789826</v>
      </c>
      <c r="AA70">
        <v>1.7201713701883332</v>
      </c>
      <c r="AB70">
        <v>1.4847579630442362</v>
      </c>
      <c r="AC70">
        <v>1.2997945580257735</v>
      </c>
      <c r="AD70" t="s">
        <v>73</v>
      </c>
    </row>
    <row r="71" spans="1:30" x14ac:dyDescent="0.3">
      <c r="A71" t="s">
        <v>566</v>
      </c>
      <c r="B71" s="5" t="s">
        <v>567</v>
      </c>
      <c r="C71" t="s">
        <v>189</v>
      </c>
      <c r="D71" s="5" t="s">
        <v>190</v>
      </c>
      <c r="E71">
        <v>4.5151212982194755</v>
      </c>
      <c r="F71" t="s">
        <v>73</v>
      </c>
      <c r="G71" t="s">
        <v>73</v>
      </c>
      <c r="H71" t="s">
        <v>73</v>
      </c>
      <c r="I71" t="s">
        <v>73</v>
      </c>
      <c r="J71">
        <v>3.0596357602581765</v>
      </c>
      <c r="K71">
        <v>2.9480365815019609</v>
      </c>
      <c r="L71">
        <v>2.5507668060859552</v>
      </c>
      <c r="M71">
        <v>2.2657840700873328</v>
      </c>
      <c r="N71">
        <v>2.303021050968586</v>
      </c>
      <c r="O71">
        <v>2.2696700171753879</v>
      </c>
      <c r="P71">
        <v>2.4923805279950964</v>
      </c>
      <c r="Q71">
        <v>2.6377055536117862</v>
      </c>
      <c r="R71">
        <v>3.0221731822031477</v>
      </c>
      <c r="S71">
        <v>3.177711143161678</v>
      </c>
      <c r="T71">
        <v>3.2284589010006775</v>
      </c>
      <c r="U71">
        <v>3.217080817659943</v>
      </c>
      <c r="V71">
        <v>3.0564999715998997</v>
      </c>
      <c r="W71">
        <v>2.8524004168185644</v>
      </c>
      <c r="X71">
        <v>2.2504782616823595</v>
      </c>
      <c r="Y71">
        <v>2.2157010876361687</v>
      </c>
      <c r="Z71" t="s">
        <v>73</v>
      </c>
      <c r="AA71" t="s">
        <v>73</v>
      </c>
      <c r="AB71" t="s">
        <v>73</v>
      </c>
      <c r="AC71" t="s">
        <v>73</v>
      </c>
      <c r="AD71" t="s">
        <v>73</v>
      </c>
    </row>
    <row r="72" spans="1:30" x14ac:dyDescent="0.3">
      <c r="A72" t="s">
        <v>566</v>
      </c>
      <c r="B72" s="5" t="s">
        <v>567</v>
      </c>
      <c r="C72" t="s">
        <v>191</v>
      </c>
      <c r="D72" s="5" t="s">
        <v>192</v>
      </c>
      <c r="E72">
        <v>6.2136245219222879</v>
      </c>
      <c r="F72">
        <v>6.1439325821929058</v>
      </c>
      <c r="G72">
        <v>5.7438616389550301</v>
      </c>
      <c r="H72">
        <v>6.0040209351322327</v>
      </c>
      <c r="I72">
        <v>5.4672910425104675</v>
      </c>
      <c r="J72">
        <v>4.9846386110288101</v>
      </c>
      <c r="K72">
        <v>4.911200314638279</v>
      </c>
      <c r="L72">
        <v>4.9578308028795721</v>
      </c>
      <c r="M72">
        <v>4.2298420319484071</v>
      </c>
      <c r="N72">
        <v>5.0441697927310081</v>
      </c>
      <c r="O72">
        <v>3.9144544172835736</v>
      </c>
      <c r="P72">
        <v>3.4322897797715828</v>
      </c>
      <c r="Q72">
        <v>3.3536977767633367</v>
      </c>
      <c r="R72">
        <v>3.3290806507465689</v>
      </c>
      <c r="S72">
        <v>3.6212047699624348</v>
      </c>
      <c r="T72">
        <v>4.3116290441014566</v>
      </c>
      <c r="U72">
        <v>4.9731369098706768</v>
      </c>
      <c r="V72">
        <v>5.2657648440764957</v>
      </c>
      <c r="W72">
        <v>5.4359528030582167</v>
      </c>
      <c r="X72">
        <v>5.5544308701412985</v>
      </c>
      <c r="Y72">
        <v>6.6161976135104563</v>
      </c>
      <c r="Z72">
        <v>6.7698228096736539</v>
      </c>
      <c r="AA72">
        <v>6.5061694158167453</v>
      </c>
      <c r="AB72">
        <v>6.6694256355532637</v>
      </c>
      <c r="AC72">
        <v>6.5591443806352405</v>
      </c>
      <c r="AD72" t="s">
        <v>73</v>
      </c>
    </row>
    <row r="73" spans="1:30" x14ac:dyDescent="0.3">
      <c r="A73" t="s">
        <v>566</v>
      </c>
      <c r="B73" s="5" t="s">
        <v>567</v>
      </c>
      <c r="C73" t="s">
        <v>193</v>
      </c>
      <c r="D73" s="5" t="s">
        <v>194</v>
      </c>
      <c r="E73">
        <v>24.532284470957666</v>
      </c>
      <c r="F73">
        <v>25.425632377496349</v>
      </c>
      <c r="G73">
        <v>24.124932143819773</v>
      </c>
      <c r="H73">
        <v>26.748290490338604</v>
      </c>
      <c r="I73">
        <v>31.502618345016959</v>
      </c>
      <c r="J73">
        <v>32.090632809892114</v>
      </c>
      <c r="K73">
        <v>25.600225837703448</v>
      </c>
      <c r="L73">
        <v>23.566197039026086</v>
      </c>
      <c r="M73">
        <v>29.775711519491537</v>
      </c>
      <c r="N73">
        <v>31.734225788751814</v>
      </c>
      <c r="O73">
        <v>35.193243487704741</v>
      </c>
      <c r="P73">
        <v>27.202420609824017</v>
      </c>
      <c r="Q73">
        <v>27.393571461515005</v>
      </c>
      <c r="R73">
        <v>26.222122513428392</v>
      </c>
      <c r="S73">
        <v>22.458839170789798</v>
      </c>
      <c r="T73">
        <v>22.208886019914669</v>
      </c>
      <c r="U73">
        <v>21.86137935992743</v>
      </c>
      <c r="V73">
        <v>21.001894691389168</v>
      </c>
      <c r="W73">
        <v>19.871596180125746</v>
      </c>
      <c r="X73">
        <v>20.004045872555487</v>
      </c>
      <c r="Y73">
        <v>21.24400520176356</v>
      </c>
      <c r="Z73">
        <v>23.579267737043047</v>
      </c>
      <c r="AA73">
        <v>22.860438578159258</v>
      </c>
      <c r="AB73">
        <v>22.037586663339368</v>
      </c>
      <c r="AC73">
        <v>20.433563241971815</v>
      </c>
      <c r="AD73" t="s">
        <v>73</v>
      </c>
    </row>
    <row r="74" spans="1:30" x14ac:dyDescent="0.3">
      <c r="A74" t="s">
        <v>566</v>
      </c>
      <c r="B74" s="5" t="s">
        <v>567</v>
      </c>
      <c r="C74" t="s">
        <v>195</v>
      </c>
      <c r="D74" s="5" t="s">
        <v>196</v>
      </c>
      <c r="E74">
        <v>20.602008902715493</v>
      </c>
      <c r="F74">
        <v>20.961941863949654</v>
      </c>
      <c r="G74">
        <v>19.240879828326179</v>
      </c>
      <c r="H74">
        <v>19.301502784881073</v>
      </c>
      <c r="I74">
        <v>16.395061225736185</v>
      </c>
      <c r="J74">
        <v>14.76994036606459</v>
      </c>
      <c r="K74">
        <v>11.198775915706422</v>
      </c>
      <c r="L74">
        <v>9.1957066694912264</v>
      </c>
      <c r="M74">
        <v>8.1316284751165142</v>
      </c>
      <c r="N74">
        <v>8.1013010118981441</v>
      </c>
      <c r="O74">
        <v>8.8659867262630367</v>
      </c>
      <c r="P74">
        <v>9.7388716042760262</v>
      </c>
      <c r="Q74">
        <v>8.5656593898985562</v>
      </c>
      <c r="R74">
        <v>9.2147868762440801</v>
      </c>
      <c r="S74">
        <v>9.2042368072630989</v>
      </c>
      <c r="T74">
        <v>8.5420603218710198</v>
      </c>
      <c r="U74">
        <v>8.0032733291385103</v>
      </c>
      <c r="V74">
        <v>6.9186093372036765</v>
      </c>
      <c r="W74">
        <v>7.5615903380790757</v>
      </c>
      <c r="X74">
        <v>7.335486264730724</v>
      </c>
      <c r="Y74">
        <v>8.3165484343931393</v>
      </c>
      <c r="Z74">
        <v>7.2273173703972073</v>
      </c>
      <c r="AA74">
        <v>6.6323552017567939</v>
      </c>
      <c r="AB74">
        <v>6.0157950813393164</v>
      </c>
      <c r="AC74">
        <v>5.4854427212141195</v>
      </c>
      <c r="AD74" t="s">
        <v>73</v>
      </c>
    </row>
    <row r="75" spans="1:30" x14ac:dyDescent="0.3">
      <c r="A75" t="s">
        <v>566</v>
      </c>
      <c r="B75" s="5" t="s">
        <v>567</v>
      </c>
      <c r="C75" t="s">
        <v>20</v>
      </c>
      <c r="D75" s="5" t="s">
        <v>197</v>
      </c>
      <c r="E75">
        <v>0.99616840246799965</v>
      </c>
      <c r="F75">
        <v>1.0833375084831454</v>
      </c>
      <c r="G75">
        <v>0.90133851468048365</v>
      </c>
      <c r="H75">
        <v>0.82934296080435199</v>
      </c>
      <c r="I75">
        <v>0.94887136726790633</v>
      </c>
      <c r="J75">
        <v>0.72605784900095027</v>
      </c>
      <c r="K75">
        <v>0.71659975764370332</v>
      </c>
      <c r="L75">
        <v>0.822076767549622</v>
      </c>
      <c r="M75">
        <v>0.83702805413087811</v>
      </c>
      <c r="N75">
        <v>0.67041704591474638</v>
      </c>
      <c r="O75">
        <v>0.77598403218035683</v>
      </c>
      <c r="P75">
        <v>0.92463895795639461</v>
      </c>
      <c r="Q75">
        <v>0.91141293475465124</v>
      </c>
      <c r="R75">
        <v>0.92713013870670646</v>
      </c>
      <c r="S75">
        <v>0.91560645608768054</v>
      </c>
      <c r="T75">
        <v>0.70851271286641204</v>
      </c>
      <c r="U75">
        <v>0.73053101361099892</v>
      </c>
      <c r="V75">
        <v>0.86000762051057411</v>
      </c>
      <c r="W75">
        <v>0.74245128901028823</v>
      </c>
      <c r="X75">
        <v>0.83312601773113815</v>
      </c>
      <c r="Y75">
        <v>0.72865952612788054</v>
      </c>
      <c r="Z75">
        <v>0.75389562071943383</v>
      </c>
      <c r="AA75">
        <v>0.99463827803248117</v>
      </c>
      <c r="AB75">
        <v>0.92915666305628164</v>
      </c>
      <c r="AC75">
        <v>0.9143976511733739</v>
      </c>
      <c r="AD75" t="s">
        <v>73</v>
      </c>
    </row>
    <row r="76" spans="1:30" x14ac:dyDescent="0.3">
      <c r="A76" t="s">
        <v>566</v>
      </c>
      <c r="B76" s="5" t="s">
        <v>567</v>
      </c>
      <c r="C76" t="s">
        <v>198</v>
      </c>
      <c r="D76" s="5" t="s">
        <v>199</v>
      </c>
      <c r="E76">
        <v>35.271521959303932</v>
      </c>
      <c r="F76">
        <v>35.241800124505197</v>
      </c>
      <c r="G76">
        <v>35.148377061929516</v>
      </c>
      <c r="H76">
        <v>36.545405901353888</v>
      </c>
      <c r="I76">
        <v>37.952426093009564</v>
      </c>
      <c r="J76">
        <v>37.45301293018359</v>
      </c>
      <c r="K76">
        <v>28.333095987362235</v>
      </c>
      <c r="L76">
        <v>27.294114484663041</v>
      </c>
      <c r="M76">
        <v>29.408096757841435</v>
      </c>
      <c r="N76">
        <v>30.993384209540341</v>
      </c>
      <c r="O76">
        <v>28.038737963649059</v>
      </c>
      <c r="P76">
        <v>23.663704967183964</v>
      </c>
      <c r="Q76">
        <v>22.131154690157228</v>
      </c>
      <c r="R76">
        <v>20.369842540671268</v>
      </c>
      <c r="S76">
        <v>19.583773132466884</v>
      </c>
      <c r="T76">
        <v>19.982650598575763</v>
      </c>
      <c r="U76">
        <v>20.844292919241855</v>
      </c>
      <c r="V76">
        <v>19.561709918423904</v>
      </c>
      <c r="W76">
        <v>18.13655031925207</v>
      </c>
      <c r="X76">
        <v>17.323230201461975</v>
      </c>
      <c r="Y76">
        <v>18.853782661648598</v>
      </c>
      <c r="Z76">
        <v>19.657473522733202</v>
      </c>
      <c r="AA76">
        <v>19.513638202715818</v>
      </c>
      <c r="AB76">
        <v>20.943068779720679</v>
      </c>
      <c r="AC76">
        <v>20.886745767488378</v>
      </c>
      <c r="AD76" t="s">
        <v>73</v>
      </c>
    </row>
    <row r="77" spans="1:30" x14ac:dyDescent="0.3">
      <c r="A77" t="s">
        <v>566</v>
      </c>
      <c r="B77" s="5" t="s">
        <v>567</v>
      </c>
      <c r="C77" t="s">
        <v>200</v>
      </c>
      <c r="D77" s="5" t="s">
        <v>201</v>
      </c>
      <c r="E77" t="s">
        <v>73</v>
      </c>
      <c r="F77" t="s">
        <v>73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  <c r="L77" t="s">
        <v>73</v>
      </c>
      <c r="M77" t="s">
        <v>73</v>
      </c>
      <c r="N77" t="s">
        <v>73</v>
      </c>
      <c r="O77" t="s">
        <v>73</v>
      </c>
      <c r="P77" t="s">
        <v>73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73</v>
      </c>
      <c r="X77" t="s">
        <v>73</v>
      </c>
      <c r="Y77" t="s">
        <v>73</v>
      </c>
      <c r="Z77" t="s">
        <v>73</v>
      </c>
      <c r="AA77" t="s">
        <v>73</v>
      </c>
      <c r="AB77" t="s">
        <v>73</v>
      </c>
      <c r="AC77" t="s">
        <v>73</v>
      </c>
      <c r="AD77" t="s">
        <v>73</v>
      </c>
    </row>
    <row r="78" spans="1:30" x14ac:dyDescent="0.3">
      <c r="A78" t="s">
        <v>566</v>
      </c>
      <c r="B78" s="5" t="s">
        <v>567</v>
      </c>
      <c r="C78" t="s">
        <v>21</v>
      </c>
      <c r="D78" s="5" t="s">
        <v>202</v>
      </c>
      <c r="E78">
        <v>5.5025136351096746</v>
      </c>
      <c r="F78">
        <v>5.3622194939777152</v>
      </c>
      <c r="G78">
        <v>5.2210315349955572</v>
      </c>
      <c r="H78">
        <v>5.3240542693887951</v>
      </c>
      <c r="I78">
        <v>4.5497053548552397</v>
      </c>
      <c r="J78">
        <v>4.4771810989921672</v>
      </c>
      <c r="K78">
        <v>3.2855767441616295</v>
      </c>
      <c r="L78">
        <v>3.1547429816214665</v>
      </c>
      <c r="M78">
        <v>2.895058677158159</v>
      </c>
      <c r="N78">
        <v>2.9258239563465427</v>
      </c>
      <c r="O78">
        <v>2.9142102078811991</v>
      </c>
      <c r="P78">
        <v>3.0618456010826964</v>
      </c>
      <c r="Q78">
        <v>3.4190820782819662</v>
      </c>
      <c r="R78">
        <v>3.3514622387943152</v>
      </c>
      <c r="S78">
        <v>3.5334610543038387</v>
      </c>
      <c r="T78">
        <v>3.8215379882166398</v>
      </c>
      <c r="U78">
        <v>3.4581294153332691</v>
      </c>
      <c r="V78">
        <v>3.752270209453902</v>
      </c>
      <c r="W78">
        <v>3.5257309034162576</v>
      </c>
      <c r="X78">
        <v>3.6615193393131156</v>
      </c>
      <c r="Y78">
        <v>3.9238294812331977</v>
      </c>
      <c r="Z78">
        <v>3.531734881050931</v>
      </c>
      <c r="AA78">
        <v>3.784907319482119</v>
      </c>
      <c r="AB78">
        <v>3.7422201790768281</v>
      </c>
      <c r="AC78">
        <v>3.7655125413079951</v>
      </c>
      <c r="AD78" t="s">
        <v>73</v>
      </c>
    </row>
    <row r="79" spans="1:30" x14ac:dyDescent="0.3">
      <c r="A79" t="s">
        <v>566</v>
      </c>
      <c r="B79" s="5" t="s">
        <v>567</v>
      </c>
      <c r="C79" t="s">
        <v>203</v>
      </c>
      <c r="D79" s="5" t="s">
        <v>204</v>
      </c>
      <c r="E79" t="s">
        <v>73</v>
      </c>
      <c r="F79" t="s">
        <v>73</v>
      </c>
      <c r="G79" t="s">
        <v>73</v>
      </c>
      <c r="H79">
        <v>17.877802232047213</v>
      </c>
      <c r="I79">
        <v>16.449760502623938</v>
      </c>
      <c r="J79">
        <v>16.945668929334452</v>
      </c>
      <c r="K79">
        <v>16.245249133358392</v>
      </c>
      <c r="L79">
        <v>14.331322005666555</v>
      </c>
      <c r="M79">
        <v>14.729175006082867</v>
      </c>
      <c r="N79">
        <v>11.586103164538295</v>
      </c>
      <c r="O79">
        <v>13.39820997300753</v>
      </c>
      <c r="P79">
        <v>14.580803630282887</v>
      </c>
      <c r="Q79">
        <v>16.192901796050673</v>
      </c>
      <c r="R79">
        <v>15.027023442421831</v>
      </c>
      <c r="S79">
        <v>17.335590245125697</v>
      </c>
      <c r="T79">
        <v>17.037790386468256</v>
      </c>
      <c r="U79">
        <v>18.411738560226517</v>
      </c>
      <c r="V79">
        <v>19.05687533525591</v>
      </c>
      <c r="W79">
        <v>18.430149097486019</v>
      </c>
      <c r="X79">
        <v>18.476368656955337</v>
      </c>
      <c r="Y79">
        <v>15.731615609910552</v>
      </c>
      <c r="Z79">
        <v>15.23680283574233</v>
      </c>
      <c r="AA79">
        <v>16.025893913854318</v>
      </c>
      <c r="AB79">
        <v>16.557949988873808</v>
      </c>
      <c r="AC79" t="s">
        <v>73</v>
      </c>
      <c r="AD79" t="s">
        <v>73</v>
      </c>
    </row>
    <row r="80" spans="1:30" x14ac:dyDescent="0.3">
      <c r="A80" t="s">
        <v>566</v>
      </c>
      <c r="B80" s="5" t="s">
        <v>567</v>
      </c>
      <c r="C80" t="s">
        <v>205</v>
      </c>
      <c r="D80" s="5" t="s">
        <v>206</v>
      </c>
      <c r="E80">
        <v>5.164160493997735</v>
      </c>
      <c r="F80">
        <v>5.3659007658201938</v>
      </c>
      <c r="G80">
        <v>6.2905195571734156</v>
      </c>
      <c r="H80">
        <v>5.8697488710165509</v>
      </c>
      <c r="I80">
        <v>5.0143352561991987</v>
      </c>
      <c r="J80">
        <v>2.9640788072417465</v>
      </c>
      <c r="K80">
        <v>3.8905549443681653</v>
      </c>
      <c r="L80">
        <v>3.5570823283233715</v>
      </c>
      <c r="M80">
        <v>3.7673319641189482</v>
      </c>
      <c r="N80">
        <v>4.6264245281025556</v>
      </c>
      <c r="O80">
        <v>4.5130515818497994</v>
      </c>
      <c r="P80">
        <v>4.4473617869356961</v>
      </c>
      <c r="Q80">
        <v>4.8321973625722334</v>
      </c>
      <c r="R80">
        <v>4.8354556123547843</v>
      </c>
      <c r="S80">
        <v>6.1018918831063296</v>
      </c>
      <c r="T80">
        <v>7.4285268507236477</v>
      </c>
      <c r="U80">
        <v>6.2063263362440395</v>
      </c>
      <c r="V80">
        <v>5.3715432576044222</v>
      </c>
      <c r="W80">
        <v>5.2054394381490923</v>
      </c>
      <c r="X80">
        <v>4.6795120268830823</v>
      </c>
      <c r="Y80">
        <v>4.9030778678195803</v>
      </c>
      <c r="Z80">
        <v>5.3405940594059409</v>
      </c>
      <c r="AA80">
        <v>4.1200428465090377</v>
      </c>
      <c r="AB80">
        <v>3.107808875574019</v>
      </c>
      <c r="AC80">
        <v>2.9469410233843929</v>
      </c>
      <c r="AD80" t="s">
        <v>73</v>
      </c>
    </row>
    <row r="81" spans="1:30" x14ac:dyDescent="0.3">
      <c r="A81" t="s">
        <v>566</v>
      </c>
      <c r="B81" s="5" t="s">
        <v>567</v>
      </c>
      <c r="C81" t="s">
        <v>207</v>
      </c>
      <c r="D81" s="5" t="s">
        <v>208</v>
      </c>
      <c r="E81" t="s">
        <v>73</v>
      </c>
      <c r="F81" t="s">
        <v>73</v>
      </c>
      <c r="G81" t="s">
        <v>73</v>
      </c>
      <c r="H81" t="s">
        <v>73</v>
      </c>
      <c r="I81" t="s">
        <v>73</v>
      </c>
      <c r="J81" t="s">
        <v>73</v>
      </c>
      <c r="K81" t="s">
        <v>73</v>
      </c>
      <c r="L81" t="s">
        <v>73</v>
      </c>
      <c r="M81" t="s">
        <v>73</v>
      </c>
      <c r="N81" t="s">
        <v>73</v>
      </c>
      <c r="O81" t="s">
        <v>73</v>
      </c>
      <c r="P81" t="s">
        <v>73</v>
      </c>
      <c r="Q81" t="s">
        <v>73</v>
      </c>
      <c r="R81" t="s">
        <v>73</v>
      </c>
      <c r="S81" t="s">
        <v>73</v>
      </c>
      <c r="T81" t="s">
        <v>73</v>
      </c>
      <c r="U81" t="s">
        <v>73</v>
      </c>
      <c r="V81" t="s">
        <v>73</v>
      </c>
      <c r="W81" t="s">
        <v>73</v>
      </c>
      <c r="X81" t="s">
        <v>73</v>
      </c>
      <c r="Y81" t="s">
        <v>73</v>
      </c>
      <c r="Z81" t="s">
        <v>73</v>
      </c>
      <c r="AA81" t="s">
        <v>73</v>
      </c>
      <c r="AB81" t="s">
        <v>73</v>
      </c>
      <c r="AC81" t="s">
        <v>73</v>
      </c>
      <c r="AD81" t="s">
        <v>73</v>
      </c>
    </row>
    <row r="82" spans="1:30" x14ac:dyDescent="0.3">
      <c r="A82" t="s">
        <v>566</v>
      </c>
      <c r="B82" s="5" t="s">
        <v>567</v>
      </c>
      <c r="C82" t="s">
        <v>209</v>
      </c>
      <c r="D82" s="5" t="s">
        <v>210</v>
      </c>
      <c r="E82">
        <v>22.821147934217947</v>
      </c>
      <c r="F82">
        <v>14.172146839788555</v>
      </c>
      <c r="G82">
        <v>14.170286852765738</v>
      </c>
      <c r="H82">
        <v>13.469127896393681</v>
      </c>
      <c r="I82">
        <v>13.073543299618448</v>
      </c>
      <c r="J82">
        <v>12.58996769360019</v>
      </c>
      <c r="K82">
        <v>11.449068285382136</v>
      </c>
      <c r="L82">
        <v>11.637607927039133</v>
      </c>
      <c r="M82">
        <v>11.333664890346347</v>
      </c>
      <c r="N82">
        <v>11.848607897806328</v>
      </c>
      <c r="O82">
        <v>11.234151690189723</v>
      </c>
      <c r="P82">
        <v>11.258742752003558</v>
      </c>
      <c r="Q82">
        <v>10.72274975333672</v>
      </c>
      <c r="R82">
        <v>10.356226201118636</v>
      </c>
      <c r="S82">
        <v>10.074482462942107</v>
      </c>
      <c r="T82">
        <v>9.9670029485035094</v>
      </c>
      <c r="U82">
        <v>9.6613947799037625</v>
      </c>
      <c r="V82">
        <v>9.6962832123167217</v>
      </c>
      <c r="W82">
        <v>9.4355088153754476</v>
      </c>
      <c r="X82">
        <v>9.4087237571083939</v>
      </c>
      <c r="Y82">
        <v>9.9263191804303048</v>
      </c>
      <c r="Z82">
        <v>9.1734894387253263</v>
      </c>
      <c r="AA82">
        <v>9.0821014182861752</v>
      </c>
      <c r="AB82">
        <v>9.6867075245903482</v>
      </c>
      <c r="AC82">
        <v>9.7799315643004956</v>
      </c>
      <c r="AD82" t="s">
        <v>73</v>
      </c>
    </row>
    <row r="83" spans="1:30" x14ac:dyDescent="0.3">
      <c r="A83" t="s">
        <v>566</v>
      </c>
      <c r="B83" s="5" t="s">
        <v>567</v>
      </c>
      <c r="C83" t="s">
        <v>211</v>
      </c>
      <c r="D83" s="5" t="s">
        <v>212</v>
      </c>
      <c r="E83">
        <v>14.390098053791275</v>
      </c>
      <c r="F83">
        <v>14.910546343925837</v>
      </c>
      <c r="G83">
        <v>14.835743040343283</v>
      </c>
      <c r="H83">
        <v>14.251652881573614</v>
      </c>
      <c r="I83">
        <v>15.989718025621707</v>
      </c>
      <c r="J83">
        <v>15.281159489105892</v>
      </c>
      <c r="K83">
        <v>15.584564133416205</v>
      </c>
      <c r="L83">
        <v>16.81970768631005</v>
      </c>
      <c r="M83">
        <v>15.980005361398961</v>
      </c>
      <c r="N83">
        <v>16.360616876243792</v>
      </c>
      <c r="O83">
        <v>17.484950486621763</v>
      </c>
      <c r="P83">
        <v>16.069749661521801</v>
      </c>
      <c r="Q83">
        <v>16.831674664133622</v>
      </c>
      <c r="R83">
        <v>17.545272835744434</v>
      </c>
      <c r="S83">
        <v>17.523816917624547</v>
      </c>
      <c r="T83">
        <v>18.478241904135007</v>
      </c>
      <c r="U83">
        <v>17.589947436421056</v>
      </c>
      <c r="V83">
        <v>20.528473311374459</v>
      </c>
      <c r="W83">
        <v>22.940009265254833</v>
      </c>
      <c r="X83">
        <v>26.427276814230577</v>
      </c>
      <c r="Y83">
        <v>26.30327748798879</v>
      </c>
      <c r="Z83">
        <v>27.071537480756231</v>
      </c>
      <c r="AA83">
        <v>28.381973713968524</v>
      </c>
      <c r="AB83">
        <v>29.471439765302414</v>
      </c>
      <c r="AC83">
        <v>30.960575141807649</v>
      </c>
      <c r="AD83" t="s">
        <v>73</v>
      </c>
    </row>
    <row r="84" spans="1:30" x14ac:dyDescent="0.3">
      <c r="A84" t="s">
        <v>566</v>
      </c>
      <c r="B84" s="5" t="s">
        <v>567</v>
      </c>
      <c r="C84" t="s">
        <v>213</v>
      </c>
      <c r="D84" s="5" t="s">
        <v>214</v>
      </c>
      <c r="E84">
        <v>36.957416073775839</v>
      </c>
      <c r="F84">
        <v>36.766387543462201</v>
      </c>
      <c r="G84">
        <v>35.275958983573545</v>
      </c>
      <c r="H84">
        <v>36.80986238573432</v>
      </c>
      <c r="I84">
        <v>36.970498886003689</v>
      </c>
      <c r="J84">
        <v>40.397824803299869</v>
      </c>
      <c r="K84">
        <v>39.480422199224549</v>
      </c>
      <c r="L84">
        <v>38.169319139059048</v>
      </c>
      <c r="M84">
        <v>38.259521807350147</v>
      </c>
      <c r="N84">
        <v>39.154374043214816</v>
      </c>
      <c r="O84">
        <v>37.953088918268307</v>
      </c>
      <c r="P84">
        <v>37.563389667207417</v>
      </c>
      <c r="Q84">
        <v>38.08528951058998</v>
      </c>
      <c r="R84">
        <v>38.661581346566372</v>
      </c>
      <c r="S84">
        <v>34.82580687136835</v>
      </c>
      <c r="T84">
        <v>35.15777855080632</v>
      </c>
      <c r="U84">
        <v>36.348764905033356</v>
      </c>
      <c r="V84">
        <v>36.358492091293684</v>
      </c>
      <c r="W84">
        <v>32.547570890067398</v>
      </c>
      <c r="X84">
        <v>31.385490053342252</v>
      </c>
      <c r="Y84">
        <v>36.640793197196267</v>
      </c>
      <c r="Z84">
        <v>40.040506149703219</v>
      </c>
      <c r="AA84">
        <v>39.575954545234538</v>
      </c>
      <c r="AB84">
        <v>38.509293374487022</v>
      </c>
      <c r="AC84">
        <v>42.16743265672315</v>
      </c>
      <c r="AD84" t="s">
        <v>73</v>
      </c>
    </row>
    <row r="85" spans="1:30" x14ac:dyDescent="0.3">
      <c r="A85" t="s">
        <v>566</v>
      </c>
      <c r="B85" s="5" t="s">
        <v>567</v>
      </c>
      <c r="C85" t="s">
        <v>215</v>
      </c>
      <c r="D85" s="5" t="s">
        <v>216</v>
      </c>
      <c r="E85">
        <v>29.9832313022935</v>
      </c>
      <c r="F85">
        <v>29.737383792665579</v>
      </c>
      <c r="G85">
        <v>30.881664106737659</v>
      </c>
      <c r="H85">
        <v>32.112810972900938</v>
      </c>
      <c r="I85">
        <v>31.493731977635463</v>
      </c>
      <c r="J85">
        <v>28.885869730034631</v>
      </c>
      <c r="K85">
        <v>34.00026710589654</v>
      </c>
      <c r="L85">
        <v>30.384742753839554</v>
      </c>
      <c r="M85">
        <v>31.727564773736301</v>
      </c>
      <c r="N85">
        <v>29.424119125762623</v>
      </c>
      <c r="O85">
        <v>28.528432303766177</v>
      </c>
      <c r="P85">
        <v>25.683601400597787</v>
      </c>
      <c r="Q85">
        <v>25.440007900511365</v>
      </c>
      <c r="R85">
        <v>25.647573366727332</v>
      </c>
      <c r="S85">
        <v>24.594086500999822</v>
      </c>
      <c r="T85">
        <v>25.443121476102277</v>
      </c>
      <c r="U85">
        <v>20.387240905845129</v>
      </c>
      <c r="V85">
        <v>22.758027043400393</v>
      </c>
      <c r="W85">
        <v>19.53569331263223</v>
      </c>
      <c r="X85">
        <v>17.595336734249287</v>
      </c>
      <c r="Y85">
        <v>16.851003324985076</v>
      </c>
      <c r="Z85">
        <v>13.455193293189172</v>
      </c>
      <c r="AA85">
        <v>10.029835921980823</v>
      </c>
      <c r="AB85">
        <v>9.7436207090104414</v>
      </c>
      <c r="AC85">
        <v>7.6225332665652177</v>
      </c>
      <c r="AD85" t="s">
        <v>73</v>
      </c>
    </row>
    <row r="86" spans="1:30" x14ac:dyDescent="0.3">
      <c r="A86" t="s">
        <v>566</v>
      </c>
      <c r="B86" s="5" t="s">
        <v>567</v>
      </c>
      <c r="C86" t="s">
        <v>217</v>
      </c>
      <c r="D86" s="5" t="s">
        <v>218</v>
      </c>
      <c r="E86">
        <v>17.185516717203036</v>
      </c>
      <c r="F86">
        <v>16.450578607129703</v>
      </c>
      <c r="G86">
        <v>15.846504464972144</v>
      </c>
      <c r="H86">
        <v>16.720141598204012</v>
      </c>
      <c r="I86">
        <v>15.850521418133741</v>
      </c>
      <c r="J86">
        <v>18.05301294203899</v>
      </c>
      <c r="K86">
        <v>17.716303487922975</v>
      </c>
      <c r="L86">
        <v>19.075106271902879</v>
      </c>
      <c r="M86">
        <v>18.432616164110573</v>
      </c>
      <c r="N86">
        <v>18.793464643555929</v>
      </c>
      <c r="O86">
        <v>20.232695087692857</v>
      </c>
      <c r="P86">
        <v>20.043118899015354</v>
      </c>
      <c r="Q86">
        <v>19.469903594855527</v>
      </c>
      <c r="R86">
        <v>19.327499956926427</v>
      </c>
      <c r="S86">
        <v>17.829763647572644</v>
      </c>
      <c r="T86">
        <v>17.219898998961888</v>
      </c>
      <c r="U86">
        <v>17.983513985146129</v>
      </c>
      <c r="V86">
        <v>18.826470995019513</v>
      </c>
      <c r="W86">
        <v>18.706014116007498</v>
      </c>
      <c r="X86">
        <v>19.187403731504585</v>
      </c>
      <c r="Y86">
        <v>20.362493732043969</v>
      </c>
      <c r="Z86">
        <v>20.684893342416018</v>
      </c>
      <c r="AA86">
        <v>20.275349314177173</v>
      </c>
      <c r="AB86">
        <v>17.457129915242607</v>
      </c>
      <c r="AC86">
        <v>15.860160748205804</v>
      </c>
      <c r="AD86" t="s">
        <v>73</v>
      </c>
    </row>
    <row r="87" spans="1:30" x14ac:dyDescent="0.3">
      <c r="A87" t="s">
        <v>566</v>
      </c>
      <c r="B87" s="5" t="s">
        <v>567</v>
      </c>
      <c r="C87" t="s">
        <v>219</v>
      </c>
      <c r="D87" s="5" t="s">
        <v>220</v>
      </c>
      <c r="E87">
        <v>14.372523538688583</v>
      </c>
      <c r="F87">
        <v>13.165990658333312</v>
      </c>
      <c r="G87">
        <v>12.183412739825931</v>
      </c>
      <c r="H87">
        <v>11.614098522733162</v>
      </c>
      <c r="I87">
        <v>12.170704146866244</v>
      </c>
      <c r="J87">
        <v>12.470924758663251</v>
      </c>
      <c r="K87">
        <v>11.856579151477547</v>
      </c>
      <c r="L87">
        <v>11.911047441592826</v>
      </c>
      <c r="M87">
        <v>12.150170206263391</v>
      </c>
      <c r="N87">
        <v>10.825041486444617</v>
      </c>
      <c r="O87">
        <v>11.591220437975716</v>
      </c>
      <c r="P87">
        <v>14.21965580169765</v>
      </c>
      <c r="Q87">
        <v>13.566294034706109</v>
      </c>
      <c r="R87">
        <v>12.191127940396145</v>
      </c>
      <c r="S87">
        <v>12.538350133310502</v>
      </c>
      <c r="T87">
        <v>12.215978446811635</v>
      </c>
      <c r="U87">
        <v>12.049901405846363</v>
      </c>
      <c r="V87">
        <v>12.669768109487803</v>
      </c>
      <c r="W87">
        <v>11.610160461364448</v>
      </c>
      <c r="X87">
        <v>10.638033409475147</v>
      </c>
      <c r="Y87">
        <v>12.188067140755257</v>
      </c>
      <c r="Z87">
        <v>10.893051926619322</v>
      </c>
      <c r="AA87">
        <v>12.473273024445541</v>
      </c>
      <c r="AB87">
        <v>11.978794840663154</v>
      </c>
      <c r="AC87">
        <v>11.218653718505331</v>
      </c>
      <c r="AD87" t="s">
        <v>73</v>
      </c>
    </row>
    <row r="88" spans="1:30" x14ac:dyDescent="0.3">
      <c r="A88" t="s">
        <v>566</v>
      </c>
      <c r="B88" s="5" t="s">
        <v>567</v>
      </c>
      <c r="C88" t="s">
        <v>221</v>
      </c>
      <c r="D88" s="5" t="s">
        <v>222</v>
      </c>
      <c r="E88">
        <v>8.732703751249532E-2</v>
      </c>
      <c r="F88">
        <v>8.9468051125465686E-2</v>
      </c>
      <c r="G88">
        <v>8.8103282020686929E-2</v>
      </c>
      <c r="H88">
        <v>7.5198799365624527E-2</v>
      </c>
      <c r="I88">
        <v>7.3123560593462616E-2</v>
      </c>
      <c r="J88">
        <v>6.7486943436310523E-2</v>
      </c>
      <c r="K88">
        <v>6.2992607847402238E-2</v>
      </c>
      <c r="L88">
        <v>6.1486979299181704E-2</v>
      </c>
      <c r="M88">
        <v>5.4173179649391182E-2</v>
      </c>
      <c r="N88">
        <v>6.5692528830883931E-2</v>
      </c>
      <c r="O88">
        <v>5.3368401852806793E-2</v>
      </c>
      <c r="P88">
        <v>4.8799904881541331E-2</v>
      </c>
      <c r="Q88">
        <v>5.4686683105398523E-2</v>
      </c>
      <c r="R88">
        <v>5.7288366252709506E-2</v>
      </c>
      <c r="S88">
        <v>6.6194543817380935E-2</v>
      </c>
      <c r="T88">
        <v>6.7965375185549654E-2</v>
      </c>
      <c r="U88">
        <v>7.6206597772904339E-2</v>
      </c>
      <c r="V88">
        <v>6.5272703414145899E-2</v>
      </c>
      <c r="W88">
        <v>6.2142271945444583E-2</v>
      </c>
      <c r="X88">
        <v>7.2301725610557671E-2</v>
      </c>
      <c r="Y88">
        <v>9.8961317261836018E-2</v>
      </c>
      <c r="Z88">
        <v>7.559345921317949E-2</v>
      </c>
      <c r="AA88">
        <v>5.290197221827652E-2</v>
      </c>
      <c r="AB88">
        <v>3.7909665724567339E-2</v>
      </c>
      <c r="AC88">
        <v>3.7447710209524504E-2</v>
      </c>
      <c r="AD88" t="s">
        <v>73</v>
      </c>
    </row>
    <row r="89" spans="1:30" x14ac:dyDescent="0.3">
      <c r="A89" t="s">
        <v>566</v>
      </c>
      <c r="B89" s="5" t="s">
        <v>567</v>
      </c>
      <c r="C89" t="s">
        <v>223</v>
      </c>
      <c r="D89" s="5" t="s">
        <v>224</v>
      </c>
      <c r="E89">
        <v>5.0657515641900162</v>
      </c>
      <c r="F89">
        <v>5.0294532936933232</v>
      </c>
      <c r="G89">
        <v>4.3698045801714045</v>
      </c>
      <c r="H89">
        <v>3.90627498031927</v>
      </c>
      <c r="I89">
        <v>4.3568354545505414</v>
      </c>
      <c r="J89">
        <v>3.7251418533645628</v>
      </c>
      <c r="K89">
        <v>3.5387460108562849</v>
      </c>
      <c r="L89">
        <v>3.4878663089969795</v>
      </c>
      <c r="M89">
        <v>3.4781494007183658</v>
      </c>
      <c r="N89">
        <v>2.9952772803179712</v>
      </c>
      <c r="O89">
        <v>3.0071089410645269</v>
      </c>
      <c r="P89">
        <v>3.9730215441013268</v>
      </c>
      <c r="Q89">
        <v>3.8885075389206056</v>
      </c>
      <c r="R89">
        <v>3.9225373445985388</v>
      </c>
      <c r="S89">
        <v>3.945298303792911</v>
      </c>
      <c r="T89">
        <v>3.7613554818377319</v>
      </c>
      <c r="U89">
        <v>3.8677257212942031</v>
      </c>
      <c r="V89">
        <v>3.7489466690871853</v>
      </c>
      <c r="W89">
        <v>3.4716273027973745</v>
      </c>
      <c r="X89">
        <v>3.3250511217072098</v>
      </c>
      <c r="Y89">
        <v>3.362546853711764</v>
      </c>
      <c r="Z89">
        <v>3.4575591932580267</v>
      </c>
      <c r="AA89">
        <v>3.1431003385209473</v>
      </c>
      <c r="AB89">
        <v>2.9233218299556074</v>
      </c>
      <c r="AC89">
        <v>2.7111213404475296</v>
      </c>
      <c r="AD89" t="s">
        <v>73</v>
      </c>
    </row>
    <row r="90" spans="1:30" x14ac:dyDescent="0.3">
      <c r="A90" t="s">
        <v>566</v>
      </c>
      <c r="B90" s="5" t="s">
        <v>567</v>
      </c>
      <c r="C90" t="s">
        <v>225</v>
      </c>
      <c r="D90" s="5" t="s">
        <v>226</v>
      </c>
      <c r="E90">
        <v>6.8859899817903356</v>
      </c>
      <c r="F90">
        <v>7.3828806041061625</v>
      </c>
      <c r="G90">
        <v>7.4049316686049247</v>
      </c>
      <c r="H90">
        <v>6.349194396790879</v>
      </c>
      <c r="I90">
        <v>5.2287722880465033</v>
      </c>
      <c r="J90">
        <v>4.6596786762486087</v>
      </c>
      <c r="K90">
        <v>4.7137048341632566</v>
      </c>
      <c r="L90">
        <v>4.1452562498117516</v>
      </c>
      <c r="M90">
        <v>4.8444391877381507</v>
      </c>
      <c r="N90">
        <v>5.6032335356569307</v>
      </c>
      <c r="O90">
        <v>6.2254148137098433</v>
      </c>
      <c r="P90">
        <v>6.3594025229515641</v>
      </c>
      <c r="Q90">
        <v>6.4894756964881424</v>
      </c>
      <c r="R90">
        <v>5.7944142728369457</v>
      </c>
      <c r="S90">
        <v>5.2244205826598851</v>
      </c>
      <c r="T90">
        <v>5.2501660219643229</v>
      </c>
      <c r="U90">
        <v>4.5395861110423592</v>
      </c>
      <c r="V90">
        <v>3.7480335722270497</v>
      </c>
      <c r="W90">
        <v>4.246645565195692</v>
      </c>
      <c r="X90">
        <v>4.3181338081763823</v>
      </c>
      <c r="Y90">
        <v>4.6006924149964936</v>
      </c>
      <c r="Z90">
        <v>4.1921047287182329</v>
      </c>
      <c r="AA90">
        <v>4.0879858932462021</v>
      </c>
      <c r="AB90">
        <v>4.1853106595412717</v>
      </c>
      <c r="AC90">
        <v>3.9820113756449089</v>
      </c>
      <c r="AD90" t="s">
        <v>73</v>
      </c>
    </row>
    <row r="91" spans="1:30" x14ac:dyDescent="0.3">
      <c r="A91" t="s">
        <v>566</v>
      </c>
      <c r="B91" s="5" t="s">
        <v>567</v>
      </c>
      <c r="C91" t="s">
        <v>22</v>
      </c>
      <c r="D91" s="5" t="s">
        <v>227</v>
      </c>
      <c r="E91">
        <v>21.611062046512103</v>
      </c>
      <c r="F91">
        <v>21.618884886143771</v>
      </c>
      <c r="G91">
        <v>19.534543270954575</v>
      </c>
      <c r="H91">
        <v>19.591997978425116</v>
      </c>
      <c r="I91">
        <v>17.81469064879936</v>
      </c>
      <c r="J91">
        <v>17.62020695488388</v>
      </c>
      <c r="K91">
        <v>16.80944209443814</v>
      </c>
      <c r="L91">
        <v>16.750119759756934</v>
      </c>
      <c r="M91">
        <v>16.790942359803669</v>
      </c>
      <c r="N91">
        <v>16.744270156316084</v>
      </c>
      <c r="O91">
        <v>17.026509013691189</v>
      </c>
      <c r="P91">
        <v>17.191973558014968</v>
      </c>
      <c r="Q91">
        <v>16.845377066135573</v>
      </c>
      <c r="R91">
        <v>17.148423543369727</v>
      </c>
      <c r="S91">
        <v>16.791934514503904</v>
      </c>
      <c r="T91">
        <v>16.174508106840065</v>
      </c>
      <c r="U91">
        <v>16.36380056163307</v>
      </c>
      <c r="V91">
        <v>16.558331404936848</v>
      </c>
      <c r="W91">
        <v>16.031630686448953</v>
      </c>
      <c r="X91">
        <v>16.755568303283702</v>
      </c>
      <c r="Y91">
        <v>18.668537660372674</v>
      </c>
      <c r="Z91">
        <v>17.372561526031365</v>
      </c>
      <c r="AA91">
        <v>16.546129592575387</v>
      </c>
      <c r="AB91">
        <v>16.193189357159135</v>
      </c>
      <c r="AC91">
        <v>16.285433560591684</v>
      </c>
      <c r="AD91" t="s">
        <v>73</v>
      </c>
    </row>
    <row r="92" spans="1:30" x14ac:dyDescent="0.3">
      <c r="A92" t="s">
        <v>566</v>
      </c>
      <c r="B92" s="5" t="s">
        <v>567</v>
      </c>
      <c r="C92" t="s">
        <v>23</v>
      </c>
      <c r="D92" s="5" t="s">
        <v>228</v>
      </c>
      <c r="E92">
        <v>15.678704438770763</v>
      </c>
      <c r="F92">
        <v>15.994917762138877</v>
      </c>
      <c r="G92">
        <v>16.319668966437874</v>
      </c>
      <c r="H92">
        <v>15.185348218624798</v>
      </c>
      <c r="I92">
        <v>14.335780295564184</v>
      </c>
      <c r="J92">
        <v>13.12661864005057</v>
      </c>
      <c r="K92">
        <v>12.973802719248418</v>
      </c>
      <c r="L92">
        <v>13.716683103456202</v>
      </c>
      <c r="M92">
        <v>14.48174026077611</v>
      </c>
      <c r="N92">
        <v>15.290148146171953</v>
      </c>
      <c r="O92">
        <v>13.929212707137046</v>
      </c>
      <c r="P92">
        <v>13.512287074394585</v>
      </c>
      <c r="Q92">
        <v>13.373974235072708</v>
      </c>
      <c r="R92">
        <v>13.356699162194873</v>
      </c>
      <c r="S92">
        <v>13.336754999214595</v>
      </c>
      <c r="T92">
        <v>13.492643557888595</v>
      </c>
      <c r="U92">
        <v>13.478748547027134</v>
      </c>
      <c r="V92">
        <v>13.156630846266115</v>
      </c>
      <c r="W92">
        <v>12.808497558690229</v>
      </c>
      <c r="X92">
        <v>12.712602657752232</v>
      </c>
      <c r="Y92">
        <v>13.698414279613836</v>
      </c>
      <c r="Z92">
        <v>13.280169137659634</v>
      </c>
      <c r="AA92">
        <v>12.399650163410755</v>
      </c>
      <c r="AB92">
        <v>12.529421476958419</v>
      </c>
      <c r="AC92">
        <v>12.608665879758421</v>
      </c>
      <c r="AD92" t="s">
        <v>73</v>
      </c>
    </row>
    <row r="93" spans="1:30" x14ac:dyDescent="0.3">
      <c r="A93" t="s">
        <v>566</v>
      </c>
      <c r="B93" s="5" t="s">
        <v>567</v>
      </c>
      <c r="C93" t="s">
        <v>24</v>
      </c>
      <c r="D93" s="5" t="s">
        <v>229</v>
      </c>
      <c r="E93">
        <v>9.0684193270381517</v>
      </c>
      <c r="F93">
        <v>8.3108420024659875</v>
      </c>
      <c r="G93">
        <v>7.8255468974793825</v>
      </c>
      <c r="H93">
        <v>7.4510945612020079</v>
      </c>
      <c r="I93">
        <v>6.8895784694582058</v>
      </c>
      <c r="J93">
        <v>6.5013822090868461</v>
      </c>
      <c r="K93">
        <v>7.1182112409593294</v>
      </c>
      <c r="L93">
        <v>7.185568231474992</v>
      </c>
      <c r="M93">
        <v>6.1227725911111186</v>
      </c>
      <c r="N93">
        <v>6.9244896148628996</v>
      </c>
      <c r="O93">
        <v>6.4993907255720114</v>
      </c>
      <c r="P93">
        <v>4.6421162045662916</v>
      </c>
      <c r="Q93">
        <v>6.7969371671065399</v>
      </c>
      <c r="R93">
        <v>8.7749097727602585</v>
      </c>
      <c r="S93">
        <v>9.378424156844261</v>
      </c>
      <c r="T93">
        <v>10.091601414112562</v>
      </c>
      <c r="U93">
        <v>8.4478802928174321</v>
      </c>
      <c r="V93">
        <v>8.4904492722764431</v>
      </c>
      <c r="W93">
        <v>9.6309202466080546</v>
      </c>
      <c r="X93">
        <v>11.808101467688164</v>
      </c>
      <c r="Y93">
        <v>11.693350697970249</v>
      </c>
      <c r="Z93">
        <v>10.634485402727146</v>
      </c>
      <c r="AA93">
        <v>10.695041770619452</v>
      </c>
      <c r="AB93">
        <v>10.750872506582969</v>
      </c>
      <c r="AC93">
        <v>10.800368593719837</v>
      </c>
      <c r="AD93" t="s">
        <v>73</v>
      </c>
    </row>
    <row r="94" spans="1:30" x14ac:dyDescent="0.3">
      <c r="A94" t="s">
        <v>566</v>
      </c>
      <c r="B94" s="5" t="s">
        <v>567</v>
      </c>
      <c r="C94" t="s">
        <v>230</v>
      </c>
      <c r="D94" s="5" t="s">
        <v>231</v>
      </c>
      <c r="E94">
        <v>4.6347455069726902</v>
      </c>
      <c r="F94">
        <v>6.9309570545315031</v>
      </c>
      <c r="G94">
        <v>8.5626717122094025</v>
      </c>
      <c r="H94">
        <v>8.405608292624656</v>
      </c>
      <c r="I94">
        <v>6.9385613062470073</v>
      </c>
      <c r="J94">
        <v>6.8868627354244563</v>
      </c>
      <c r="K94">
        <v>5.8260329051417257</v>
      </c>
      <c r="L94">
        <v>4.929498275950853</v>
      </c>
      <c r="M94">
        <v>3.8477801954882631</v>
      </c>
      <c r="N94">
        <v>5.2299331913794722</v>
      </c>
      <c r="O94">
        <v>5.1622835468003645</v>
      </c>
      <c r="P94">
        <v>4.5637734374961827</v>
      </c>
      <c r="Q94">
        <v>4.1242714375848388</v>
      </c>
      <c r="R94">
        <v>4.7684397158552949</v>
      </c>
      <c r="S94">
        <v>4.9294077720475515</v>
      </c>
      <c r="T94">
        <v>4.1918681751721154</v>
      </c>
      <c r="U94">
        <v>3.9771898114612929</v>
      </c>
      <c r="V94">
        <v>2.9767278010133547</v>
      </c>
      <c r="W94">
        <v>2.8158176432049169</v>
      </c>
      <c r="X94">
        <v>3.7700082530619885</v>
      </c>
      <c r="Y94">
        <v>6.0886741469241219</v>
      </c>
      <c r="Z94">
        <v>3.2791975295303812</v>
      </c>
      <c r="AA94">
        <v>2.0587062138837426</v>
      </c>
      <c r="AB94">
        <v>3.1060312144841227</v>
      </c>
      <c r="AC94">
        <v>3.3945750586172241</v>
      </c>
      <c r="AD94" t="s">
        <v>73</v>
      </c>
    </row>
    <row r="95" spans="1:30" x14ac:dyDescent="0.3">
      <c r="A95" t="s">
        <v>566</v>
      </c>
      <c r="B95" s="5" t="s">
        <v>567</v>
      </c>
      <c r="C95" t="s">
        <v>25</v>
      </c>
      <c r="D95" s="5" t="s">
        <v>232</v>
      </c>
      <c r="E95">
        <v>2.5049290389004817</v>
      </c>
      <c r="F95">
        <v>1.9938598323222336</v>
      </c>
      <c r="G95">
        <v>1.7353084894094022</v>
      </c>
      <c r="H95">
        <v>1.4800038198380081</v>
      </c>
      <c r="I95">
        <v>1.5740872720483574</v>
      </c>
      <c r="J95">
        <v>1.0335496655109384</v>
      </c>
      <c r="K95">
        <v>0.92115271885553074</v>
      </c>
      <c r="L95">
        <v>1.0432228655128166</v>
      </c>
      <c r="M95">
        <v>0.85002864355273533</v>
      </c>
      <c r="N95">
        <v>0.55795634812100003</v>
      </c>
      <c r="O95">
        <v>0.95542997104966565</v>
      </c>
      <c r="P95">
        <v>1.2048116913305689</v>
      </c>
      <c r="Q95">
        <v>0.98628534243733035</v>
      </c>
      <c r="R95">
        <v>1.0700053041784918</v>
      </c>
      <c r="S95">
        <v>1.2173247501294524</v>
      </c>
      <c r="T95">
        <v>0.86869465225802045</v>
      </c>
      <c r="U95">
        <v>0.92594133156335867</v>
      </c>
      <c r="V95">
        <v>1.1198159091188644</v>
      </c>
      <c r="W95">
        <v>0.9281689818797928</v>
      </c>
      <c r="X95">
        <v>0.95389661611983356</v>
      </c>
      <c r="Y95">
        <v>1.0089723593295619</v>
      </c>
      <c r="Z95">
        <v>1.0331244030498687</v>
      </c>
      <c r="AA95">
        <v>1.172815303261239</v>
      </c>
      <c r="AB95">
        <v>0.84691071016440123</v>
      </c>
      <c r="AC95">
        <v>1.0211444801842302</v>
      </c>
      <c r="AD95" t="s">
        <v>73</v>
      </c>
    </row>
    <row r="96" spans="1:30" x14ac:dyDescent="0.3">
      <c r="A96" t="s">
        <v>566</v>
      </c>
      <c r="B96" s="5" t="s">
        <v>567</v>
      </c>
      <c r="C96" t="s">
        <v>233</v>
      </c>
      <c r="D96" s="5" t="s">
        <v>234</v>
      </c>
      <c r="E96" t="s">
        <v>73</v>
      </c>
      <c r="F96" t="s">
        <v>73</v>
      </c>
      <c r="G96" t="s">
        <v>73</v>
      </c>
      <c r="H96" t="s">
        <v>73</v>
      </c>
      <c r="I96" t="s">
        <v>73</v>
      </c>
      <c r="J96" t="s">
        <v>73</v>
      </c>
      <c r="K96" t="s">
        <v>73</v>
      </c>
      <c r="L96" t="s">
        <v>73</v>
      </c>
      <c r="M96" t="s">
        <v>73</v>
      </c>
      <c r="N96" t="s">
        <v>73</v>
      </c>
      <c r="O96" t="s">
        <v>73</v>
      </c>
      <c r="P96" t="s">
        <v>73</v>
      </c>
      <c r="Q96">
        <v>0.64265710307518198</v>
      </c>
      <c r="R96">
        <v>0.59659979648886352</v>
      </c>
      <c r="S96">
        <v>0.4460943688750878</v>
      </c>
      <c r="T96">
        <v>0.47232011758513159</v>
      </c>
      <c r="U96">
        <v>0.59010069695069278</v>
      </c>
      <c r="V96">
        <v>0.40050634918732431</v>
      </c>
      <c r="W96">
        <v>0.41093589916425521</v>
      </c>
      <c r="X96">
        <v>0.31667066547429495</v>
      </c>
      <c r="Y96">
        <v>0.37263392418737112</v>
      </c>
      <c r="Z96">
        <v>0.33774427542008639</v>
      </c>
      <c r="AA96">
        <v>0.37246678301554126</v>
      </c>
      <c r="AB96" t="s">
        <v>73</v>
      </c>
      <c r="AC96" t="s">
        <v>73</v>
      </c>
      <c r="AD96" t="s">
        <v>73</v>
      </c>
    </row>
    <row r="97" spans="1:30" x14ac:dyDescent="0.3">
      <c r="A97" t="s">
        <v>566</v>
      </c>
      <c r="B97" s="5" t="s">
        <v>567</v>
      </c>
      <c r="C97" t="s">
        <v>235</v>
      </c>
      <c r="D97" s="5" t="s">
        <v>236</v>
      </c>
      <c r="E97">
        <v>1.533666082524739</v>
      </c>
      <c r="F97">
        <v>1.7594856841232254</v>
      </c>
      <c r="G97">
        <v>1.815686877565388</v>
      </c>
      <c r="H97">
        <v>1.7081758360835955</v>
      </c>
      <c r="I97">
        <v>1.6169244484440084</v>
      </c>
      <c r="J97">
        <v>1.8783431301463811</v>
      </c>
      <c r="K97">
        <v>1.8190631867298455</v>
      </c>
      <c r="L97">
        <v>1.7471709464766678</v>
      </c>
      <c r="M97">
        <v>1.8094379576530901</v>
      </c>
      <c r="N97">
        <v>2.1413966133672453</v>
      </c>
      <c r="O97">
        <v>1.829758764009477</v>
      </c>
      <c r="P97">
        <v>1.8500017153515687</v>
      </c>
      <c r="Q97">
        <v>1.492629949849704</v>
      </c>
      <c r="R97">
        <v>1.5214280773156199</v>
      </c>
      <c r="S97">
        <v>1.387833351461595</v>
      </c>
      <c r="T97">
        <v>1.4205563555957967</v>
      </c>
      <c r="U97">
        <v>1.4514466923815057</v>
      </c>
      <c r="V97">
        <v>1.4333236155020423</v>
      </c>
      <c r="W97">
        <v>1.3893307155597581</v>
      </c>
      <c r="X97">
        <v>1.3464394076473742</v>
      </c>
      <c r="Y97">
        <v>1.3665660649153584</v>
      </c>
      <c r="Z97">
        <v>1.3260383547954535</v>
      </c>
      <c r="AA97">
        <v>1.1618336562619018</v>
      </c>
      <c r="AB97">
        <v>1.2861459392946606</v>
      </c>
      <c r="AC97">
        <v>1.282077228264918</v>
      </c>
      <c r="AD97" t="s">
        <v>73</v>
      </c>
    </row>
    <row r="98" spans="1:30" x14ac:dyDescent="0.3">
      <c r="A98" t="s">
        <v>566</v>
      </c>
      <c r="B98" s="5" t="s">
        <v>567</v>
      </c>
      <c r="C98" t="s">
        <v>26</v>
      </c>
      <c r="D98" s="5" t="s">
        <v>237</v>
      </c>
      <c r="E98">
        <v>2.5576339299271287</v>
      </c>
      <c r="F98">
        <v>2.4818910807855983</v>
      </c>
      <c r="G98">
        <v>2.3653244214425686</v>
      </c>
      <c r="H98">
        <v>2.352381687397187</v>
      </c>
      <c r="I98">
        <v>2.3422962759550479</v>
      </c>
      <c r="J98">
        <v>2.0300611090946798</v>
      </c>
      <c r="K98">
        <v>1.9415856841896877</v>
      </c>
      <c r="L98">
        <v>1.8941496792437882</v>
      </c>
      <c r="M98">
        <v>1.8730089355916597</v>
      </c>
      <c r="N98">
        <v>1.8020817788295587</v>
      </c>
      <c r="O98">
        <v>1.7692817313224611</v>
      </c>
      <c r="P98">
        <v>1.8491009388291828</v>
      </c>
      <c r="Q98">
        <v>1.9088694122751659</v>
      </c>
      <c r="R98">
        <v>2.0577936663733349</v>
      </c>
      <c r="S98">
        <v>1.9084821312589071</v>
      </c>
      <c r="T98">
        <v>1.9915255281784876</v>
      </c>
      <c r="U98">
        <v>1.8491524830210069</v>
      </c>
      <c r="V98">
        <v>1.8934326477664287</v>
      </c>
      <c r="W98">
        <v>1.8575561256162585</v>
      </c>
      <c r="X98">
        <v>1.8186687987384944</v>
      </c>
      <c r="Y98">
        <v>1.9280162015611984</v>
      </c>
      <c r="Z98">
        <v>1.8333929079470723</v>
      </c>
      <c r="AA98">
        <v>1.890371751256686</v>
      </c>
      <c r="AB98">
        <v>1.8597576955156898</v>
      </c>
      <c r="AC98">
        <v>1.9972773471628773</v>
      </c>
      <c r="AD98" t="s">
        <v>73</v>
      </c>
    </row>
    <row r="99" spans="1:30" x14ac:dyDescent="0.3">
      <c r="A99" t="s">
        <v>566</v>
      </c>
      <c r="B99" s="5" t="s">
        <v>567</v>
      </c>
      <c r="C99" t="s">
        <v>238</v>
      </c>
      <c r="D99" s="5" t="s">
        <v>239</v>
      </c>
      <c r="E99">
        <v>6.2319001573281598</v>
      </c>
      <c r="F99">
        <v>6.1207359259250502</v>
      </c>
      <c r="G99">
        <v>5.5443040664746954</v>
      </c>
      <c r="H99">
        <v>5.2138620043709025</v>
      </c>
      <c r="I99">
        <v>4.9821652552512523</v>
      </c>
      <c r="J99">
        <v>5.1862408536062921</v>
      </c>
      <c r="K99">
        <v>5.1558260745394833</v>
      </c>
      <c r="L99">
        <v>4.6176064098858216</v>
      </c>
      <c r="M99">
        <v>4.8991221562313276</v>
      </c>
      <c r="N99">
        <v>5.4722678789505848</v>
      </c>
      <c r="O99">
        <v>5.2689973203930318</v>
      </c>
      <c r="P99">
        <v>5.6472867779692466</v>
      </c>
      <c r="Q99">
        <v>5.7714404859199195</v>
      </c>
      <c r="R99">
        <v>5.9704796326503251</v>
      </c>
      <c r="S99">
        <v>5.9724898388549734</v>
      </c>
      <c r="T99">
        <v>5.8561219639282225</v>
      </c>
      <c r="U99">
        <v>6.0983232562020095</v>
      </c>
      <c r="V99">
        <v>5.9106646947947237</v>
      </c>
      <c r="W99">
        <v>5.9008731752837118</v>
      </c>
      <c r="X99">
        <v>6.3052910202096388</v>
      </c>
      <c r="Y99">
        <v>7.720569474919631</v>
      </c>
      <c r="Z99">
        <v>7.3827806294128102</v>
      </c>
      <c r="AA99">
        <v>6.7997968472522761</v>
      </c>
      <c r="AB99">
        <v>7.782556512211011</v>
      </c>
      <c r="AC99">
        <v>7.9687635201958695</v>
      </c>
      <c r="AD99" t="s">
        <v>73</v>
      </c>
    </row>
    <row r="100" spans="1:30" x14ac:dyDescent="0.3">
      <c r="A100" t="s">
        <v>566</v>
      </c>
      <c r="B100" s="5" t="s">
        <v>567</v>
      </c>
      <c r="C100" t="s">
        <v>27</v>
      </c>
      <c r="D100" s="5" t="s">
        <v>240</v>
      </c>
      <c r="E100">
        <v>1.5178803390324975</v>
      </c>
      <c r="F100">
        <v>1.3675061915279847</v>
      </c>
      <c r="G100">
        <v>1.3764905991415857</v>
      </c>
      <c r="H100">
        <v>1.2990282242103821</v>
      </c>
      <c r="I100">
        <v>1.2309574842052591</v>
      </c>
      <c r="J100">
        <v>1.111629405786422</v>
      </c>
      <c r="K100">
        <v>1.0824967458950441</v>
      </c>
      <c r="L100">
        <v>1.0533641323263889</v>
      </c>
      <c r="M100">
        <v>1.0541017665364842</v>
      </c>
      <c r="N100">
        <v>1.0823165064581775</v>
      </c>
      <c r="O100">
        <v>1.1082810813034858</v>
      </c>
      <c r="P100">
        <v>1.0802717625870717</v>
      </c>
      <c r="Q100">
        <v>1.1228539624480518</v>
      </c>
      <c r="R100">
        <v>1.0667178297017932</v>
      </c>
      <c r="S100">
        <v>0.99660570034174301</v>
      </c>
      <c r="T100">
        <v>1.0341200704864746</v>
      </c>
      <c r="U100">
        <v>1.1249813084833216</v>
      </c>
      <c r="V100">
        <v>1.1284405494392242</v>
      </c>
      <c r="W100">
        <v>1.044248235946996</v>
      </c>
      <c r="X100">
        <v>1.0389474446452729</v>
      </c>
      <c r="Y100">
        <v>1.0663842593107333</v>
      </c>
      <c r="Z100">
        <v>1.010417700670966</v>
      </c>
      <c r="AA100">
        <v>0.92188130011097125</v>
      </c>
      <c r="AB100">
        <v>0.93745274850590243</v>
      </c>
      <c r="AC100" t="s">
        <v>73</v>
      </c>
      <c r="AD100" t="s">
        <v>73</v>
      </c>
    </row>
    <row r="101" spans="1:30" x14ac:dyDescent="0.3">
      <c r="A101" t="s">
        <v>566</v>
      </c>
      <c r="B101" s="5" t="s">
        <v>567</v>
      </c>
      <c r="C101" t="s">
        <v>241</v>
      </c>
      <c r="D101" s="5" t="s">
        <v>242</v>
      </c>
      <c r="E101">
        <v>2.0154366779468886</v>
      </c>
      <c r="F101">
        <v>1.9532661816238979</v>
      </c>
      <c r="G101">
        <v>2.1916396820724167</v>
      </c>
      <c r="H101">
        <v>2.4665569189480818</v>
      </c>
      <c r="I101">
        <v>2.4978679751325563</v>
      </c>
      <c r="J101">
        <v>2.7583579815362551</v>
      </c>
      <c r="K101">
        <v>2.5835097513910483</v>
      </c>
      <c r="L101">
        <v>2.5314681856025323</v>
      </c>
      <c r="M101">
        <v>2.8773002827151473</v>
      </c>
      <c r="N101">
        <v>3.2367098820265907</v>
      </c>
      <c r="O101">
        <v>3.5751910939428448</v>
      </c>
      <c r="P101">
        <v>3.5050032735436694</v>
      </c>
      <c r="Q101">
        <v>3.3051192876993674</v>
      </c>
      <c r="R101">
        <v>3.5830186444417671</v>
      </c>
      <c r="S101">
        <v>3.9684445737235579</v>
      </c>
      <c r="T101">
        <v>4.3922686586115089</v>
      </c>
      <c r="U101">
        <v>4.5063412999835233</v>
      </c>
      <c r="V101">
        <v>4.4420004278994139</v>
      </c>
      <c r="W101">
        <v>4.3808439294467423</v>
      </c>
      <c r="X101">
        <v>4.3719379046856295</v>
      </c>
      <c r="Y101">
        <v>4.6465744716454607</v>
      </c>
      <c r="Z101">
        <v>4.7867527770439073</v>
      </c>
      <c r="AA101">
        <v>4.8178445711600144</v>
      </c>
      <c r="AB101">
        <v>4.8119781881188377</v>
      </c>
      <c r="AC101">
        <v>5.0672601254521714</v>
      </c>
      <c r="AD101" t="s">
        <v>73</v>
      </c>
    </row>
    <row r="102" spans="1:30" x14ac:dyDescent="0.3">
      <c r="A102" t="s">
        <v>566</v>
      </c>
      <c r="B102" s="5" t="s">
        <v>567</v>
      </c>
      <c r="C102" t="s">
        <v>243</v>
      </c>
      <c r="D102" s="5" t="s">
        <v>244</v>
      </c>
      <c r="E102">
        <v>8.1107838850516494</v>
      </c>
      <c r="F102">
        <v>8.724831863770838</v>
      </c>
      <c r="G102">
        <v>7.995909092798879</v>
      </c>
      <c r="H102">
        <v>7.862206026992383</v>
      </c>
      <c r="I102">
        <v>7.1229579875199791</v>
      </c>
      <c r="J102">
        <v>6.3695230155586646</v>
      </c>
      <c r="K102">
        <v>5.4958348619944104</v>
      </c>
      <c r="L102">
        <v>5.6602915190702667</v>
      </c>
      <c r="M102">
        <v>5.3158032465521909</v>
      </c>
      <c r="N102">
        <v>6.1468849865004849</v>
      </c>
      <c r="O102">
        <v>4.5105275295561409</v>
      </c>
      <c r="P102">
        <v>4.9889741557576039</v>
      </c>
      <c r="Q102">
        <v>4.2883301562983336</v>
      </c>
      <c r="R102">
        <v>4.5035455696271063</v>
      </c>
      <c r="S102">
        <v>4.329552461644731</v>
      </c>
      <c r="T102">
        <v>4.7105474188157919</v>
      </c>
      <c r="U102">
        <v>4.5560042707065938</v>
      </c>
      <c r="V102">
        <v>4.516984540267412</v>
      </c>
      <c r="W102">
        <v>4.3958581028763586</v>
      </c>
      <c r="X102">
        <v>4.4663359581275133</v>
      </c>
      <c r="Y102">
        <v>5.3912826934480966</v>
      </c>
      <c r="Z102">
        <v>5.0300019399633058</v>
      </c>
      <c r="AA102">
        <v>5.2471448073007361</v>
      </c>
      <c r="AB102">
        <v>3.825003113616634</v>
      </c>
      <c r="AC102">
        <v>3.8822915165122587</v>
      </c>
      <c r="AD102" t="s">
        <v>73</v>
      </c>
    </row>
    <row r="103" spans="1:30" x14ac:dyDescent="0.3">
      <c r="A103" t="s">
        <v>566</v>
      </c>
      <c r="B103" s="5" t="s">
        <v>567</v>
      </c>
      <c r="C103" t="s">
        <v>245</v>
      </c>
      <c r="D103" s="5" t="s">
        <v>246</v>
      </c>
      <c r="E103">
        <v>28.721780641290472</v>
      </c>
      <c r="F103">
        <v>27.849260111289613</v>
      </c>
      <c r="G103">
        <v>25.853967603945634</v>
      </c>
      <c r="H103">
        <v>25.804439370832899</v>
      </c>
      <c r="I103">
        <v>24.929041087505659</v>
      </c>
      <c r="J103">
        <v>24.236274700241925</v>
      </c>
      <c r="K103">
        <v>20.519687804940922</v>
      </c>
      <c r="L103">
        <v>20.586664460299094</v>
      </c>
      <c r="M103">
        <v>22.196340157982615</v>
      </c>
      <c r="N103">
        <v>16.254981466228603</v>
      </c>
      <c r="O103">
        <v>17.56775988636964</v>
      </c>
      <c r="P103">
        <v>18.894711224995277</v>
      </c>
      <c r="Q103">
        <v>18.82972593294458</v>
      </c>
      <c r="R103">
        <v>18.616551585462151</v>
      </c>
      <c r="S103">
        <v>18.347839339355595</v>
      </c>
      <c r="T103">
        <v>19.469614778052783</v>
      </c>
      <c r="U103">
        <v>20.034516432834909</v>
      </c>
      <c r="V103">
        <v>20.893637406529177</v>
      </c>
      <c r="W103">
        <v>20.314910419967994</v>
      </c>
      <c r="X103">
        <v>20.861163811068607</v>
      </c>
      <c r="Y103">
        <v>22.702726160445057</v>
      </c>
      <c r="Z103">
        <v>21.477075095725169</v>
      </c>
      <c r="AA103">
        <v>21.036192064993276</v>
      </c>
      <c r="AB103">
        <v>21.452206090220514</v>
      </c>
      <c r="AC103">
        <v>22.472846275855531</v>
      </c>
      <c r="AD103" t="s">
        <v>73</v>
      </c>
    </row>
    <row r="104" spans="1:30" x14ac:dyDescent="0.3">
      <c r="A104" t="s">
        <v>566</v>
      </c>
      <c r="B104" s="5" t="s">
        <v>567</v>
      </c>
      <c r="C104" t="s">
        <v>247</v>
      </c>
      <c r="D104" s="5" t="s">
        <v>248</v>
      </c>
      <c r="E104">
        <v>21.433734167613544</v>
      </c>
      <c r="F104">
        <v>22.561593507992612</v>
      </c>
      <c r="G104">
        <v>21.519823385607992</v>
      </c>
      <c r="H104">
        <v>22.041183690532275</v>
      </c>
      <c r="I104">
        <v>22.613062819273161</v>
      </c>
      <c r="J104">
        <v>19.978563365932896</v>
      </c>
      <c r="K104">
        <v>21.62961931376698</v>
      </c>
      <c r="L104">
        <v>22.695224725995601</v>
      </c>
      <c r="M104">
        <v>24.651502867400062</v>
      </c>
      <c r="N104">
        <v>26.675715732673694</v>
      </c>
      <c r="O104">
        <v>24.656994690324822</v>
      </c>
      <c r="P104">
        <v>25.714062247636665</v>
      </c>
      <c r="Q104">
        <v>25.232247676699298</v>
      </c>
      <c r="R104">
        <v>23.6658767644122</v>
      </c>
      <c r="S104">
        <v>25.295932463213727</v>
      </c>
      <c r="T104">
        <v>22.91965585483068</v>
      </c>
      <c r="U104">
        <v>27.067683042364354</v>
      </c>
      <c r="V104">
        <v>31.032135396234683</v>
      </c>
      <c r="W104">
        <v>26.809418334061778</v>
      </c>
      <c r="X104">
        <v>26.978347204626175</v>
      </c>
      <c r="Y104">
        <v>26.964650370796949</v>
      </c>
      <c r="Z104">
        <v>24.715630281966099</v>
      </c>
      <c r="AA104">
        <v>27.472981040950913</v>
      </c>
      <c r="AB104">
        <v>27.18700614206093</v>
      </c>
      <c r="AC104" t="s">
        <v>73</v>
      </c>
      <c r="AD104" t="s">
        <v>73</v>
      </c>
    </row>
    <row r="105" spans="1:30" x14ac:dyDescent="0.3">
      <c r="A105" t="s">
        <v>566</v>
      </c>
      <c r="B105" s="5" t="s">
        <v>567</v>
      </c>
      <c r="C105" t="s">
        <v>249</v>
      </c>
      <c r="D105" s="5" t="s">
        <v>250</v>
      </c>
      <c r="E105" t="s">
        <v>73</v>
      </c>
      <c r="F105" t="s">
        <v>73</v>
      </c>
      <c r="G105" t="s">
        <v>73</v>
      </c>
      <c r="H105" t="s">
        <v>73</v>
      </c>
      <c r="I105" t="s">
        <v>73</v>
      </c>
      <c r="J105" t="s">
        <v>73</v>
      </c>
      <c r="K105" t="s">
        <v>73</v>
      </c>
      <c r="L105" t="s">
        <v>73</v>
      </c>
      <c r="M105" t="s">
        <v>73</v>
      </c>
      <c r="N105" t="s">
        <v>73</v>
      </c>
      <c r="O105" t="s">
        <v>73</v>
      </c>
      <c r="P105" t="s">
        <v>73</v>
      </c>
      <c r="Q105" t="s">
        <v>73</v>
      </c>
      <c r="R105" t="s">
        <v>73</v>
      </c>
      <c r="S105" t="s">
        <v>73</v>
      </c>
      <c r="T105" t="s">
        <v>73</v>
      </c>
      <c r="U105" t="s">
        <v>73</v>
      </c>
      <c r="V105" t="s">
        <v>73</v>
      </c>
      <c r="W105" t="s">
        <v>73</v>
      </c>
      <c r="X105" t="s">
        <v>73</v>
      </c>
      <c r="Y105" t="s">
        <v>73</v>
      </c>
      <c r="Z105" t="s">
        <v>73</v>
      </c>
      <c r="AA105" t="s">
        <v>73</v>
      </c>
      <c r="AB105" t="s">
        <v>73</v>
      </c>
      <c r="AC105" t="s">
        <v>73</v>
      </c>
      <c r="AD105" t="s">
        <v>73</v>
      </c>
    </row>
    <row r="106" spans="1:30" x14ac:dyDescent="0.3">
      <c r="A106" t="s">
        <v>566</v>
      </c>
      <c r="B106" s="5" t="s">
        <v>567</v>
      </c>
      <c r="C106" t="s">
        <v>34</v>
      </c>
      <c r="D106" s="5" t="s">
        <v>251</v>
      </c>
      <c r="E106">
        <v>3.7063477476149589</v>
      </c>
      <c r="F106">
        <v>3.4265877519079169</v>
      </c>
      <c r="G106">
        <v>3.0804128842999741</v>
      </c>
      <c r="H106">
        <v>2.8453632521017482</v>
      </c>
      <c r="I106">
        <v>2.8357744043734692</v>
      </c>
      <c r="J106">
        <v>2.5059399070817157</v>
      </c>
      <c r="K106">
        <v>2.3878051747446021</v>
      </c>
      <c r="L106">
        <v>2.1791273706827594</v>
      </c>
      <c r="M106">
        <v>2.0417916313825524</v>
      </c>
      <c r="N106">
        <v>2.1380452806109744</v>
      </c>
      <c r="O106">
        <v>2.0444228836758027</v>
      </c>
      <c r="P106">
        <v>2.1076566525074703</v>
      </c>
      <c r="Q106">
        <v>2.0821518759444322</v>
      </c>
      <c r="R106">
        <v>1.9950816652112731</v>
      </c>
      <c r="S106">
        <v>1.9517666566085934</v>
      </c>
      <c r="T106">
        <v>1.8985843095263262</v>
      </c>
      <c r="U106">
        <v>1.739456481428038</v>
      </c>
      <c r="V106">
        <v>1.7149425413338069</v>
      </c>
      <c r="W106">
        <v>1.5993277443236076</v>
      </c>
      <c r="X106">
        <v>1.5068943395558834</v>
      </c>
      <c r="Y106">
        <v>1.5779513535925895</v>
      </c>
      <c r="Z106">
        <v>1.6651597819158437</v>
      </c>
      <c r="AA106">
        <v>1.4483461547481982</v>
      </c>
      <c r="AB106">
        <v>1.447738714455018</v>
      </c>
      <c r="AC106">
        <v>1.4582510545953795</v>
      </c>
      <c r="AD106" t="s">
        <v>73</v>
      </c>
    </row>
    <row r="107" spans="1:30" x14ac:dyDescent="0.3">
      <c r="A107" t="s">
        <v>566</v>
      </c>
      <c r="B107" s="5" t="s">
        <v>567</v>
      </c>
      <c r="C107" t="s">
        <v>252</v>
      </c>
      <c r="D107" s="5" t="s">
        <v>253</v>
      </c>
      <c r="E107" t="s">
        <v>73</v>
      </c>
      <c r="F107" t="s">
        <v>73</v>
      </c>
      <c r="G107" t="s">
        <v>73</v>
      </c>
      <c r="H107" t="s">
        <v>73</v>
      </c>
      <c r="I107" t="s">
        <v>73</v>
      </c>
      <c r="J107" t="s">
        <v>73</v>
      </c>
      <c r="K107" t="s">
        <v>73</v>
      </c>
      <c r="L107" t="s">
        <v>73</v>
      </c>
      <c r="M107">
        <v>11.261140677617785</v>
      </c>
      <c r="N107">
        <v>8.276135796153433</v>
      </c>
      <c r="O107">
        <v>9.4568331848999883</v>
      </c>
      <c r="P107">
        <v>8.1325682016126759</v>
      </c>
      <c r="Q107">
        <v>7.44545756610942</v>
      </c>
      <c r="R107">
        <v>8.4316112611045781</v>
      </c>
      <c r="S107">
        <v>8.2987064080546915</v>
      </c>
      <c r="T107">
        <v>7.6771682336688682</v>
      </c>
      <c r="U107">
        <v>8.171523193177844</v>
      </c>
      <c r="V107">
        <v>7.4087195758139437</v>
      </c>
      <c r="W107">
        <v>6.5311643326911515</v>
      </c>
      <c r="X107">
        <v>7.2386699190439234</v>
      </c>
      <c r="Y107">
        <v>7.3620097578091572</v>
      </c>
      <c r="Z107">
        <v>6.9233055306850133</v>
      </c>
      <c r="AA107">
        <v>7.3926054610264007</v>
      </c>
      <c r="AB107">
        <v>7.2204554761392172</v>
      </c>
      <c r="AC107">
        <v>7.3352063742648816</v>
      </c>
      <c r="AD107" t="s">
        <v>73</v>
      </c>
    </row>
    <row r="108" spans="1:30" x14ac:dyDescent="0.3">
      <c r="A108" t="s">
        <v>566</v>
      </c>
      <c r="B108" s="5" t="s">
        <v>567</v>
      </c>
      <c r="C108" t="s">
        <v>254</v>
      </c>
      <c r="D108" s="5" t="s">
        <v>255</v>
      </c>
      <c r="E108">
        <v>0.35521983008219321</v>
      </c>
      <c r="F108">
        <v>0.44672897196261679</v>
      </c>
      <c r="G108">
        <v>0.51682484900776537</v>
      </c>
      <c r="H108">
        <v>0.45488953683974437</v>
      </c>
      <c r="I108">
        <v>0.40475660369818517</v>
      </c>
      <c r="J108">
        <v>0.30135801841208482</v>
      </c>
      <c r="K108">
        <v>0.23651571964234211</v>
      </c>
      <c r="L108">
        <v>0.21331712737027556</v>
      </c>
      <c r="M108">
        <v>0.1600209996012095</v>
      </c>
      <c r="N108">
        <v>0.26232776542651215</v>
      </c>
      <c r="O108">
        <v>0.45172898547511436</v>
      </c>
      <c r="P108">
        <v>0.4388358253241651</v>
      </c>
      <c r="Q108">
        <v>0.35987430084883371</v>
      </c>
      <c r="R108">
        <v>0.35517760894937134</v>
      </c>
      <c r="S108">
        <v>0.45063610610989352</v>
      </c>
      <c r="T108">
        <v>0.53772900886963693</v>
      </c>
      <c r="U108">
        <v>0.51859213118586855</v>
      </c>
      <c r="V108">
        <v>0.52509213924946452</v>
      </c>
      <c r="W108">
        <v>0.44590687116950961</v>
      </c>
      <c r="X108">
        <v>0.37043413838029149</v>
      </c>
      <c r="Y108">
        <v>0.49632668998967688</v>
      </c>
      <c r="Z108">
        <v>0.47302481898253435</v>
      </c>
      <c r="AA108">
        <v>0.40246023889980104</v>
      </c>
      <c r="AB108">
        <v>0.468735596188185</v>
      </c>
      <c r="AC108">
        <v>0.49298067853630073</v>
      </c>
      <c r="AD108" t="s">
        <v>73</v>
      </c>
    </row>
    <row r="109" spans="1:30" x14ac:dyDescent="0.3">
      <c r="A109" t="s">
        <v>566</v>
      </c>
      <c r="B109" s="5" t="s">
        <v>567</v>
      </c>
      <c r="C109" t="s">
        <v>256</v>
      </c>
      <c r="D109" s="5" t="s">
        <v>257</v>
      </c>
      <c r="E109">
        <v>34.187708563795852</v>
      </c>
      <c r="F109">
        <v>34.541000358672775</v>
      </c>
      <c r="G109">
        <v>34.404796276344491</v>
      </c>
      <c r="H109">
        <v>33.622252639159477</v>
      </c>
      <c r="I109">
        <v>29.904450099469322</v>
      </c>
      <c r="J109">
        <v>28.483278360978087</v>
      </c>
      <c r="K109">
        <v>28.680291142099172</v>
      </c>
      <c r="L109">
        <v>26.880210179587127</v>
      </c>
      <c r="M109">
        <v>23.485533153290113</v>
      </c>
      <c r="N109">
        <v>18.76073747073519</v>
      </c>
      <c r="O109">
        <v>17.448256177244289</v>
      </c>
      <c r="P109">
        <v>16.565316650180023</v>
      </c>
      <c r="Q109">
        <v>16.654196378215957</v>
      </c>
      <c r="R109">
        <v>14.637872549781195</v>
      </c>
      <c r="S109">
        <v>14.718663119487688</v>
      </c>
      <c r="T109">
        <v>14.060764330085712</v>
      </c>
      <c r="U109">
        <v>12.834473156492793</v>
      </c>
      <c r="V109">
        <v>12.514578895885336</v>
      </c>
      <c r="W109">
        <v>11.675286484238448</v>
      </c>
      <c r="X109">
        <v>10.373902624893121</v>
      </c>
      <c r="Y109">
        <v>12.169655673088437</v>
      </c>
      <c r="Z109">
        <v>12.412233029824323</v>
      </c>
      <c r="AA109">
        <v>10.996805665197739</v>
      </c>
      <c r="AB109">
        <v>9.4921610820780824</v>
      </c>
      <c r="AC109">
        <v>8.6076036290638651</v>
      </c>
      <c r="AD109" t="s">
        <v>73</v>
      </c>
    </row>
    <row r="110" spans="1:30" x14ac:dyDescent="0.3">
      <c r="A110" t="s">
        <v>566</v>
      </c>
      <c r="B110" s="5" t="s">
        <v>567</v>
      </c>
      <c r="C110" t="s">
        <v>258</v>
      </c>
      <c r="D110" s="5" t="s">
        <v>259</v>
      </c>
      <c r="E110">
        <v>33.630251031593694</v>
      </c>
      <c r="F110">
        <v>32.683192942847313</v>
      </c>
      <c r="G110">
        <v>33.386304096351729</v>
      </c>
      <c r="H110">
        <v>32.086114575354514</v>
      </c>
      <c r="I110">
        <v>30.521347517390861</v>
      </c>
      <c r="J110">
        <v>28.295135343483729</v>
      </c>
      <c r="K110">
        <v>26.729669914657816</v>
      </c>
      <c r="L110">
        <v>25.788148677301042</v>
      </c>
      <c r="M110">
        <v>24.176481431458622</v>
      </c>
      <c r="N110">
        <v>24.205377085558617</v>
      </c>
      <c r="O110">
        <v>22.59579413451938</v>
      </c>
      <c r="P110">
        <v>20.791255186400505</v>
      </c>
      <c r="Q110">
        <v>18.548486573763743</v>
      </c>
      <c r="R110">
        <v>17.930498428069672</v>
      </c>
      <c r="S110">
        <v>17.848791782420594</v>
      </c>
      <c r="T110">
        <v>17.587759697062737</v>
      </c>
      <c r="U110">
        <v>17.230176594806583</v>
      </c>
      <c r="V110">
        <v>16.199759856197911</v>
      </c>
      <c r="W110">
        <v>15.709186820108389</v>
      </c>
      <c r="X110">
        <v>16.050339057034126</v>
      </c>
      <c r="Y110">
        <v>16.337762359261621</v>
      </c>
      <c r="Z110">
        <v>16.067697015524917</v>
      </c>
      <c r="AA110">
        <v>14.868882228227642</v>
      </c>
      <c r="AB110">
        <v>16.139056835188693</v>
      </c>
      <c r="AC110">
        <v>16.771883812878009</v>
      </c>
      <c r="AD110" t="s">
        <v>73</v>
      </c>
    </row>
    <row r="111" spans="1:30" x14ac:dyDescent="0.3">
      <c r="A111" t="s">
        <v>566</v>
      </c>
      <c r="B111" s="5" t="s">
        <v>567</v>
      </c>
      <c r="C111" t="s">
        <v>28</v>
      </c>
      <c r="D111" s="5" t="s">
        <v>260</v>
      </c>
      <c r="E111">
        <v>4.5495785956352988</v>
      </c>
      <c r="F111">
        <v>4.4809872993574524</v>
      </c>
      <c r="G111">
        <v>4.6276498390315863</v>
      </c>
      <c r="H111">
        <v>4.1024105273991873</v>
      </c>
      <c r="I111">
        <v>4.365045801204249</v>
      </c>
      <c r="J111">
        <v>3.8677370172369301</v>
      </c>
      <c r="K111">
        <v>3.4231519280958653</v>
      </c>
      <c r="L111">
        <v>3.453976035605391</v>
      </c>
      <c r="M111">
        <v>3.0912871253124639</v>
      </c>
      <c r="N111">
        <v>3.2868412135228335</v>
      </c>
      <c r="O111">
        <v>4.1158849728324052</v>
      </c>
      <c r="P111">
        <v>3.7778007936283755</v>
      </c>
      <c r="Q111">
        <v>3.5328538802897569</v>
      </c>
      <c r="R111">
        <v>3.2120869041367959</v>
      </c>
      <c r="S111">
        <v>3.6163963896368245</v>
      </c>
      <c r="T111">
        <v>3.5544501844508711</v>
      </c>
      <c r="U111">
        <v>3.3253253895576056</v>
      </c>
      <c r="V111">
        <v>3.6247621182476402</v>
      </c>
      <c r="W111">
        <v>3.6610477801951262</v>
      </c>
      <c r="X111">
        <v>3.8534344419983615</v>
      </c>
      <c r="Y111">
        <v>4.0791819421755982</v>
      </c>
      <c r="Z111">
        <v>4.2067225153536087</v>
      </c>
      <c r="AA111">
        <v>5.114110384568705</v>
      </c>
      <c r="AB111">
        <v>3.9334427941851802</v>
      </c>
      <c r="AC111">
        <v>4.0421907883427286</v>
      </c>
      <c r="AD111" t="s">
        <v>73</v>
      </c>
    </row>
    <row r="112" spans="1:30" x14ac:dyDescent="0.3">
      <c r="A112" t="s">
        <v>566</v>
      </c>
      <c r="B112" s="5" t="s">
        <v>567</v>
      </c>
      <c r="C112" t="s">
        <v>261</v>
      </c>
      <c r="D112" s="5" t="s">
        <v>262</v>
      </c>
      <c r="E112">
        <v>6.237509607993851</v>
      </c>
      <c r="F112">
        <v>5.8631187281542454</v>
      </c>
      <c r="G112">
        <v>5.6629260182876147</v>
      </c>
      <c r="H112">
        <v>5.4863748967795205</v>
      </c>
      <c r="I112">
        <v>3.8209102963343851</v>
      </c>
      <c r="J112">
        <v>3.5796350582256338</v>
      </c>
      <c r="K112">
        <v>4.4697348589073451</v>
      </c>
      <c r="L112">
        <v>4.8927666182907084</v>
      </c>
      <c r="M112">
        <v>4.5218861799264509</v>
      </c>
      <c r="N112">
        <v>3.9508720861148316</v>
      </c>
      <c r="O112">
        <v>3.861959367519459</v>
      </c>
      <c r="P112">
        <v>3.8046097071446692</v>
      </c>
      <c r="Q112">
        <v>3.7645307770488157</v>
      </c>
      <c r="R112">
        <v>3.9553991560217048</v>
      </c>
      <c r="S112">
        <v>4.0228059051785161</v>
      </c>
      <c r="T112">
        <v>3.2846632667094346</v>
      </c>
      <c r="U112">
        <v>2.7271494576394542</v>
      </c>
      <c r="V112">
        <v>2.7929114852009094</v>
      </c>
      <c r="W112">
        <v>3.2318972830416333</v>
      </c>
      <c r="X112">
        <v>3.1690998515024513</v>
      </c>
      <c r="Y112">
        <v>3.0782500056068893</v>
      </c>
      <c r="Z112">
        <v>1.4001656148754456</v>
      </c>
      <c r="AA112">
        <v>1.1895732629522009</v>
      </c>
      <c r="AB112">
        <v>0.96645536736922433</v>
      </c>
      <c r="AC112" t="s">
        <v>73</v>
      </c>
      <c r="AD112" t="s">
        <v>73</v>
      </c>
    </row>
    <row r="113" spans="1:30" x14ac:dyDescent="0.3">
      <c r="A113" t="s">
        <v>566</v>
      </c>
      <c r="B113" s="5" t="s">
        <v>567</v>
      </c>
      <c r="C113" t="s">
        <v>263</v>
      </c>
      <c r="D113" s="5" t="s">
        <v>264</v>
      </c>
      <c r="E113">
        <v>7.8271348150464561</v>
      </c>
      <c r="F113">
        <v>8.2988705867537398</v>
      </c>
      <c r="G113">
        <v>6.3953128327057147</v>
      </c>
      <c r="H113">
        <v>6.3468861237065202</v>
      </c>
      <c r="I113">
        <v>5.9840067556756882</v>
      </c>
      <c r="J113">
        <v>5.6711304047306568</v>
      </c>
      <c r="K113">
        <v>4.8427648086475026</v>
      </c>
      <c r="L113">
        <v>4.8899868000225863</v>
      </c>
      <c r="M113">
        <v>4.8970487478766973</v>
      </c>
      <c r="N113">
        <v>5.5035243077572673</v>
      </c>
      <c r="O113">
        <v>4.8621752765524633</v>
      </c>
      <c r="P113">
        <v>4.5439515754988697</v>
      </c>
      <c r="Q113">
        <v>4.8953086718812946</v>
      </c>
      <c r="R113">
        <v>5.0643634622776181</v>
      </c>
      <c r="S113">
        <v>3.9607145663379</v>
      </c>
      <c r="T113">
        <v>3.7819034466912651</v>
      </c>
      <c r="U113">
        <v>4.9241176335815169</v>
      </c>
      <c r="V113">
        <v>4.9636238571377955</v>
      </c>
      <c r="W113">
        <v>4.2497754343050653</v>
      </c>
      <c r="X113">
        <v>4.4638020882217218</v>
      </c>
      <c r="Y113">
        <v>5.3077120440851688</v>
      </c>
      <c r="Z113">
        <v>5.9562526280858545</v>
      </c>
      <c r="AA113">
        <v>5.9508539373034166</v>
      </c>
      <c r="AB113">
        <v>6.6392293483469409</v>
      </c>
      <c r="AC113">
        <v>6.502455824201343</v>
      </c>
      <c r="AD113" t="s">
        <v>73</v>
      </c>
    </row>
    <row r="114" spans="1:30" x14ac:dyDescent="0.3">
      <c r="A114" t="s">
        <v>566</v>
      </c>
      <c r="B114" s="5" t="s">
        <v>567</v>
      </c>
      <c r="C114" t="s">
        <v>265</v>
      </c>
      <c r="D114" s="5" t="s">
        <v>266</v>
      </c>
      <c r="E114">
        <v>76.074542334096108</v>
      </c>
      <c r="F114">
        <v>76.533587196467991</v>
      </c>
      <c r="G114">
        <v>79.042362459546922</v>
      </c>
      <c r="H114">
        <v>72.240387700534754</v>
      </c>
      <c r="I114">
        <v>65.047402452619835</v>
      </c>
      <c r="J114">
        <v>66.032729188619598</v>
      </c>
      <c r="K114">
        <v>63.818025022341374</v>
      </c>
      <c r="L114">
        <v>65.598150036416598</v>
      </c>
      <c r="M114">
        <v>65.174565469293171</v>
      </c>
      <c r="N114">
        <v>58.03574660633484</v>
      </c>
      <c r="O114">
        <v>35.918715215215215</v>
      </c>
      <c r="P114">
        <v>35.918715179316095</v>
      </c>
      <c r="Q114">
        <v>35.918714765006911</v>
      </c>
      <c r="R114">
        <v>35.918714983494418</v>
      </c>
      <c r="S114">
        <v>35.918715038076023</v>
      </c>
      <c r="T114">
        <v>35.918715200886055</v>
      </c>
      <c r="U114">
        <v>35.918713510244586</v>
      </c>
      <c r="V114">
        <v>35.942615918573118</v>
      </c>
      <c r="W114">
        <v>35.496699909675094</v>
      </c>
      <c r="X114">
        <v>36.43715132245741</v>
      </c>
      <c r="Y114">
        <v>39.29228507065352</v>
      </c>
      <c r="Z114">
        <v>37.417617087376655</v>
      </c>
      <c r="AA114">
        <v>36.2030463526172</v>
      </c>
      <c r="AB114">
        <v>34.565002277904327</v>
      </c>
      <c r="AC114">
        <v>33.832727292813892</v>
      </c>
      <c r="AD114" t="s">
        <v>73</v>
      </c>
    </row>
    <row r="115" spans="1:30" x14ac:dyDescent="0.3">
      <c r="A115" t="s">
        <v>566</v>
      </c>
      <c r="B115" s="5" t="s">
        <v>567</v>
      </c>
      <c r="C115" t="s">
        <v>267</v>
      </c>
      <c r="D115" s="5" t="s">
        <v>268</v>
      </c>
      <c r="E115" t="s">
        <v>73</v>
      </c>
      <c r="F115" t="s">
        <v>73</v>
      </c>
      <c r="G115">
        <v>5.1852990927264333</v>
      </c>
      <c r="H115">
        <v>4.0922070196311724</v>
      </c>
      <c r="I115">
        <v>3.3426229127476255</v>
      </c>
      <c r="J115">
        <v>2.5100109797842793</v>
      </c>
      <c r="K115">
        <v>1.517644838170668</v>
      </c>
      <c r="L115">
        <v>1.5414166225269639</v>
      </c>
      <c r="M115">
        <v>1.3836525410948575</v>
      </c>
      <c r="N115">
        <v>2.1580676308221909</v>
      </c>
      <c r="O115">
        <v>1.7995300110166756</v>
      </c>
      <c r="P115">
        <v>3.0576683371066622</v>
      </c>
      <c r="Q115">
        <v>1.8155936523598093</v>
      </c>
      <c r="R115">
        <v>2.4154851528958479</v>
      </c>
      <c r="S115">
        <v>3.5166786071914378</v>
      </c>
      <c r="T115">
        <v>4.3862973349324035</v>
      </c>
      <c r="U115">
        <v>4.6117798957291605</v>
      </c>
      <c r="V115">
        <v>3.8747764552045072</v>
      </c>
      <c r="W115">
        <v>3.6601292203691655</v>
      </c>
      <c r="X115">
        <v>2.0420161923251681</v>
      </c>
      <c r="Y115">
        <v>4.3267701529239995</v>
      </c>
      <c r="Z115">
        <v>1.9292341608538957</v>
      </c>
      <c r="AA115">
        <v>1.6864376993735348</v>
      </c>
      <c r="AB115">
        <v>1.7692779613025011</v>
      </c>
      <c r="AC115">
        <v>2.3919760990183523</v>
      </c>
      <c r="AD115" t="s">
        <v>73</v>
      </c>
    </row>
    <row r="116" spans="1:30" x14ac:dyDescent="0.3">
      <c r="A116" t="s">
        <v>566</v>
      </c>
      <c r="B116" s="5" t="s">
        <v>567</v>
      </c>
      <c r="C116" t="s">
        <v>269</v>
      </c>
      <c r="D116" s="5" t="s">
        <v>270</v>
      </c>
      <c r="E116" t="s">
        <v>73</v>
      </c>
      <c r="F116" t="s">
        <v>73</v>
      </c>
      <c r="G116" t="s">
        <v>73</v>
      </c>
      <c r="H116" t="s">
        <v>73</v>
      </c>
      <c r="I116" t="s">
        <v>73</v>
      </c>
      <c r="J116" t="s">
        <v>73</v>
      </c>
      <c r="K116" t="s">
        <v>73</v>
      </c>
      <c r="L116" t="s">
        <v>73</v>
      </c>
      <c r="M116" t="s">
        <v>73</v>
      </c>
      <c r="N116" t="s">
        <v>73</v>
      </c>
      <c r="O116" t="s">
        <v>73</v>
      </c>
      <c r="P116" t="s">
        <v>73</v>
      </c>
      <c r="Q116" t="s">
        <v>73</v>
      </c>
      <c r="R116" t="s">
        <v>73</v>
      </c>
      <c r="S116" t="s">
        <v>73</v>
      </c>
      <c r="T116" t="s">
        <v>73</v>
      </c>
      <c r="U116">
        <v>0.11551853177573135</v>
      </c>
      <c r="V116">
        <v>0.13489772869870748</v>
      </c>
      <c r="W116">
        <v>0.13904593099654677</v>
      </c>
      <c r="X116">
        <v>0.13914076668125822</v>
      </c>
      <c r="Y116">
        <v>0.21117041618862339</v>
      </c>
      <c r="Z116">
        <v>0.16180558436709125</v>
      </c>
      <c r="AA116">
        <v>0.16921905406548776</v>
      </c>
      <c r="AB116">
        <v>0.1593948399297582</v>
      </c>
      <c r="AC116" t="s">
        <v>73</v>
      </c>
      <c r="AD116" t="s">
        <v>73</v>
      </c>
    </row>
    <row r="117" spans="1:30" x14ac:dyDescent="0.3">
      <c r="A117" t="s">
        <v>566</v>
      </c>
      <c r="B117" s="5" t="s">
        <v>567</v>
      </c>
      <c r="C117" t="s">
        <v>271</v>
      </c>
      <c r="D117" s="5" t="s">
        <v>272</v>
      </c>
      <c r="E117">
        <v>5.5735161152939643</v>
      </c>
      <c r="F117">
        <v>4.8650065065757104</v>
      </c>
      <c r="G117">
        <v>4.7676047589833646</v>
      </c>
      <c r="H117">
        <v>4.4163929829005664</v>
      </c>
      <c r="I117">
        <v>4.1516762377520067</v>
      </c>
      <c r="J117">
        <v>4.3272707449965635</v>
      </c>
      <c r="K117">
        <v>3.8728905163979026</v>
      </c>
      <c r="L117">
        <v>3.4726760952238722</v>
      </c>
      <c r="M117">
        <v>3.2815832380139258</v>
      </c>
      <c r="N117">
        <v>2.5292827686121213</v>
      </c>
      <c r="O117">
        <v>3.0687151855405945</v>
      </c>
      <c r="P117">
        <v>3.5189712936826325</v>
      </c>
      <c r="Q117">
        <v>4.0000744876021619</v>
      </c>
      <c r="R117">
        <v>3.5343581055322351</v>
      </c>
      <c r="S117">
        <v>3.440160840957196</v>
      </c>
      <c r="T117">
        <v>3.4367186480471497</v>
      </c>
      <c r="U117">
        <v>3.1206189605668069</v>
      </c>
      <c r="V117">
        <v>3.5493363371263245</v>
      </c>
      <c r="W117">
        <v>2.8868572664767465</v>
      </c>
      <c r="X117">
        <v>3.1240474440371564</v>
      </c>
      <c r="Y117">
        <v>3.5324199391432622</v>
      </c>
      <c r="Z117">
        <v>3.3958212383129598</v>
      </c>
      <c r="AA117">
        <v>3.9279382912553973</v>
      </c>
      <c r="AB117">
        <v>2.7153909996817442</v>
      </c>
      <c r="AC117">
        <v>2.5732529465934868</v>
      </c>
      <c r="AD117" t="s">
        <v>73</v>
      </c>
    </row>
    <row r="118" spans="1:30" x14ac:dyDescent="0.3">
      <c r="A118" t="s">
        <v>566</v>
      </c>
      <c r="B118" s="5" t="s">
        <v>567</v>
      </c>
      <c r="C118" t="s">
        <v>273</v>
      </c>
      <c r="D118" s="5" t="s">
        <v>274</v>
      </c>
      <c r="E118">
        <v>0.59686695747812357</v>
      </c>
      <c r="F118">
        <v>0.5602873614697288</v>
      </c>
      <c r="G118">
        <v>0.69066151204741377</v>
      </c>
      <c r="H118">
        <v>0.46423787561405033</v>
      </c>
      <c r="I118">
        <v>0.53543200495988086</v>
      </c>
      <c r="J118">
        <v>0.35650094088745987</v>
      </c>
      <c r="K118">
        <v>0.31175672190043935</v>
      </c>
      <c r="L118">
        <v>0.363222868939437</v>
      </c>
      <c r="M118">
        <v>0.30777894852577609</v>
      </c>
      <c r="N118">
        <v>0.23333486894218633</v>
      </c>
      <c r="O118">
        <v>0.26841205804864143</v>
      </c>
      <c r="P118">
        <v>0.2511152895849797</v>
      </c>
      <c r="Q118">
        <v>0.28795149953881938</v>
      </c>
      <c r="R118">
        <v>0.26190719695646492</v>
      </c>
      <c r="S118">
        <v>0.28955043858505874</v>
      </c>
      <c r="T118">
        <v>0.2237326287407348</v>
      </c>
      <c r="U118">
        <v>0.21419700815904225</v>
      </c>
      <c r="V118">
        <v>0.23457255011553962</v>
      </c>
      <c r="W118">
        <v>0.23373839404852659</v>
      </c>
      <c r="X118">
        <v>0.21482806304827542</v>
      </c>
      <c r="Y118">
        <v>0.20041631187566999</v>
      </c>
      <c r="Z118">
        <v>0.19486168709892163</v>
      </c>
      <c r="AA118">
        <v>0.24216747829875451</v>
      </c>
      <c r="AB118">
        <v>0.18725217063240338</v>
      </c>
      <c r="AC118">
        <v>0.20948876007365028</v>
      </c>
      <c r="AD118" t="s">
        <v>73</v>
      </c>
    </row>
    <row r="119" spans="1:30" x14ac:dyDescent="0.3">
      <c r="A119" t="s">
        <v>566</v>
      </c>
      <c r="B119" s="5" t="s">
        <v>567</v>
      </c>
      <c r="C119" t="s">
        <v>275</v>
      </c>
      <c r="D119" s="5" t="s">
        <v>276</v>
      </c>
      <c r="E119" t="s">
        <v>73</v>
      </c>
      <c r="F119" t="s">
        <v>73</v>
      </c>
      <c r="G119" t="s">
        <v>73</v>
      </c>
      <c r="H119" t="s">
        <v>73</v>
      </c>
      <c r="I119" t="s">
        <v>73</v>
      </c>
      <c r="J119" t="s">
        <v>73</v>
      </c>
      <c r="K119" t="s">
        <v>73</v>
      </c>
      <c r="L119" t="s">
        <v>73</v>
      </c>
      <c r="M119" t="s">
        <v>73</v>
      </c>
      <c r="N119" t="s">
        <v>73</v>
      </c>
      <c r="O119" t="s">
        <v>73</v>
      </c>
      <c r="P119" t="s">
        <v>73</v>
      </c>
      <c r="Q119" t="s">
        <v>73</v>
      </c>
      <c r="R119" t="s">
        <v>73</v>
      </c>
      <c r="S119" t="s">
        <v>73</v>
      </c>
      <c r="T119" t="s">
        <v>73</v>
      </c>
      <c r="U119" t="s">
        <v>73</v>
      </c>
      <c r="V119" t="s">
        <v>73</v>
      </c>
      <c r="W119" t="s">
        <v>73</v>
      </c>
      <c r="X119" t="s">
        <v>73</v>
      </c>
      <c r="Y119" t="s">
        <v>73</v>
      </c>
      <c r="Z119" t="s">
        <v>73</v>
      </c>
      <c r="AA119" t="s">
        <v>73</v>
      </c>
      <c r="AB119" t="s">
        <v>73</v>
      </c>
      <c r="AC119" t="s">
        <v>73</v>
      </c>
      <c r="AD119" t="s">
        <v>73</v>
      </c>
    </row>
    <row r="120" spans="1:30" x14ac:dyDescent="0.3">
      <c r="A120" t="s">
        <v>566</v>
      </c>
      <c r="B120" s="5" t="s">
        <v>567</v>
      </c>
      <c r="C120" t="s">
        <v>277</v>
      </c>
      <c r="D120" s="5" t="s">
        <v>278</v>
      </c>
      <c r="E120">
        <v>30.878717294073745</v>
      </c>
      <c r="F120">
        <v>29.851313411587565</v>
      </c>
      <c r="G120">
        <v>34.142513982559279</v>
      </c>
      <c r="H120">
        <v>32.029790963633317</v>
      </c>
      <c r="I120">
        <v>31.420505280843631</v>
      </c>
      <c r="J120">
        <v>30.762733934128732</v>
      </c>
      <c r="K120">
        <v>30.18227172360589</v>
      </c>
      <c r="L120">
        <v>28.06701329102091</v>
      </c>
      <c r="M120">
        <v>27.052572048878933</v>
      </c>
      <c r="N120">
        <v>30.46514813149232</v>
      </c>
      <c r="O120">
        <v>29.078096348359683</v>
      </c>
      <c r="P120">
        <v>29.050205760645241</v>
      </c>
      <c r="Q120">
        <v>28.000612357414244</v>
      </c>
      <c r="R120">
        <v>26.49303397949409</v>
      </c>
      <c r="S120">
        <v>25.845382929617216</v>
      </c>
      <c r="T120">
        <v>25.743354333765634</v>
      </c>
      <c r="U120">
        <v>25.13345435997234</v>
      </c>
      <c r="V120">
        <v>24.55013776930981</v>
      </c>
      <c r="W120">
        <v>23.973383300586143</v>
      </c>
      <c r="X120">
        <v>22.956252010065686</v>
      </c>
      <c r="Y120">
        <v>24.692944398132656</v>
      </c>
      <c r="Z120">
        <v>22.522091361615665</v>
      </c>
      <c r="AA120">
        <v>21.544235787839291</v>
      </c>
      <c r="AB120">
        <v>22.404738894343712</v>
      </c>
      <c r="AC120">
        <v>22.457877370589152</v>
      </c>
      <c r="AD120" t="s">
        <v>73</v>
      </c>
    </row>
    <row r="121" spans="1:30" x14ac:dyDescent="0.3">
      <c r="A121" t="s">
        <v>566</v>
      </c>
      <c r="B121" s="5" t="s">
        <v>567</v>
      </c>
      <c r="C121" t="s">
        <v>279</v>
      </c>
      <c r="D121" s="5" t="s">
        <v>280</v>
      </c>
      <c r="E121">
        <v>29.660889012355291</v>
      </c>
      <c r="F121">
        <v>29.34634007547589</v>
      </c>
      <c r="G121">
        <v>32.287184795845967</v>
      </c>
      <c r="H121">
        <v>30.128178847807281</v>
      </c>
      <c r="I121">
        <v>28.873304004857449</v>
      </c>
      <c r="J121">
        <v>27.37667823087882</v>
      </c>
      <c r="K121">
        <v>25.673877607568919</v>
      </c>
      <c r="L121">
        <v>22.882487250739889</v>
      </c>
      <c r="M121">
        <v>24.932356319716096</v>
      </c>
      <c r="N121">
        <v>25.309302125813282</v>
      </c>
      <c r="O121">
        <v>24.632140062097939</v>
      </c>
      <c r="P121">
        <v>23.931413308353118</v>
      </c>
      <c r="Q121">
        <v>23.529285439025635</v>
      </c>
      <c r="R121">
        <v>23.849287029680692</v>
      </c>
      <c r="S121">
        <v>23.873441653963663</v>
      </c>
      <c r="T121">
        <v>22.994836369836818</v>
      </c>
      <c r="U121">
        <v>22.192907769015129</v>
      </c>
      <c r="V121">
        <v>22.926231982132336</v>
      </c>
      <c r="W121">
        <v>21.632593506951007</v>
      </c>
      <c r="X121">
        <v>22.947399179014155</v>
      </c>
      <c r="Y121">
        <v>25.015011006226672</v>
      </c>
      <c r="Z121">
        <v>25.53283042553478</v>
      </c>
      <c r="AA121">
        <v>27.597551876220145</v>
      </c>
      <c r="AB121">
        <v>28.869380408767952</v>
      </c>
      <c r="AC121">
        <v>31.774775046637959</v>
      </c>
      <c r="AD121" t="s">
        <v>73</v>
      </c>
    </row>
    <row r="122" spans="1:30" x14ac:dyDescent="0.3">
      <c r="A122" t="s">
        <v>566</v>
      </c>
      <c r="B122" s="5" t="s">
        <v>567</v>
      </c>
      <c r="C122" t="s">
        <v>281</v>
      </c>
      <c r="D122" s="5" t="s">
        <v>282</v>
      </c>
      <c r="E122">
        <v>8.5990218882663054</v>
      </c>
      <c r="F122">
        <v>8.0109705909881193</v>
      </c>
      <c r="G122">
        <v>8.9850814038145899</v>
      </c>
      <c r="H122">
        <v>9.3060852164319705</v>
      </c>
      <c r="I122">
        <v>9.2710020926150936</v>
      </c>
      <c r="J122">
        <v>8.2622917042264401</v>
      </c>
      <c r="K122">
        <v>8.6099828413630402</v>
      </c>
      <c r="L122">
        <v>9.9867736796224484</v>
      </c>
      <c r="M122">
        <v>9.9685823346741138</v>
      </c>
      <c r="N122">
        <v>9.2191000439078241</v>
      </c>
      <c r="O122">
        <v>10.089915927512132</v>
      </c>
      <c r="P122">
        <v>11.453353119827844</v>
      </c>
      <c r="Q122">
        <v>9.7937507464592102</v>
      </c>
      <c r="R122">
        <v>9.1133638453820573</v>
      </c>
      <c r="S122">
        <v>8.8732090130264289</v>
      </c>
      <c r="T122">
        <v>8.2874950827938019</v>
      </c>
      <c r="U122">
        <v>8.4625188561802691</v>
      </c>
      <c r="V122">
        <v>8.5982775353313947</v>
      </c>
      <c r="W122">
        <v>7.512056930638213</v>
      </c>
      <c r="X122">
        <v>7.2413140156215068</v>
      </c>
      <c r="Y122">
        <v>8.1659708991959832</v>
      </c>
      <c r="Z122">
        <v>9.5662145884446694</v>
      </c>
      <c r="AA122">
        <v>8.9618492274141737</v>
      </c>
      <c r="AB122">
        <v>7.76530932127302</v>
      </c>
      <c r="AC122">
        <v>8.1284678224194842</v>
      </c>
      <c r="AD122" t="s">
        <v>73</v>
      </c>
    </row>
    <row r="123" spans="1:30" x14ac:dyDescent="0.3">
      <c r="A123" t="s">
        <v>566</v>
      </c>
      <c r="B123" s="5" t="s">
        <v>567</v>
      </c>
      <c r="C123" t="s">
        <v>283</v>
      </c>
      <c r="D123" s="5" t="s">
        <v>284</v>
      </c>
      <c r="E123" t="s">
        <v>73</v>
      </c>
      <c r="F123" t="s">
        <v>73</v>
      </c>
      <c r="G123" t="s">
        <v>73</v>
      </c>
      <c r="H123">
        <v>5.3111930552625708</v>
      </c>
      <c r="I123">
        <v>5.5841996602720529</v>
      </c>
      <c r="J123">
        <v>7.7280314954868299</v>
      </c>
      <c r="K123">
        <v>6.5951582476154691</v>
      </c>
      <c r="L123">
        <v>6.1653556106129725</v>
      </c>
      <c r="M123">
        <v>6.8756468687173697</v>
      </c>
      <c r="N123">
        <v>5.4194816402210542</v>
      </c>
      <c r="O123">
        <v>5.6341207174481447</v>
      </c>
      <c r="P123">
        <v>5.3856346787223499</v>
      </c>
      <c r="Q123">
        <v>5.1906048889399283</v>
      </c>
      <c r="R123">
        <v>5.413434079690032</v>
      </c>
      <c r="S123">
        <v>5.3071863920849776</v>
      </c>
      <c r="T123">
        <v>5.5336035475163499</v>
      </c>
      <c r="U123">
        <v>5.6285634733792511</v>
      </c>
      <c r="V123">
        <v>5.2710997522179044</v>
      </c>
      <c r="W123">
        <v>5.1240056291401155</v>
      </c>
      <c r="X123">
        <v>4.4940238945207875</v>
      </c>
      <c r="Y123">
        <v>7.5749451656634461</v>
      </c>
      <c r="Z123">
        <v>5.3062039718752079</v>
      </c>
      <c r="AA123">
        <v>5.0618247877732871</v>
      </c>
      <c r="AB123">
        <v>5.0818456537164938</v>
      </c>
      <c r="AC123">
        <v>3.8419588972781429</v>
      </c>
      <c r="AD123" t="s">
        <v>73</v>
      </c>
    </row>
    <row r="124" spans="1:30" x14ac:dyDescent="0.3">
      <c r="A124" t="s">
        <v>566</v>
      </c>
      <c r="B124" s="5" t="s">
        <v>567</v>
      </c>
      <c r="C124" t="s">
        <v>285</v>
      </c>
      <c r="D124" s="5" t="s">
        <v>286</v>
      </c>
      <c r="E124">
        <v>26.567426795532729</v>
      </c>
      <c r="F124">
        <v>26.433216523652575</v>
      </c>
      <c r="G124">
        <v>27.476725784025419</v>
      </c>
      <c r="H124">
        <v>22.990814814368843</v>
      </c>
      <c r="I124">
        <v>23.724130999818268</v>
      </c>
      <c r="J124">
        <v>24.268706340607142</v>
      </c>
      <c r="K124">
        <v>22.200470279959017</v>
      </c>
      <c r="L124">
        <v>23.308453384611276</v>
      </c>
      <c r="M124">
        <v>23.867233081458313</v>
      </c>
      <c r="N124">
        <v>25.18444796740107</v>
      </c>
      <c r="O124">
        <v>25.985719669827155</v>
      </c>
      <c r="P124">
        <v>27.561549729650352</v>
      </c>
      <c r="Q124">
        <v>30.777266535915722</v>
      </c>
      <c r="R124">
        <v>28.496811607685267</v>
      </c>
      <c r="S124">
        <v>29.324453126567178</v>
      </c>
      <c r="T124">
        <v>30.525122276132997</v>
      </c>
      <c r="U124">
        <v>30.998719270246074</v>
      </c>
      <c r="V124">
        <v>31.400776643576062</v>
      </c>
      <c r="W124">
        <v>32.497541398465636</v>
      </c>
      <c r="X124">
        <v>32.26822055473324</v>
      </c>
      <c r="Y124">
        <v>32.289960837019116</v>
      </c>
      <c r="Z124">
        <v>32.037558726674675</v>
      </c>
      <c r="AA124">
        <v>32.717672901865328</v>
      </c>
      <c r="AB124">
        <v>32.212640743210812</v>
      </c>
      <c r="AC124">
        <v>33.251583993083585</v>
      </c>
      <c r="AD124" t="s">
        <v>73</v>
      </c>
    </row>
    <row r="125" spans="1:30" x14ac:dyDescent="0.3">
      <c r="A125" t="s">
        <v>566</v>
      </c>
      <c r="B125" s="5" t="s">
        <v>567</v>
      </c>
      <c r="C125" t="s">
        <v>287</v>
      </c>
      <c r="D125" s="5" t="s">
        <v>288</v>
      </c>
      <c r="E125">
        <v>1.8575086763945443</v>
      </c>
      <c r="F125">
        <v>2.1727399078570575</v>
      </c>
      <c r="G125">
        <v>2.1056883372607045</v>
      </c>
      <c r="H125">
        <v>1.9196939415514174</v>
      </c>
      <c r="I125">
        <v>1.8473650598170945</v>
      </c>
      <c r="J125">
        <v>1.7875545637088015</v>
      </c>
      <c r="K125">
        <v>1.8135237745136423</v>
      </c>
      <c r="L125">
        <v>1.7551621677646196</v>
      </c>
      <c r="M125">
        <v>1.0747397400663199</v>
      </c>
      <c r="N125">
        <v>1.3301918899953555</v>
      </c>
      <c r="O125">
        <v>1.2716519630838623</v>
      </c>
      <c r="P125">
        <v>1.0871330532593961</v>
      </c>
      <c r="Q125">
        <v>1.091054166707454</v>
      </c>
      <c r="R125">
        <v>1.0198361846890467</v>
      </c>
      <c r="S125">
        <v>1.0015976001293183</v>
      </c>
      <c r="T125">
        <v>0.94156553720690961</v>
      </c>
      <c r="U125">
        <v>1.0103174165299893</v>
      </c>
      <c r="V125">
        <v>0.67589023233944834</v>
      </c>
      <c r="W125">
        <v>0.62188887599575615</v>
      </c>
      <c r="X125">
        <v>0.47191065953648464</v>
      </c>
      <c r="Y125">
        <v>0.78562010899308699</v>
      </c>
      <c r="Z125">
        <v>0.88185227832926383</v>
      </c>
      <c r="AA125">
        <v>0.83934591712542095</v>
      </c>
      <c r="AB125">
        <v>5.3360847564405352E-2</v>
      </c>
      <c r="AC125">
        <v>0.22506460705473741</v>
      </c>
      <c r="AD125" t="s">
        <v>73</v>
      </c>
    </row>
    <row r="126" spans="1:30" x14ac:dyDescent="0.3">
      <c r="A126" t="s">
        <v>566</v>
      </c>
      <c r="B126" s="5" t="s">
        <v>567</v>
      </c>
      <c r="C126" t="s">
        <v>289</v>
      </c>
      <c r="D126" s="5" t="s">
        <v>290</v>
      </c>
      <c r="E126">
        <v>8.0499135742804029</v>
      </c>
      <c r="F126">
        <v>7.414989939226885</v>
      </c>
      <c r="G126">
        <v>6.4500606244316456</v>
      </c>
      <c r="H126">
        <v>6.8679958971543176</v>
      </c>
      <c r="I126">
        <v>7.2185101580135438</v>
      </c>
      <c r="J126">
        <v>7.1208695652173919</v>
      </c>
      <c r="K126">
        <v>7.0671787709497211</v>
      </c>
      <c r="L126">
        <v>7.3439867109634553</v>
      </c>
      <c r="M126">
        <v>8.8075716234652113</v>
      </c>
      <c r="N126">
        <v>9.5730158730158728</v>
      </c>
      <c r="O126">
        <v>10.585661080074487</v>
      </c>
      <c r="P126">
        <v>13.884271619268718</v>
      </c>
      <c r="Q126">
        <v>17.819811842833428</v>
      </c>
      <c r="R126">
        <v>15.857081545064379</v>
      </c>
      <c r="S126">
        <v>12.037096774193548</v>
      </c>
      <c r="T126">
        <v>12.422808927599347</v>
      </c>
      <c r="U126">
        <v>12.727651139742319</v>
      </c>
      <c r="V126">
        <v>15.832241459990639</v>
      </c>
      <c r="W126">
        <v>16.279499999999999</v>
      </c>
      <c r="X126">
        <v>18.209145556032631</v>
      </c>
      <c r="Y126">
        <v>19.906038047973531</v>
      </c>
      <c r="Z126">
        <v>24.741687293396829</v>
      </c>
      <c r="AA126">
        <v>20.580402102442886</v>
      </c>
      <c r="AB126">
        <v>18.938536302094757</v>
      </c>
      <c r="AC126">
        <v>19.584916278984174</v>
      </c>
      <c r="AD126" t="s">
        <v>73</v>
      </c>
    </row>
    <row r="127" spans="1:30" x14ac:dyDescent="0.3">
      <c r="A127" t="s">
        <v>566</v>
      </c>
      <c r="B127" s="5" t="s">
        <v>567</v>
      </c>
      <c r="C127" t="s">
        <v>291</v>
      </c>
      <c r="D127" s="5" t="s">
        <v>292</v>
      </c>
      <c r="E127">
        <v>24.828745297964488</v>
      </c>
      <c r="F127">
        <v>24.868959708093637</v>
      </c>
      <c r="G127">
        <v>24.230016962757777</v>
      </c>
      <c r="H127">
        <v>24.178849845153508</v>
      </c>
      <c r="I127">
        <v>22.917899219328383</v>
      </c>
      <c r="J127">
        <v>20.070196721781286</v>
      </c>
      <c r="K127">
        <v>16.607143894005265</v>
      </c>
      <c r="L127">
        <v>18.432519280788931</v>
      </c>
      <c r="M127">
        <v>18.559423100710827</v>
      </c>
      <c r="N127">
        <v>19.178182151624011</v>
      </c>
      <c r="O127">
        <v>16.733048703524268</v>
      </c>
      <c r="P127">
        <v>14.515894738759819</v>
      </c>
      <c r="Q127">
        <v>16.085960759936867</v>
      </c>
      <c r="R127">
        <v>16.282601105231688</v>
      </c>
      <c r="S127">
        <v>18.814256065211357</v>
      </c>
      <c r="T127">
        <v>20.629545611190856</v>
      </c>
      <c r="U127">
        <v>21.739213352185537</v>
      </c>
      <c r="V127">
        <v>22.718830074250153</v>
      </c>
      <c r="W127">
        <v>23.655966000294036</v>
      </c>
      <c r="X127">
        <v>19.957882454072024</v>
      </c>
      <c r="Y127">
        <v>19.15234017066474</v>
      </c>
      <c r="Z127">
        <v>19.148581128903167</v>
      </c>
      <c r="AA127">
        <v>21.230201388859381</v>
      </c>
      <c r="AB127">
        <v>19.161607650632298</v>
      </c>
      <c r="AC127">
        <v>19.331064828259663</v>
      </c>
      <c r="AD127" t="s">
        <v>73</v>
      </c>
    </row>
    <row r="128" spans="1:30" x14ac:dyDescent="0.3">
      <c r="A128" t="s">
        <v>566</v>
      </c>
      <c r="B128" s="5" t="s">
        <v>567</v>
      </c>
      <c r="C128" t="s">
        <v>293</v>
      </c>
      <c r="D128" s="5" t="s">
        <v>294</v>
      </c>
      <c r="E128">
        <v>5.6292176473366435</v>
      </c>
      <c r="F128">
        <v>6.0663213645267806</v>
      </c>
      <c r="G128">
        <v>5.1224493216936713</v>
      </c>
      <c r="H128">
        <v>5.1086628357054948</v>
      </c>
      <c r="I128">
        <v>5.2060856866962686</v>
      </c>
      <c r="J128">
        <v>4.9118110669519739</v>
      </c>
      <c r="K128">
        <v>4.8315902493339173</v>
      </c>
      <c r="L128">
        <v>4.3086918444272113</v>
      </c>
      <c r="M128">
        <v>4.0195860690440162</v>
      </c>
      <c r="N128">
        <v>3.8238115180416901</v>
      </c>
      <c r="O128">
        <v>3.5911098018245338</v>
      </c>
      <c r="P128">
        <v>3.6531233219974943</v>
      </c>
      <c r="Q128">
        <v>3.6066947724862963</v>
      </c>
      <c r="R128">
        <v>3.2926532183917079</v>
      </c>
      <c r="S128">
        <v>3.1542260804316546</v>
      </c>
      <c r="T128">
        <v>3.0328332164543692</v>
      </c>
      <c r="U128">
        <v>3.0575698230385151</v>
      </c>
      <c r="V128">
        <v>2.9552198937364613</v>
      </c>
      <c r="W128">
        <v>2.5259321282569078</v>
      </c>
      <c r="X128">
        <v>2.6686274585288672</v>
      </c>
      <c r="Y128">
        <v>3.0989406514301536</v>
      </c>
      <c r="Z128">
        <v>3.2413713398878956</v>
      </c>
      <c r="AA128">
        <v>3.5551325476583711</v>
      </c>
      <c r="AB128">
        <v>4.0126528625924234</v>
      </c>
      <c r="AC128">
        <v>4.2321471840492917</v>
      </c>
      <c r="AD128" t="s">
        <v>73</v>
      </c>
    </row>
    <row r="129" spans="1:30" x14ac:dyDescent="0.3">
      <c r="A129" t="s">
        <v>566</v>
      </c>
      <c r="B129" s="5" t="s">
        <v>567</v>
      </c>
      <c r="C129" t="s">
        <v>29</v>
      </c>
      <c r="D129" s="5" t="s">
        <v>295</v>
      </c>
      <c r="E129">
        <v>3.159265130977623</v>
      </c>
      <c r="F129">
        <v>3.2254903518803557</v>
      </c>
      <c r="G129">
        <v>3.1103617232533414</v>
      </c>
      <c r="H129">
        <v>3.2073554072026536</v>
      </c>
      <c r="I129">
        <v>3.1859469830490807</v>
      </c>
      <c r="J129">
        <v>2.9456722751517885</v>
      </c>
      <c r="K129">
        <v>2.9429551635863951</v>
      </c>
      <c r="L129">
        <v>3.0418656709759957</v>
      </c>
      <c r="M129">
        <v>3.028758980827861</v>
      </c>
      <c r="N129">
        <v>3.1005984191884233</v>
      </c>
      <c r="O129">
        <v>3.0920083867080459</v>
      </c>
      <c r="P129">
        <v>2.9756948396817817</v>
      </c>
      <c r="Q129">
        <v>3.0487293714888803</v>
      </c>
      <c r="R129">
        <v>3.0245427757813514</v>
      </c>
      <c r="S129">
        <v>3.0271365185357304</v>
      </c>
      <c r="T129">
        <v>3.0851863436742972</v>
      </c>
      <c r="U129">
        <v>3.2462890783796992</v>
      </c>
      <c r="V129">
        <v>3.2975117757527546</v>
      </c>
      <c r="W129">
        <v>3.2969594527260027</v>
      </c>
      <c r="X129">
        <v>3.3150244018484467</v>
      </c>
      <c r="Y129">
        <v>3.7111488823617194</v>
      </c>
      <c r="Z129">
        <v>3.7826652875829416</v>
      </c>
      <c r="AA129">
        <v>3.898065709707859</v>
      </c>
      <c r="AB129">
        <v>3.8375497479251299</v>
      </c>
      <c r="AC129">
        <v>3.7245106584483474</v>
      </c>
      <c r="AD129" t="s">
        <v>73</v>
      </c>
    </row>
    <row r="130" spans="1:30" x14ac:dyDescent="0.3">
      <c r="A130" t="s">
        <v>566</v>
      </c>
      <c r="B130" s="5" t="s">
        <v>567</v>
      </c>
      <c r="C130" t="s">
        <v>296</v>
      </c>
      <c r="D130" s="5" t="s">
        <v>297</v>
      </c>
      <c r="E130">
        <v>24.496734112350492</v>
      </c>
      <c r="F130">
        <v>23.487271388897625</v>
      </c>
      <c r="G130">
        <v>23.690793955388951</v>
      </c>
      <c r="H130">
        <v>23.592502544436179</v>
      </c>
      <c r="I130">
        <v>22.379681710627239</v>
      </c>
      <c r="J130">
        <v>22.810821664860764</v>
      </c>
      <c r="K130">
        <v>22.773312591251578</v>
      </c>
      <c r="L130">
        <v>25.44118414419901</v>
      </c>
      <c r="M130">
        <v>26.694756326878156</v>
      </c>
      <c r="N130">
        <v>25.518106810492156</v>
      </c>
      <c r="O130">
        <v>25.3181753102741</v>
      </c>
      <c r="P130">
        <v>26.910081524199224</v>
      </c>
      <c r="Q130">
        <v>28.674928192369375</v>
      </c>
      <c r="R130">
        <v>26.94980433568842</v>
      </c>
      <c r="S130">
        <v>25.383309665460096</v>
      </c>
      <c r="T130">
        <v>26.680014086568804</v>
      </c>
      <c r="U130">
        <v>27.166923076923077</v>
      </c>
      <c r="V130">
        <v>27.629944289693594</v>
      </c>
      <c r="W130">
        <v>22.51219387755102</v>
      </c>
      <c r="X130">
        <v>23.254492385786801</v>
      </c>
      <c r="Y130">
        <v>22.048137490020856</v>
      </c>
      <c r="Z130">
        <v>22.184519533740772</v>
      </c>
      <c r="AA130">
        <v>23.227093960936816</v>
      </c>
      <c r="AB130">
        <v>23.411656617650056</v>
      </c>
      <c r="AC130">
        <v>22.789770870606972</v>
      </c>
      <c r="AD130" t="s">
        <v>73</v>
      </c>
    </row>
    <row r="131" spans="1:30" x14ac:dyDescent="0.3">
      <c r="A131" t="s">
        <v>566</v>
      </c>
      <c r="B131" s="5" t="s">
        <v>567</v>
      </c>
      <c r="C131" t="s">
        <v>298</v>
      </c>
      <c r="D131" s="5" t="s">
        <v>299</v>
      </c>
      <c r="E131">
        <v>25.409321530594042</v>
      </c>
      <c r="F131">
        <v>22.420040678095635</v>
      </c>
      <c r="G131">
        <v>21.02182945113416</v>
      </c>
      <c r="H131">
        <v>18.328201600347587</v>
      </c>
      <c r="I131">
        <v>17.586738261738262</v>
      </c>
      <c r="J131">
        <v>16.399795495591203</v>
      </c>
      <c r="K131">
        <v>14.498876078115922</v>
      </c>
      <c r="L131">
        <v>9.9829702414373944</v>
      </c>
      <c r="M131">
        <v>8.8109341724674994</v>
      </c>
      <c r="N131">
        <v>8.4974627502922679</v>
      </c>
      <c r="O131">
        <v>11.161257232587893</v>
      </c>
      <c r="P131">
        <v>11.384252599644483</v>
      </c>
      <c r="Q131">
        <v>10.448172720715174</v>
      </c>
      <c r="R131">
        <v>11.550361937387988</v>
      </c>
      <c r="S131">
        <v>14.070956958448685</v>
      </c>
      <c r="T131">
        <v>12.821255752203351</v>
      </c>
      <c r="U131">
        <v>12.479743850948696</v>
      </c>
      <c r="V131">
        <v>12.199591077285412</v>
      </c>
      <c r="W131">
        <v>10.146878457136516</v>
      </c>
      <c r="X131">
        <v>10.160812628644109</v>
      </c>
      <c r="Y131">
        <v>9.3666920138017762</v>
      </c>
      <c r="Z131">
        <v>10.5865870134286</v>
      </c>
      <c r="AA131">
        <v>8.1142800005842126</v>
      </c>
      <c r="AB131">
        <v>7.0845484849060059</v>
      </c>
      <c r="AC131">
        <v>7.106537482306309</v>
      </c>
      <c r="AD131" t="s">
        <v>73</v>
      </c>
    </row>
    <row r="132" spans="1:30" x14ac:dyDescent="0.3">
      <c r="A132" t="s">
        <v>566</v>
      </c>
      <c r="B132" s="5" t="s">
        <v>567</v>
      </c>
      <c r="C132" t="s">
        <v>300</v>
      </c>
      <c r="D132" s="5" t="s">
        <v>301</v>
      </c>
      <c r="E132" t="s">
        <v>73</v>
      </c>
      <c r="F132" t="s">
        <v>73</v>
      </c>
      <c r="G132" t="s">
        <v>73</v>
      </c>
      <c r="H132" t="s">
        <v>73</v>
      </c>
      <c r="I132" t="s">
        <v>73</v>
      </c>
      <c r="J132" t="s">
        <v>73</v>
      </c>
      <c r="K132" t="s">
        <v>73</v>
      </c>
      <c r="L132" t="s">
        <v>73</v>
      </c>
      <c r="M132" t="s">
        <v>73</v>
      </c>
      <c r="N132" t="s">
        <v>73</v>
      </c>
      <c r="O132" t="s">
        <v>73</v>
      </c>
      <c r="P132" t="s">
        <v>73</v>
      </c>
      <c r="Q132" t="s">
        <v>73</v>
      </c>
      <c r="R132" t="s">
        <v>73</v>
      </c>
      <c r="S132" t="s">
        <v>73</v>
      </c>
      <c r="T132" t="s">
        <v>73</v>
      </c>
      <c r="U132" t="s">
        <v>73</v>
      </c>
      <c r="V132" t="s">
        <v>73</v>
      </c>
      <c r="W132" t="s">
        <v>73</v>
      </c>
      <c r="X132" t="s">
        <v>73</v>
      </c>
      <c r="Y132" t="s">
        <v>73</v>
      </c>
      <c r="Z132" t="s">
        <v>73</v>
      </c>
      <c r="AA132" t="s">
        <v>73</v>
      </c>
      <c r="AB132" t="s">
        <v>73</v>
      </c>
      <c r="AC132" t="s">
        <v>73</v>
      </c>
      <c r="AD132" t="s">
        <v>73</v>
      </c>
    </row>
    <row r="133" spans="1:30" x14ac:dyDescent="0.3">
      <c r="A133" t="s">
        <v>566</v>
      </c>
      <c r="B133" s="5" t="s">
        <v>567</v>
      </c>
      <c r="C133" t="s">
        <v>302</v>
      </c>
      <c r="D133" s="5" t="s">
        <v>303</v>
      </c>
      <c r="E133">
        <v>27.422530623153335</v>
      </c>
      <c r="F133">
        <v>22.968887508499868</v>
      </c>
      <c r="G133">
        <v>18.919125275033043</v>
      </c>
      <c r="H133">
        <v>18.439517205106846</v>
      </c>
      <c r="I133">
        <v>20.029776527185188</v>
      </c>
      <c r="J133">
        <v>19.797960491549826</v>
      </c>
      <c r="K133">
        <v>17.643670839540913</v>
      </c>
      <c r="L133">
        <v>18.427965388871282</v>
      </c>
      <c r="M133">
        <v>19.215124782537089</v>
      </c>
      <c r="N133">
        <v>17.864438070908474</v>
      </c>
      <c r="O133">
        <v>11.732563198012945</v>
      </c>
      <c r="P133">
        <v>10.3073568180221</v>
      </c>
      <c r="Q133">
        <v>11.258024557212662</v>
      </c>
      <c r="R133">
        <v>13.41406246609017</v>
      </c>
      <c r="S133">
        <v>13.341221087949817</v>
      </c>
      <c r="T133">
        <v>14.079203180176004</v>
      </c>
      <c r="U133">
        <v>12.627843686447854</v>
      </c>
      <c r="V133">
        <v>11.137233271356777</v>
      </c>
      <c r="W133">
        <v>11.428004519305913</v>
      </c>
      <c r="X133">
        <v>11.558382861226647</v>
      </c>
      <c r="Y133">
        <v>12.965656303147449</v>
      </c>
      <c r="Z133">
        <v>13.163174192774166</v>
      </c>
      <c r="AA133">
        <v>13.027853403536085</v>
      </c>
      <c r="AB133">
        <v>9.9206028129802384</v>
      </c>
      <c r="AC133">
        <v>7.2909521026131046</v>
      </c>
      <c r="AD133" t="s">
        <v>73</v>
      </c>
    </row>
    <row r="134" spans="1:30" x14ac:dyDescent="0.3">
      <c r="A134" t="s">
        <v>566</v>
      </c>
      <c r="B134" s="5" t="s">
        <v>567</v>
      </c>
      <c r="C134" t="s">
        <v>304</v>
      </c>
      <c r="D134" s="5" t="s">
        <v>305</v>
      </c>
      <c r="E134">
        <v>11.301877922377706</v>
      </c>
      <c r="F134">
        <v>10.811205225810935</v>
      </c>
      <c r="G134">
        <v>10.923782282980962</v>
      </c>
      <c r="H134">
        <v>9.914987338821609</v>
      </c>
      <c r="I134">
        <v>9.2619220581356974</v>
      </c>
      <c r="J134">
        <v>8.7576598049359937</v>
      </c>
      <c r="K134">
        <v>5.6582271644352691</v>
      </c>
      <c r="L134">
        <v>5.1409676155362156</v>
      </c>
      <c r="M134">
        <v>5.3030756347090691</v>
      </c>
      <c r="N134">
        <v>5.9420749881156896</v>
      </c>
      <c r="O134">
        <v>5.4671673853163707</v>
      </c>
      <c r="P134">
        <v>5.1709689281577784</v>
      </c>
      <c r="Q134">
        <v>4.8953957574191778</v>
      </c>
      <c r="R134">
        <v>5.2096013799149947</v>
      </c>
      <c r="S134">
        <v>5.1156921864619811</v>
      </c>
      <c r="T134">
        <v>4.96369912493667</v>
      </c>
      <c r="U134">
        <v>4.8060786419488366</v>
      </c>
      <c r="V134">
        <v>4.4361264537344658</v>
      </c>
      <c r="W134">
        <v>4.0270265470988118</v>
      </c>
      <c r="X134">
        <v>3.7035108209740515</v>
      </c>
      <c r="Y134">
        <v>4.1838697829739564</v>
      </c>
      <c r="Z134">
        <v>3.7713187551421981</v>
      </c>
      <c r="AA134">
        <v>3.9967276657340491</v>
      </c>
      <c r="AB134">
        <v>3.7692433716628964</v>
      </c>
      <c r="AC134">
        <v>3.4934441035979904</v>
      </c>
      <c r="AD134" t="s">
        <v>73</v>
      </c>
    </row>
    <row r="135" spans="1:30" x14ac:dyDescent="0.3">
      <c r="A135" t="s">
        <v>566</v>
      </c>
      <c r="B135" s="5" t="s">
        <v>567</v>
      </c>
      <c r="C135" t="s">
        <v>306</v>
      </c>
      <c r="D135" s="5" t="s">
        <v>307</v>
      </c>
      <c r="E135">
        <v>10.728631792955296</v>
      </c>
      <c r="F135">
        <v>11.876177623858652</v>
      </c>
      <c r="G135">
        <v>11.843278166372521</v>
      </c>
      <c r="H135">
        <v>12.491860182055159</v>
      </c>
      <c r="I135">
        <v>11.869333718001036</v>
      </c>
      <c r="J135">
        <v>10.698880448357805</v>
      </c>
      <c r="K135">
        <v>12.304168098197046</v>
      </c>
      <c r="L135">
        <v>9.8752466486994965</v>
      </c>
      <c r="M135">
        <v>10.864961794311974</v>
      </c>
      <c r="N135">
        <v>11.965047552956202</v>
      </c>
      <c r="O135">
        <v>11.962081270923147</v>
      </c>
      <c r="P135">
        <v>12.081902609845411</v>
      </c>
      <c r="Q135">
        <v>11.329751152279261</v>
      </c>
      <c r="R135">
        <v>12.358366193250607</v>
      </c>
      <c r="S135">
        <v>10.35314652495272</v>
      </c>
      <c r="T135">
        <v>11.796193184611345</v>
      </c>
      <c r="U135">
        <v>10.32196511031767</v>
      </c>
      <c r="V135">
        <v>11.160288799237527</v>
      </c>
      <c r="W135">
        <v>11.305540240136475</v>
      </c>
      <c r="X135">
        <v>10.842401737003925</v>
      </c>
      <c r="Y135">
        <v>10.663640142059235</v>
      </c>
      <c r="Z135">
        <v>11.977943900927727</v>
      </c>
      <c r="AA135">
        <v>9.7961889378563356</v>
      </c>
      <c r="AB135">
        <v>11.131174384006087</v>
      </c>
      <c r="AC135">
        <v>10.567328762104685</v>
      </c>
      <c r="AD135" t="s">
        <v>73</v>
      </c>
    </row>
    <row r="136" spans="1:30" x14ac:dyDescent="0.3">
      <c r="A136" t="s">
        <v>566</v>
      </c>
      <c r="B136" s="5" t="s">
        <v>567</v>
      </c>
      <c r="C136" t="s">
        <v>308</v>
      </c>
      <c r="D136" s="5" t="s">
        <v>309</v>
      </c>
      <c r="E136">
        <v>19.039174851409925</v>
      </c>
      <c r="F136">
        <v>18.225728623589273</v>
      </c>
      <c r="G136">
        <v>22.734177349083037</v>
      </c>
      <c r="H136">
        <v>22.722830542437659</v>
      </c>
      <c r="I136">
        <v>22.490128909236688</v>
      </c>
      <c r="J136">
        <v>22.921405986782339</v>
      </c>
      <c r="K136">
        <v>24.113391723813386</v>
      </c>
      <c r="L136">
        <v>24.01621736288768</v>
      </c>
      <c r="M136">
        <v>26.845751727575301</v>
      </c>
      <c r="N136">
        <v>27.910601722519125</v>
      </c>
      <c r="O136">
        <v>27.309377092239867</v>
      </c>
      <c r="P136">
        <v>26.484872998970793</v>
      </c>
      <c r="Q136">
        <v>25.517706654728212</v>
      </c>
      <c r="R136">
        <v>24.252909083633554</v>
      </c>
      <c r="S136">
        <v>24.655467160789708</v>
      </c>
      <c r="T136">
        <v>23.566316494695773</v>
      </c>
      <c r="U136">
        <v>23.62728108876254</v>
      </c>
      <c r="V136">
        <v>26.0749604736416</v>
      </c>
      <c r="W136">
        <v>25.542559795890874</v>
      </c>
      <c r="X136">
        <v>24.769781814563679</v>
      </c>
      <c r="Y136">
        <v>26.881974408765451</v>
      </c>
      <c r="Z136">
        <v>26.894591350236514</v>
      </c>
      <c r="AA136">
        <v>25.639222108274129</v>
      </c>
      <c r="AB136">
        <v>25.371600863086108</v>
      </c>
      <c r="AC136">
        <v>25.176481173306449</v>
      </c>
      <c r="AD136" t="s">
        <v>73</v>
      </c>
    </row>
    <row r="137" spans="1:30" x14ac:dyDescent="0.3">
      <c r="A137" t="s">
        <v>566</v>
      </c>
      <c r="B137" s="5" t="s">
        <v>567</v>
      </c>
      <c r="C137" t="s">
        <v>310</v>
      </c>
      <c r="D137" s="5" t="s">
        <v>311</v>
      </c>
      <c r="E137">
        <v>57.23864525562314</v>
      </c>
      <c r="F137">
        <v>57.069191636896576</v>
      </c>
      <c r="G137">
        <v>54.52833273487154</v>
      </c>
      <c r="H137">
        <v>50.620560861896955</v>
      </c>
      <c r="I137">
        <v>48.16509018657873</v>
      </c>
      <c r="J137">
        <v>46.687240402587975</v>
      </c>
      <c r="K137">
        <v>43.918958474558984</v>
      </c>
      <c r="L137">
        <v>43.322766006353746</v>
      </c>
      <c r="M137">
        <v>40.275095637548539</v>
      </c>
      <c r="N137">
        <v>38.108120610505814</v>
      </c>
      <c r="O137">
        <v>36.853075751266033</v>
      </c>
      <c r="P137">
        <v>32.496182502403364</v>
      </c>
      <c r="Q137">
        <v>30.590199702453763</v>
      </c>
      <c r="R137">
        <v>29.53372536049929</v>
      </c>
      <c r="S137">
        <v>27.82980257596121</v>
      </c>
      <c r="T137">
        <v>26.771778645597966</v>
      </c>
      <c r="U137">
        <v>25.628622873759525</v>
      </c>
      <c r="V137">
        <v>23.404128096274416</v>
      </c>
      <c r="W137">
        <v>22.075606404111095</v>
      </c>
      <c r="X137">
        <v>20.842157775428177</v>
      </c>
      <c r="Y137">
        <v>22.418652540050267</v>
      </c>
      <c r="Z137">
        <v>22.785290156821095</v>
      </c>
      <c r="AA137">
        <v>22.334350076849493</v>
      </c>
      <c r="AB137">
        <v>22.722230972546193</v>
      </c>
      <c r="AC137">
        <v>20.834176668074356</v>
      </c>
      <c r="AD137" t="s">
        <v>73</v>
      </c>
    </row>
    <row r="138" spans="1:30" x14ac:dyDescent="0.3">
      <c r="A138" t="s">
        <v>566</v>
      </c>
      <c r="B138" s="5" t="s">
        <v>567</v>
      </c>
      <c r="C138" t="s">
        <v>312</v>
      </c>
      <c r="D138" s="5" t="s">
        <v>313</v>
      </c>
      <c r="E138">
        <v>10.73102477130409</v>
      </c>
      <c r="F138">
        <v>9.675465920322381</v>
      </c>
      <c r="G138">
        <v>10.039143180900703</v>
      </c>
      <c r="H138">
        <v>10.215343232988626</v>
      </c>
      <c r="I138">
        <v>8.9397789169103223</v>
      </c>
      <c r="J138">
        <v>10.36848874763351</v>
      </c>
      <c r="K138">
        <v>9.6464710388711836</v>
      </c>
      <c r="L138">
        <v>8.4407136653083104</v>
      </c>
      <c r="M138">
        <v>7.5316865706541627</v>
      </c>
      <c r="N138">
        <v>8.1481445934102101</v>
      </c>
      <c r="O138">
        <v>8.4553694408918076</v>
      </c>
      <c r="P138">
        <v>8.113627202953742</v>
      </c>
      <c r="Q138">
        <v>8.05447519990682</v>
      </c>
      <c r="R138">
        <v>7.8214649007216375</v>
      </c>
      <c r="S138">
        <v>8.1389357543909089</v>
      </c>
      <c r="T138">
        <v>6.6504267958933383</v>
      </c>
      <c r="U138">
        <v>6.7201176352638807</v>
      </c>
      <c r="V138">
        <v>7.6761560893627383</v>
      </c>
      <c r="W138">
        <v>7.7682975675680499</v>
      </c>
      <c r="X138">
        <v>7.0839767384743517</v>
      </c>
      <c r="Y138">
        <v>9.1581780889119866</v>
      </c>
      <c r="Z138">
        <v>9.5630037948263649</v>
      </c>
      <c r="AA138">
        <v>8.7588936645764832</v>
      </c>
      <c r="AB138">
        <v>7.6776576622187855</v>
      </c>
      <c r="AC138">
        <v>7.2912063856269329</v>
      </c>
      <c r="AD138" t="s">
        <v>73</v>
      </c>
    </row>
    <row r="139" spans="1:30" x14ac:dyDescent="0.3">
      <c r="A139" t="s">
        <v>566</v>
      </c>
      <c r="B139" s="5" t="s">
        <v>567</v>
      </c>
      <c r="C139" t="s">
        <v>314</v>
      </c>
      <c r="D139" s="5" t="s">
        <v>315</v>
      </c>
      <c r="E139" t="s">
        <v>73</v>
      </c>
      <c r="F139" t="s">
        <v>73</v>
      </c>
      <c r="G139" t="s">
        <v>73</v>
      </c>
      <c r="H139" t="s">
        <v>73</v>
      </c>
      <c r="I139" t="s">
        <v>73</v>
      </c>
      <c r="J139" t="s">
        <v>73</v>
      </c>
      <c r="K139" t="s">
        <v>73</v>
      </c>
      <c r="L139" t="s">
        <v>73</v>
      </c>
      <c r="M139" t="s">
        <v>73</v>
      </c>
      <c r="N139" t="s">
        <v>73</v>
      </c>
      <c r="O139" t="s">
        <v>73</v>
      </c>
      <c r="P139" t="s">
        <v>73</v>
      </c>
      <c r="Q139" t="s">
        <v>73</v>
      </c>
      <c r="R139" t="s">
        <v>73</v>
      </c>
      <c r="S139" t="s">
        <v>73</v>
      </c>
      <c r="T139" t="s">
        <v>73</v>
      </c>
      <c r="U139" t="s">
        <v>73</v>
      </c>
      <c r="V139" t="s">
        <v>73</v>
      </c>
      <c r="W139" t="s">
        <v>73</v>
      </c>
      <c r="X139" t="s">
        <v>73</v>
      </c>
      <c r="Y139" t="s">
        <v>73</v>
      </c>
      <c r="Z139" t="s">
        <v>73</v>
      </c>
      <c r="AA139" t="s">
        <v>73</v>
      </c>
      <c r="AB139" t="s">
        <v>73</v>
      </c>
      <c r="AC139" t="s">
        <v>73</v>
      </c>
      <c r="AD139" t="s">
        <v>73</v>
      </c>
    </row>
    <row r="140" spans="1:30" x14ac:dyDescent="0.3">
      <c r="A140" t="s">
        <v>566</v>
      </c>
      <c r="B140" s="5" t="s">
        <v>567</v>
      </c>
      <c r="C140" t="s">
        <v>316</v>
      </c>
      <c r="D140" s="5" t="s">
        <v>317</v>
      </c>
      <c r="E140">
        <v>38.243897040222613</v>
      </c>
      <c r="F140">
        <v>35.247670013161958</v>
      </c>
      <c r="G140">
        <v>36.150295031157292</v>
      </c>
      <c r="H140">
        <v>35.105875087103414</v>
      </c>
      <c r="I140">
        <v>34.676357105462699</v>
      </c>
      <c r="J140">
        <v>33.824896676687956</v>
      </c>
      <c r="K140">
        <v>32.36648503861889</v>
      </c>
      <c r="L140">
        <v>31.164411323020442</v>
      </c>
      <c r="M140">
        <v>30.305716366418277</v>
      </c>
      <c r="N140">
        <v>31.322652063399548</v>
      </c>
      <c r="O140">
        <v>33.179378490812169</v>
      </c>
      <c r="P140">
        <v>30.805485475681444</v>
      </c>
      <c r="Q140">
        <v>30.076056957942836</v>
      </c>
      <c r="R140">
        <v>28.622657526471944</v>
      </c>
      <c r="S140">
        <v>27.461895362062222</v>
      </c>
      <c r="T140">
        <v>26.518508431337285</v>
      </c>
      <c r="U140">
        <v>25.517875371001718</v>
      </c>
      <c r="V140">
        <v>23.699548457676926</v>
      </c>
      <c r="W140">
        <v>22.334672050342018</v>
      </c>
      <c r="X140">
        <v>21.583372759566874</v>
      </c>
      <c r="Y140">
        <v>22.180090191801508</v>
      </c>
      <c r="Z140">
        <v>22.02145227880585</v>
      </c>
      <c r="AA140">
        <v>20.914369981512881</v>
      </c>
      <c r="AB140">
        <v>21.298713111940888</v>
      </c>
      <c r="AC140">
        <v>21.872011955544135</v>
      </c>
      <c r="AD140" t="s">
        <v>73</v>
      </c>
    </row>
    <row r="141" spans="1:30" x14ac:dyDescent="0.3">
      <c r="A141" t="s">
        <v>566</v>
      </c>
      <c r="B141" s="5" t="s">
        <v>567</v>
      </c>
      <c r="C141" t="s">
        <v>30</v>
      </c>
      <c r="D141" s="5" t="s">
        <v>318</v>
      </c>
      <c r="E141">
        <v>2.3107492188035588</v>
      </c>
      <c r="F141">
        <v>2.235469757175307</v>
      </c>
      <c r="G141">
        <v>2.0874883923475993</v>
      </c>
      <c r="H141">
        <v>2.0677761356066506</v>
      </c>
      <c r="I141">
        <v>1.874624933922528</v>
      </c>
      <c r="J141">
        <v>1.8711965895408245</v>
      </c>
      <c r="K141">
        <v>1.9598463853575832</v>
      </c>
      <c r="L141">
        <v>1.8318012123158443</v>
      </c>
      <c r="M141">
        <v>1.6523900696914933</v>
      </c>
      <c r="N141">
        <v>1.5659191999657238</v>
      </c>
      <c r="O141">
        <v>1.7878081931877916</v>
      </c>
      <c r="P141">
        <v>1.5984439332757123</v>
      </c>
      <c r="Q141">
        <v>1.6969700652657422</v>
      </c>
      <c r="R141">
        <v>1.84474290341919</v>
      </c>
      <c r="S141">
        <v>1.8009893505563441</v>
      </c>
      <c r="T141">
        <v>1.8059856259162583</v>
      </c>
      <c r="U141">
        <v>1.8639913909813586</v>
      </c>
      <c r="V141">
        <v>1.9678742137359644</v>
      </c>
      <c r="W141">
        <v>1.7598723695592253</v>
      </c>
      <c r="X141">
        <v>1.758806990396099</v>
      </c>
      <c r="Y141">
        <v>1.7373720548267344</v>
      </c>
      <c r="Z141">
        <v>1.6546464023330154</v>
      </c>
      <c r="AA141">
        <v>1.6419472339055361</v>
      </c>
      <c r="AB141">
        <v>1.7514924300064849</v>
      </c>
      <c r="AC141">
        <v>1.7296845586342129</v>
      </c>
      <c r="AD141" t="s">
        <v>73</v>
      </c>
    </row>
    <row r="142" spans="1:30" x14ac:dyDescent="0.3">
      <c r="A142" t="s">
        <v>566</v>
      </c>
      <c r="B142" s="5" t="s">
        <v>567</v>
      </c>
      <c r="C142" t="s">
        <v>319</v>
      </c>
      <c r="D142" s="5" t="s">
        <v>320</v>
      </c>
      <c r="E142">
        <v>2.1895739703461703</v>
      </c>
      <c r="F142">
        <v>2.3602029373594742</v>
      </c>
      <c r="G142">
        <v>1.8903587149527432</v>
      </c>
      <c r="H142">
        <v>1.7434582103934406</v>
      </c>
      <c r="I142">
        <v>1.7868605431408693</v>
      </c>
      <c r="J142">
        <v>1.548692485310726</v>
      </c>
      <c r="K142">
        <v>1.7271258631731325</v>
      </c>
      <c r="L142">
        <v>1.2720017505939292</v>
      </c>
      <c r="M142">
        <v>1.3876327760428071</v>
      </c>
      <c r="N142">
        <v>1.416649322223938</v>
      </c>
      <c r="O142">
        <v>1.3447413908671477</v>
      </c>
      <c r="P142">
        <v>1.3682283009831817</v>
      </c>
      <c r="Q142">
        <v>1.6444369143929751</v>
      </c>
      <c r="R142">
        <v>1.7132914667625621</v>
      </c>
      <c r="S142">
        <v>1.7724553405528194</v>
      </c>
      <c r="T142">
        <v>1.9133410369197572</v>
      </c>
      <c r="U142">
        <v>1.9267081167975098</v>
      </c>
      <c r="V142">
        <v>2.0119019733087877</v>
      </c>
      <c r="W142" t="s">
        <v>73</v>
      </c>
      <c r="X142">
        <v>1.7861386138613859</v>
      </c>
      <c r="Y142" t="s">
        <v>73</v>
      </c>
      <c r="Z142" t="s">
        <v>73</v>
      </c>
      <c r="AA142" t="s">
        <v>73</v>
      </c>
      <c r="AB142" t="s">
        <v>73</v>
      </c>
      <c r="AC142" t="s">
        <v>73</v>
      </c>
      <c r="AD142" t="s">
        <v>73</v>
      </c>
    </row>
    <row r="143" spans="1:30" x14ac:dyDescent="0.3">
      <c r="A143" t="s">
        <v>566</v>
      </c>
      <c r="B143" s="5" t="s">
        <v>567</v>
      </c>
      <c r="C143" t="s">
        <v>51</v>
      </c>
      <c r="D143" s="5" t="s">
        <v>321</v>
      </c>
      <c r="E143">
        <v>7.7529018099283213</v>
      </c>
      <c r="F143">
        <v>7.9813847970663181</v>
      </c>
      <c r="G143">
        <v>5.8528935279366179</v>
      </c>
      <c r="H143">
        <v>5.72933246598663</v>
      </c>
      <c r="I143">
        <v>5.3655885454745436</v>
      </c>
      <c r="J143">
        <v>4.5176970240031427</v>
      </c>
      <c r="K143">
        <v>4.9836050324411056</v>
      </c>
      <c r="L143">
        <v>6.0683655375978311</v>
      </c>
      <c r="M143">
        <v>5.0010271753730757</v>
      </c>
      <c r="N143">
        <v>5.7369937002941915</v>
      </c>
      <c r="O143">
        <v>6.5713052350678911</v>
      </c>
      <c r="P143">
        <v>6.2770197402353833</v>
      </c>
      <c r="Q143">
        <v>5.506456320035241</v>
      </c>
      <c r="R143">
        <v>7.0298211418414747</v>
      </c>
      <c r="S143">
        <v>4.7720003128640647</v>
      </c>
      <c r="T143">
        <v>4.4672867210029388</v>
      </c>
      <c r="U143">
        <v>5.5443277488799803</v>
      </c>
      <c r="V143">
        <v>5.9094220829209281</v>
      </c>
      <c r="W143">
        <v>5.6613811876986952</v>
      </c>
      <c r="X143">
        <v>5.6894626635778511</v>
      </c>
      <c r="Y143">
        <v>5.7046489540462213</v>
      </c>
      <c r="Z143">
        <v>5.7684488434138927</v>
      </c>
      <c r="AA143">
        <v>4.5689832614612103</v>
      </c>
      <c r="AB143" t="s">
        <v>73</v>
      </c>
      <c r="AC143" t="s">
        <v>73</v>
      </c>
      <c r="AD143" t="s">
        <v>73</v>
      </c>
    </row>
    <row r="144" spans="1:30" x14ac:dyDescent="0.3">
      <c r="A144" t="s">
        <v>566</v>
      </c>
      <c r="B144" s="5" t="s">
        <v>567</v>
      </c>
      <c r="C144" t="s">
        <v>322</v>
      </c>
      <c r="D144" s="5" t="s">
        <v>323</v>
      </c>
      <c r="E144">
        <v>17.765505144046223</v>
      </c>
      <c r="F144">
        <v>16.813329468075615</v>
      </c>
      <c r="G144">
        <v>16.430111985103427</v>
      </c>
      <c r="H144">
        <v>15.625902564694599</v>
      </c>
      <c r="I144">
        <v>15.968822270916871</v>
      </c>
      <c r="J144">
        <v>16.137898065387969</v>
      </c>
      <c r="K144">
        <v>15.899662546678723</v>
      </c>
      <c r="L144">
        <v>16.46133831070545</v>
      </c>
      <c r="M144">
        <v>16.2627898839898</v>
      </c>
      <c r="N144">
        <v>16.067651004111319</v>
      </c>
      <c r="O144">
        <v>16.982636800704817</v>
      </c>
      <c r="P144">
        <v>18.884788385777103</v>
      </c>
      <c r="Q144">
        <v>17.611583473367372</v>
      </c>
      <c r="R144">
        <v>16.490911211185118</v>
      </c>
      <c r="S144">
        <v>16.709017383447161</v>
      </c>
      <c r="T144">
        <v>16.109929235315114</v>
      </c>
      <c r="U144">
        <v>14.9153392298097</v>
      </c>
      <c r="V144">
        <v>14.996408601947349</v>
      </c>
      <c r="W144">
        <v>15.322211323712565</v>
      </c>
      <c r="X144">
        <v>15.529784067707073</v>
      </c>
      <c r="Y144">
        <v>15.906779980402339</v>
      </c>
      <c r="Z144">
        <v>15.72991239726267</v>
      </c>
      <c r="AA144">
        <v>16.803031218394509</v>
      </c>
      <c r="AB144">
        <v>15.32857462824078</v>
      </c>
      <c r="AC144">
        <v>14.411507510727963</v>
      </c>
      <c r="AD144" t="s">
        <v>73</v>
      </c>
    </row>
    <row r="145" spans="1:30" x14ac:dyDescent="0.3">
      <c r="A145" t="s">
        <v>566</v>
      </c>
      <c r="B145" s="5" t="s">
        <v>567</v>
      </c>
      <c r="C145" t="s">
        <v>324</v>
      </c>
      <c r="D145" s="5" t="s">
        <v>325</v>
      </c>
      <c r="E145">
        <v>36.575560070874459</v>
      </c>
      <c r="F145">
        <v>40.181927733012607</v>
      </c>
      <c r="G145">
        <v>41.366935173498639</v>
      </c>
      <c r="H145">
        <v>41.19552630014617</v>
      </c>
      <c r="I145">
        <v>37.371728556120068</v>
      </c>
      <c r="J145">
        <v>39.280520128594546</v>
      </c>
      <c r="K145">
        <v>39.745078578341911</v>
      </c>
      <c r="L145">
        <v>37.094506437909047</v>
      </c>
      <c r="M145">
        <v>38.775006234004053</v>
      </c>
      <c r="N145">
        <v>34.784810274813104</v>
      </c>
      <c r="O145">
        <v>35.821387956676467</v>
      </c>
      <c r="P145">
        <v>33.646764281521079</v>
      </c>
      <c r="Q145">
        <v>33.680993820863208</v>
      </c>
      <c r="R145">
        <v>32.235010729547867</v>
      </c>
      <c r="S145">
        <v>33.429044234363936</v>
      </c>
      <c r="T145">
        <v>32.416995271444783</v>
      </c>
      <c r="U145">
        <v>35.262958212547531</v>
      </c>
      <c r="V145">
        <v>35.816868204143951</v>
      </c>
      <c r="W145">
        <v>37.577621858814403</v>
      </c>
      <c r="X145">
        <v>36.991920393140937</v>
      </c>
      <c r="Y145">
        <v>38.375579858350733</v>
      </c>
      <c r="Z145">
        <v>36.481025800414855</v>
      </c>
      <c r="AA145">
        <v>41.350516357264702</v>
      </c>
      <c r="AB145">
        <v>32.505821846901227</v>
      </c>
      <c r="AC145">
        <v>34.462089977435554</v>
      </c>
      <c r="AD145" t="s">
        <v>73</v>
      </c>
    </row>
    <row r="146" spans="1:30" x14ac:dyDescent="0.3">
      <c r="A146" t="s">
        <v>566</v>
      </c>
      <c r="B146" s="5" t="s">
        <v>567</v>
      </c>
      <c r="C146" t="s">
        <v>326</v>
      </c>
      <c r="D146" s="5" t="s">
        <v>327</v>
      </c>
      <c r="E146">
        <v>21.357241297217573</v>
      </c>
      <c r="F146">
        <v>24.475354660463182</v>
      </c>
      <c r="G146">
        <v>36.965082666179661</v>
      </c>
      <c r="H146">
        <v>33.827060551568728</v>
      </c>
      <c r="I146">
        <v>27.230453600649685</v>
      </c>
      <c r="J146">
        <v>26.089282825079565</v>
      </c>
      <c r="K146">
        <v>24.734991260133892</v>
      </c>
      <c r="L146">
        <v>24.662577214228335</v>
      </c>
      <c r="M146">
        <v>25.279750780265459</v>
      </c>
      <c r="N146">
        <v>26.748854506651881</v>
      </c>
      <c r="O146">
        <v>23.893704091279101</v>
      </c>
      <c r="P146">
        <v>22.234710993195613</v>
      </c>
      <c r="Q146">
        <v>21.859958616527678</v>
      </c>
      <c r="R146">
        <v>20.758622832243866</v>
      </c>
      <c r="S146">
        <v>19.990254768080469</v>
      </c>
      <c r="T146">
        <v>20.631893480001228</v>
      </c>
      <c r="U146">
        <v>20.983109708317315</v>
      </c>
      <c r="V146">
        <v>20.846571430054219</v>
      </c>
      <c r="W146">
        <v>21.203773720120985</v>
      </c>
      <c r="X146">
        <v>25.73493057266009</v>
      </c>
      <c r="Y146">
        <v>28.34542043805931</v>
      </c>
      <c r="Z146">
        <v>29.388278043166071</v>
      </c>
      <c r="AA146">
        <v>28.551552219973068</v>
      </c>
      <c r="AB146">
        <v>27.718291279131009</v>
      </c>
      <c r="AC146">
        <v>25.873334360540113</v>
      </c>
      <c r="AD146" t="s">
        <v>73</v>
      </c>
    </row>
    <row r="147" spans="1:30" x14ac:dyDescent="0.3">
      <c r="A147" t="s">
        <v>566</v>
      </c>
      <c r="B147" s="5" t="s">
        <v>567</v>
      </c>
      <c r="C147" t="s">
        <v>328</v>
      </c>
      <c r="D147" s="5" t="s">
        <v>329</v>
      </c>
      <c r="E147">
        <v>10.09628146038947</v>
      </c>
      <c r="F147">
        <v>9.745119714096667</v>
      </c>
      <c r="G147">
        <v>10.170120774534865</v>
      </c>
      <c r="H147">
        <v>11.538776452023491</v>
      </c>
      <c r="I147">
        <v>11.553994857293455</v>
      </c>
      <c r="J147">
        <v>9.7361945488203805</v>
      </c>
      <c r="K147">
        <v>8.989368056385139</v>
      </c>
      <c r="L147">
        <v>8.932416885453847</v>
      </c>
      <c r="M147">
        <v>11.443515148593603</v>
      </c>
      <c r="N147">
        <v>10.370168490818141</v>
      </c>
      <c r="O147">
        <v>10.120604807727489</v>
      </c>
      <c r="P147">
        <v>9.3509929209411737</v>
      </c>
      <c r="Q147">
        <v>9.1047197039659054</v>
      </c>
      <c r="R147">
        <v>10.027476085444848</v>
      </c>
      <c r="S147">
        <v>10.177567277131178</v>
      </c>
      <c r="T147">
        <v>9.7269184941873572</v>
      </c>
      <c r="U147">
        <v>9.1729083129481577</v>
      </c>
      <c r="V147">
        <v>7.8732450421125186</v>
      </c>
      <c r="W147">
        <v>8.4703984699142651</v>
      </c>
      <c r="X147">
        <v>8.1322913944762618</v>
      </c>
      <c r="Y147">
        <v>8.569059287592637</v>
      </c>
      <c r="Z147">
        <v>7.1474888442583051</v>
      </c>
      <c r="AA147">
        <v>7.2798878546816255</v>
      </c>
      <c r="AB147">
        <v>6.2308866977396962</v>
      </c>
      <c r="AC147">
        <v>6.0829280188182251</v>
      </c>
      <c r="AD147" t="s">
        <v>73</v>
      </c>
    </row>
    <row r="148" spans="1:30" x14ac:dyDescent="0.3">
      <c r="A148" t="s">
        <v>566</v>
      </c>
      <c r="B148" s="5" t="s">
        <v>567</v>
      </c>
      <c r="C148" t="s">
        <v>330</v>
      </c>
      <c r="D148" s="5" t="s">
        <v>331</v>
      </c>
      <c r="E148" t="s">
        <v>73</v>
      </c>
      <c r="F148" t="s">
        <v>73</v>
      </c>
      <c r="G148" t="s">
        <v>73</v>
      </c>
      <c r="H148" t="s">
        <v>73</v>
      </c>
      <c r="I148" t="s">
        <v>73</v>
      </c>
      <c r="J148" t="s">
        <v>73</v>
      </c>
      <c r="K148" t="s">
        <v>73</v>
      </c>
      <c r="L148" t="s">
        <v>73</v>
      </c>
      <c r="M148" t="s">
        <v>73</v>
      </c>
      <c r="N148" t="s">
        <v>73</v>
      </c>
      <c r="O148" t="s">
        <v>73</v>
      </c>
      <c r="P148" t="s">
        <v>73</v>
      </c>
      <c r="Q148" t="s">
        <v>73</v>
      </c>
      <c r="R148" t="s">
        <v>73</v>
      </c>
      <c r="S148" t="s">
        <v>73</v>
      </c>
      <c r="T148" t="s">
        <v>73</v>
      </c>
      <c r="U148" t="s">
        <v>73</v>
      </c>
      <c r="V148" t="s">
        <v>73</v>
      </c>
      <c r="W148" t="s">
        <v>73</v>
      </c>
      <c r="X148" t="s">
        <v>73</v>
      </c>
      <c r="Y148" t="s">
        <v>73</v>
      </c>
      <c r="Z148" t="s">
        <v>73</v>
      </c>
      <c r="AA148" t="s">
        <v>73</v>
      </c>
      <c r="AB148" t="s">
        <v>73</v>
      </c>
      <c r="AC148" t="s">
        <v>73</v>
      </c>
      <c r="AD148" t="s">
        <v>73</v>
      </c>
    </row>
    <row r="149" spans="1:30" x14ac:dyDescent="0.3">
      <c r="A149" t="s">
        <v>566</v>
      </c>
      <c r="B149" s="5" t="s">
        <v>567</v>
      </c>
      <c r="C149" t="s">
        <v>31</v>
      </c>
      <c r="D149" s="5" t="s">
        <v>332</v>
      </c>
      <c r="E149">
        <v>1.7841381668402763</v>
      </c>
      <c r="F149">
        <v>1.5447677550634835</v>
      </c>
      <c r="G149">
        <v>1.4738403408891119</v>
      </c>
      <c r="H149">
        <v>1.2565151669083396</v>
      </c>
      <c r="I149">
        <v>1.3355904487554826</v>
      </c>
      <c r="J149">
        <v>1.3595141201690304</v>
      </c>
      <c r="K149">
        <v>1.3655623179950658</v>
      </c>
      <c r="L149">
        <v>1.2002928597637292</v>
      </c>
      <c r="M149">
        <v>1.0825529577996555</v>
      </c>
      <c r="N149">
        <v>1.2360885219238993</v>
      </c>
      <c r="O149">
        <v>1.5247849522002985</v>
      </c>
      <c r="P149">
        <v>1.3048372396597923</v>
      </c>
      <c r="Q149">
        <v>1.0772751134564857</v>
      </c>
      <c r="R149">
        <v>1.2530356741259443</v>
      </c>
      <c r="S149">
        <v>1.3834313373243392</v>
      </c>
      <c r="T149">
        <v>1.4818302955450209</v>
      </c>
      <c r="U149">
        <v>2.0338988490180632</v>
      </c>
      <c r="V149">
        <v>1.9187789243968665</v>
      </c>
      <c r="W149">
        <v>1.811199019398694</v>
      </c>
      <c r="X149">
        <v>1.7824610216970718</v>
      </c>
      <c r="Y149">
        <v>1.8439294251894007</v>
      </c>
      <c r="Z149">
        <v>1.5988691771445938</v>
      </c>
      <c r="AA149">
        <v>1.6344244322904358</v>
      </c>
      <c r="AB149">
        <v>2.0801484408981645</v>
      </c>
      <c r="AC149">
        <v>2.0759511111675581</v>
      </c>
      <c r="AD149" t="s">
        <v>73</v>
      </c>
    </row>
    <row r="150" spans="1:30" x14ac:dyDescent="0.3">
      <c r="A150" t="s">
        <v>566</v>
      </c>
      <c r="B150" s="5" t="s">
        <v>567</v>
      </c>
      <c r="C150" t="s">
        <v>333</v>
      </c>
      <c r="D150" s="5" t="s">
        <v>334</v>
      </c>
      <c r="E150">
        <v>1.9652287703883724</v>
      </c>
      <c r="F150">
        <v>2.0449514528993569</v>
      </c>
      <c r="G150">
        <v>2.0262270682287147</v>
      </c>
      <c r="H150">
        <v>1.9295275549153006</v>
      </c>
      <c r="I150">
        <v>1.6899291586095659</v>
      </c>
      <c r="J150">
        <v>1.4151358002988486</v>
      </c>
      <c r="K150">
        <v>1.2253300022600804</v>
      </c>
      <c r="L150">
        <v>1.2002261529763347</v>
      </c>
      <c r="M150">
        <v>0.9739231517256024</v>
      </c>
      <c r="N150">
        <v>1.2883346387081949</v>
      </c>
      <c r="O150">
        <v>1.247298919567827</v>
      </c>
      <c r="P150">
        <v>1.100416809294646</v>
      </c>
      <c r="Q150">
        <v>1.0155108647463307</v>
      </c>
      <c r="R150">
        <v>1.1422655608379313</v>
      </c>
      <c r="S150">
        <v>1.1127071947209535</v>
      </c>
      <c r="T150">
        <v>1.7297608072877946</v>
      </c>
      <c r="U150">
        <v>1.9853221172153563</v>
      </c>
      <c r="V150">
        <v>1.9845992524783367</v>
      </c>
      <c r="W150">
        <v>1.8494201909959072</v>
      </c>
      <c r="X150">
        <v>1.9947193393858131</v>
      </c>
      <c r="Y150">
        <v>2.4692330884771407</v>
      </c>
      <c r="Z150">
        <v>2.3921848939718848</v>
      </c>
      <c r="AA150">
        <v>2.1082711466343422</v>
      </c>
      <c r="AB150">
        <v>2.4155985088595391</v>
      </c>
      <c r="AC150">
        <v>2.6031107702930298</v>
      </c>
      <c r="AD150" t="s">
        <v>73</v>
      </c>
    </row>
    <row r="151" spans="1:30" x14ac:dyDescent="0.3">
      <c r="A151" t="s">
        <v>566</v>
      </c>
      <c r="B151" s="5" t="s">
        <v>567</v>
      </c>
      <c r="C151" t="s">
        <v>335</v>
      </c>
      <c r="D151" s="5" t="s">
        <v>336</v>
      </c>
      <c r="E151">
        <v>25.387136041297502</v>
      </c>
      <c r="F151">
        <v>24.144960503281908</v>
      </c>
      <c r="G151">
        <v>22.702627543567424</v>
      </c>
      <c r="H151">
        <v>22.151937336771439</v>
      </c>
      <c r="I151">
        <v>22.001890008534716</v>
      </c>
      <c r="J151">
        <v>21.574509699233104</v>
      </c>
      <c r="K151">
        <v>20.418346054092464</v>
      </c>
      <c r="L151">
        <v>19.937951432909664</v>
      </c>
      <c r="M151">
        <v>20.351365282755026</v>
      </c>
      <c r="N151">
        <v>21.786922974953416</v>
      </c>
      <c r="O151">
        <v>22.688810174178865</v>
      </c>
      <c r="P151">
        <v>23.819642978628021</v>
      </c>
      <c r="Q151">
        <v>23.386195534034538</v>
      </c>
      <c r="R151">
        <v>23.707594593490793</v>
      </c>
      <c r="S151">
        <v>23.492732009785541</v>
      </c>
      <c r="T151">
        <v>23.262840775624166</v>
      </c>
      <c r="U151">
        <v>22.328330203569749</v>
      </c>
      <c r="V151">
        <v>21.963203536687203</v>
      </c>
      <c r="W151">
        <v>21.65123535939572</v>
      </c>
      <c r="X151">
        <v>20.677871322288681</v>
      </c>
      <c r="Y151">
        <v>21.854132554896612</v>
      </c>
      <c r="Z151">
        <v>22.662508076074271</v>
      </c>
      <c r="AA151">
        <v>22.326864699603053</v>
      </c>
      <c r="AB151">
        <v>23.426703596365989</v>
      </c>
      <c r="AC151">
        <v>23.743286233883641</v>
      </c>
      <c r="AD151" t="s">
        <v>73</v>
      </c>
    </row>
    <row r="152" spans="1:30" x14ac:dyDescent="0.3">
      <c r="A152" t="s">
        <v>566</v>
      </c>
      <c r="B152" s="5" t="s">
        <v>567</v>
      </c>
      <c r="C152" t="s">
        <v>337</v>
      </c>
      <c r="D152" s="5" t="s">
        <v>338</v>
      </c>
      <c r="E152">
        <v>3.8896859363212277</v>
      </c>
      <c r="F152">
        <v>3.6868861075032622</v>
      </c>
      <c r="G152">
        <v>3.8251701641331834</v>
      </c>
      <c r="H152">
        <v>3.8567568263941663</v>
      </c>
      <c r="I152">
        <v>3.8935997257221819</v>
      </c>
      <c r="J152">
        <v>4.0833729169271917</v>
      </c>
      <c r="K152">
        <v>4.7228520534398308</v>
      </c>
      <c r="L152">
        <v>3.990538338977899</v>
      </c>
      <c r="M152">
        <v>4.224901194679445</v>
      </c>
      <c r="N152">
        <v>4.1037861916083482</v>
      </c>
      <c r="O152">
        <v>3.9962676324060911</v>
      </c>
      <c r="P152">
        <v>3.9239509918785527</v>
      </c>
      <c r="Q152">
        <v>3.8370091491782201</v>
      </c>
      <c r="R152">
        <v>4.0127596926680908</v>
      </c>
      <c r="S152">
        <v>3.5283219979698135</v>
      </c>
      <c r="T152">
        <v>2.9925630489604744</v>
      </c>
      <c r="U152">
        <v>3.048358900540598</v>
      </c>
      <c r="V152">
        <v>3.4498190298361249</v>
      </c>
      <c r="W152">
        <v>3.4610898864379349</v>
      </c>
      <c r="X152">
        <v>3.3889562233165837</v>
      </c>
      <c r="Y152">
        <v>3.2754753260317293</v>
      </c>
      <c r="Z152">
        <v>3.483195406733909</v>
      </c>
      <c r="AA152">
        <v>3.3535187291364594</v>
      </c>
      <c r="AB152">
        <v>3.040625214697541</v>
      </c>
      <c r="AC152" t="s">
        <v>73</v>
      </c>
      <c r="AD152" t="s">
        <v>73</v>
      </c>
    </row>
    <row r="153" spans="1:30" x14ac:dyDescent="0.3">
      <c r="A153" t="s">
        <v>566</v>
      </c>
      <c r="B153" s="5" t="s">
        <v>567</v>
      </c>
      <c r="C153" t="s">
        <v>339</v>
      </c>
      <c r="D153" s="5" t="s">
        <v>340</v>
      </c>
      <c r="E153">
        <v>6.312135430520911</v>
      </c>
      <c r="F153">
        <v>6.6952303167135616</v>
      </c>
      <c r="G153">
        <v>6.6148108598681175</v>
      </c>
      <c r="H153">
        <v>6.7191903276584117</v>
      </c>
      <c r="I153">
        <v>6.2069044869424115</v>
      </c>
      <c r="J153">
        <v>5.7233905057348222</v>
      </c>
      <c r="K153">
        <v>5.2918083440388655</v>
      </c>
      <c r="L153">
        <v>4.7526485362512396</v>
      </c>
      <c r="M153">
        <v>4.4442304922497948</v>
      </c>
      <c r="N153">
        <v>3.7830612274183175</v>
      </c>
      <c r="O153">
        <v>3.6360032859700282</v>
      </c>
      <c r="P153">
        <v>3.2792246225929751</v>
      </c>
      <c r="Q153">
        <v>3.1287768772971667</v>
      </c>
      <c r="R153">
        <v>3.0539507503112193</v>
      </c>
      <c r="S153">
        <v>2.9866775575356805</v>
      </c>
      <c r="T153">
        <v>2.9496163034305614</v>
      </c>
      <c r="U153">
        <v>2.7805458884814596</v>
      </c>
      <c r="V153">
        <v>2.5726218836624022</v>
      </c>
      <c r="W153">
        <v>2.4461816961589906</v>
      </c>
      <c r="X153">
        <v>2.4550807697922106</v>
      </c>
      <c r="Y153">
        <v>3.0641883745507759</v>
      </c>
      <c r="Z153">
        <v>2.802892166697085</v>
      </c>
      <c r="AA153">
        <v>2.6037030211120857</v>
      </c>
      <c r="AB153">
        <v>2.4962749118687517</v>
      </c>
      <c r="AC153">
        <v>2.6821407802533916</v>
      </c>
      <c r="AD153" t="s">
        <v>73</v>
      </c>
    </row>
    <row r="154" spans="1:30" x14ac:dyDescent="0.3">
      <c r="A154" t="s">
        <v>566</v>
      </c>
      <c r="B154" s="5" t="s">
        <v>567</v>
      </c>
      <c r="C154" t="s">
        <v>341</v>
      </c>
      <c r="D154" s="5" t="s">
        <v>342</v>
      </c>
      <c r="E154">
        <v>33.966392078719778</v>
      </c>
      <c r="F154">
        <v>34.411280936487017</v>
      </c>
      <c r="G154">
        <v>37.990648191840762</v>
      </c>
      <c r="H154">
        <v>38.348587932248265</v>
      </c>
      <c r="I154">
        <v>35.968662812320574</v>
      </c>
      <c r="J154" t="s">
        <v>73</v>
      </c>
      <c r="K154">
        <v>20.403237057539506</v>
      </c>
      <c r="L154">
        <v>19.608590823474984</v>
      </c>
      <c r="M154">
        <v>20.174872159048718</v>
      </c>
      <c r="N154">
        <v>21.643467777470402</v>
      </c>
      <c r="O154">
        <v>19.608387097954566</v>
      </c>
      <c r="P154">
        <v>19.199711371518841</v>
      </c>
      <c r="Q154">
        <v>19.273950766872339</v>
      </c>
      <c r="R154">
        <v>19.260019353334314</v>
      </c>
      <c r="S154">
        <v>17.691944275076686</v>
      </c>
      <c r="T154">
        <v>17.456930170084085</v>
      </c>
      <c r="U154">
        <v>17.866340429492599</v>
      </c>
      <c r="V154">
        <v>17.649568905744957</v>
      </c>
      <c r="W154">
        <v>16.973835520232186</v>
      </c>
      <c r="X154">
        <v>16.976445746966693</v>
      </c>
      <c r="Y154">
        <v>18.755325478087716</v>
      </c>
      <c r="Z154">
        <v>18.992787920242627</v>
      </c>
      <c r="AA154">
        <v>16.908591932501118</v>
      </c>
      <c r="AB154">
        <v>16.959590808606901</v>
      </c>
      <c r="AC154" t="s">
        <v>73</v>
      </c>
      <c r="AD154" t="s">
        <v>73</v>
      </c>
    </row>
    <row r="155" spans="1:30" x14ac:dyDescent="0.3">
      <c r="A155" t="s">
        <v>566</v>
      </c>
      <c r="B155" s="5" t="s">
        <v>567</v>
      </c>
      <c r="C155" t="s">
        <v>343</v>
      </c>
      <c r="D155" s="5" t="s">
        <v>344</v>
      </c>
      <c r="E155">
        <v>12.856657764325528</v>
      </c>
      <c r="F155">
        <v>11.373317185726979</v>
      </c>
      <c r="G155">
        <v>11.009643264468242</v>
      </c>
      <c r="H155">
        <v>13.008943267283563</v>
      </c>
      <c r="I155">
        <v>13.933350494158844</v>
      </c>
      <c r="J155">
        <v>12.713952826632715</v>
      </c>
      <c r="K155">
        <v>11.793595802627172</v>
      </c>
      <c r="L155">
        <v>12.709734775846416</v>
      </c>
      <c r="M155">
        <v>13.417645491229324</v>
      </c>
      <c r="N155">
        <v>9.9479381560453408</v>
      </c>
      <c r="O155">
        <v>13.014479782058302</v>
      </c>
      <c r="P155">
        <v>13.796226345799175</v>
      </c>
      <c r="Q155">
        <v>10.042228896802518</v>
      </c>
      <c r="R155">
        <v>12.864839578348846</v>
      </c>
      <c r="S155">
        <v>11.770856505010194</v>
      </c>
      <c r="T155">
        <v>9.4404207251938583</v>
      </c>
      <c r="U155">
        <v>10.696513407544639</v>
      </c>
      <c r="V155">
        <v>10.184824482162723</v>
      </c>
      <c r="W155">
        <v>9.9502033854755041</v>
      </c>
      <c r="X155">
        <v>9.6674736641560024</v>
      </c>
      <c r="Y155">
        <v>10.72799028221327</v>
      </c>
      <c r="Z155">
        <v>11.278900780265278</v>
      </c>
      <c r="AA155">
        <v>10.897480451264528</v>
      </c>
      <c r="AB155">
        <v>11.5900739623011</v>
      </c>
      <c r="AC155">
        <v>10.714997682780311</v>
      </c>
      <c r="AD155" t="s">
        <v>73</v>
      </c>
    </row>
    <row r="156" spans="1:30" x14ac:dyDescent="0.3">
      <c r="A156" t="s">
        <v>566</v>
      </c>
      <c r="B156" s="5" t="s">
        <v>567</v>
      </c>
      <c r="C156" t="s">
        <v>345</v>
      </c>
      <c r="D156" s="5" t="s">
        <v>346</v>
      </c>
      <c r="E156">
        <v>8.0693749169361624</v>
      </c>
      <c r="F156">
        <v>7.8936266963243797</v>
      </c>
      <c r="G156">
        <v>7.5239632364770532</v>
      </c>
      <c r="H156">
        <v>7.3129193440248219</v>
      </c>
      <c r="I156">
        <v>6.9344330620571659</v>
      </c>
      <c r="J156">
        <v>6.8542646231889259</v>
      </c>
      <c r="K156">
        <v>6.6034843301604358</v>
      </c>
      <c r="L156">
        <v>6.7058083849192816</v>
      </c>
      <c r="M156">
        <v>7.1609411457846051</v>
      </c>
      <c r="N156">
        <v>7.4039066557125706</v>
      </c>
      <c r="O156">
        <v>6.8279972359783487</v>
      </c>
      <c r="P156">
        <v>7.1001101365820452</v>
      </c>
      <c r="Q156">
        <v>6.7252342407764925</v>
      </c>
      <c r="R156">
        <v>6.6683101649140113</v>
      </c>
      <c r="S156">
        <v>6.8042474137825177</v>
      </c>
      <c r="T156">
        <v>7.0456440597204573</v>
      </c>
      <c r="U156">
        <v>6.9350346165010475</v>
      </c>
      <c r="V156">
        <v>6.7797595601092455</v>
      </c>
      <c r="W156">
        <v>6.8858428514409749</v>
      </c>
      <c r="X156">
        <v>6.8530310347723837</v>
      </c>
      <c r="Y156">
        <v>7.7158463734967997</v>
      </c>
      <c r="Z156">
        <v>7.1226634755846936</v>
      </c>
      <c r="AA156">
        <v>7.1741622920697763</v>
      </c>
      <c r="AB156">
        <v>7.2405039987112865</v>
      </c>
      <c r="AC156">
        <v>7.3374218616046951</v>
      </c>
      <c r="AD156" t="s">
        <v>73</v>
      </c>
    </row>
    <row r="157" spans="1:30" x14ac:dyDescent="0.3">
      <c r="A157" t="s">
        <v>566</v>
      </c>
      <c r="B157" s="5" t="s">
        <v>567</v>
      </c>
      <c r="C157" t="s">
        <v>347</v>
      </c>
      <c r="D157" s="5" t="s">
        <v>348</v>
      </c>
      <c r="E157">
        <v>13.941095211674694</v>
      </c>
      <c r="F157">
        <v>13.302809302832047</v>
      </c>
      <c r="G157">
        <v>13.448413414570407</v>
      </c>
      <c r="H157">
        <v>13.150947662883636</v>
      </c>
      <c r="I157">
        <v>13.984403691720148</v>
      </c>
      <c r="J157">
        <v>13.517547003593009</v>
      </c>
      <c r="K157">
        <v>13.361249106967538</v>
      </c>
      <c r="L157">
        <v>13.606507617711006</v>
      </c>
      <c r="M157">
        <v>14.51607475731336</v>
      </c>
      <c r="N157">
        <v>14.540213315315246</v>
      </c>
      <c r="O157">
        <v>13.748865052421728</v>
      </c>
      <c r="P157">
        <v>14.095735151082303</v>
      </c>
      <c r="Q157">
        <v>13.095807010678156</v>
      </c>
      <c r="R157">
        <v>12.473425104412527</v>
      </c>
      <c r="S157">
        <v>12.271681621144587</v>
      </c>
      <c r="T157">
        <v>10.996499154862333</v>
      </c>
      <c r="U157">
        <v>10.205125532561595</v>
      </c>
      <c r="V157">
        <v>10.182954131410888</v>
      </c>
      <c r="W157">
        <v>9.6501403581530649</v>
      </c>
      <c r="X157">
        <v>8.8203237473052454</v>
      </c>
      <c r="Y157">
        <v>10.185311031761547</v>
      </c>
      <c r="Z157">
        <v>10.069164020487577</v>
      </c>
      <c r="AA157">
        <v>9.5517680441432606</v>
      </c>
      <c r="AB157">
        <v>9.4003665287069857</v>
      </c>
      <c r="AC157">
        <v>9.0825267848700708</v>
      </c>
      <c r="AD157" t="s">
        <v>73</v>
      </c>
    </row>
    <row r="158" spans="1:30" x14ac:dyDescent="0.3">
      <c r="A158" t="s">
        <v>566</v>
      </c>
      <c r="B158" s="5" t="s">
        <v>567</v>
      </c>
      <c r="C158" t="s">
        <v>32</v>
      </c>
      <c r="D158" s="5" t="s">
        <v>349</v>
      </c>
      <c r="E158">
        <v>3.1905000738356915</v>
      </c>
      <c r="F158">
        <v>3.3249501785930309</v>
      </c>
      <c r="G158">
        <v>2.8094162698217882</v>
      </c>
      <c r="H158">
        <v>2.6917615391040717</v>
      </c>
      <c r="I158">
        <v>3.3335858211383504</v>
      </c>
      <c r="J158">
        <v>2.9676037181375485</v>
      </c>
      <c r="K158">
        <v>2.7459182485151974</v>
      </c>
      <c r="L158">
        <v>3.094087083729181</v>
      </c>
      <c r="M158">
        <v>2.6430949947265194</v>
      </c>
      <c r="N158">
        <v>2.6264062504543326</v>
      </c>
      <c r="O158">
        <v>2.9155481566260883</v>
      </c>
      <c r="P158">
        <v>3.1718070124397748</v>
      </c>
      <c r="Q158">
        <v>2.9856211342080901</v>
      </c>
      <c r="R158">
        <v>3.226525368672486</v>
      </c>
      <c r="S158">
        <v>2.9711990223279936</v>
      </c>
      <c r="T158">
        <v>2.4836369423794902</v>
      </c>
      <c r="U158">
        <v>2.6237968659563977</v>
      </c>
      <c r="V158">
        <v>2.9853728598643055</v>
      </c>
      <c r="W158">
        <v>2.4156413686616656</v>
      </c>
      <c r="X158">
        <v>2.3702974464644333</v>
      </c>
      <c r="Y158">
        <v>2.5684442354741552</v>
      </c>
      <c r="Z158">
        <v>2.2455230436164624</v>
      </c>
      <c r="AA158">
        <v>2.8060693035780511</v>
      </c>
      <c r="AB158">
        <v>2.7653710946764445</v>
      </c>
      <c r="AC158">
        <v>2.5403237284832456</v>
      </c>
      <c r="AD158" t="s">
        <v>73</v>
      </c>
    </row>
    <row r="159" spans="1:30" x14ac:dyDescent="0.3">
      <c r="A159" t="s">
        <v>566</v>
      </c>
      <c r="B159" s="5" t="s">
        <v>567</v>
      </c>
      <c r="C159" t="s">
        <v>33</v>
      </c>
      <c r="D159" s="5" t="s">
        <v>350</v>
      </c>
      <c r="E159">
        <v>3.1097482841591537</v>
      </c>
      <c r="F159">
        <v>2.9607495735831626</v>
      </c>
      <c r="G159">
        <v>2.7228908615661673</v>
      </c>
      <c r="H159">
        <v>2.6511807957093474</v>
      </c>
      <c r="I159">
        <v>2.6021411799775507</v>
      </c>
      <c r="J159">
        <v>2.3034933544873506</v>
      </c>
      <c r="K159">
        <v>2.2531375152081403</v>
      </c>
      <c r="L159">
        <v>1.9981559395466697</v>
      </c>
      <c r="M159">
        <v>1.963771852319814</v>
      </c>
      <c r="N159">
        <v>1.9506262118412541</v>
      </c>
      <c r="O159">
        <v>1.9403487097609411</v>
      </c>
      <c r="P159">
        <v>1.8384390598892963</v>
      </c>
      <c r="Q159">
        <v>1.9200468734934844</v>
      </c>
      <c r="R159">
        <v>2.0418870649790235</v>
      </c>
      <c r="S159">
        <v>1.9765910148438568</v>
      </c>
      <c r="T159">
        <v>1.9754125012962482</v>
      </c>
      <c r="U159">
        <v>1.9223584083783245</v>
      </c>
      <c r="V159">
        <v>1.9636734520682451</v>
      </c>
      <c r="W159">
        <v>1.9181747091866608</v>
      </c>
      <c r="X159">
        <v>1.9999184576970395</v>
      </c>
      <c r="Y159">
        <v>2.1408969252042844</v>
      </c>
      <c r="Z159">
        <v>2.1620462983815076</v>
      </c>
      <c r="AA159">
        <v>1.9054367619393517</v>
      </c>
      <c r="AB159">
        <v>2.1372106942631199</v>
      </c>
      <c r="AC159">
        <v>2.0216712086775388</v>
      </c>
      <c r="AD159" t="s">
        <v>73</v>
      </c>
    </row>
    <row r="160" spans="1:30" x14ac:dyDescent="0.3">
      <c r="A160" t="s">
        <v>566</v>
      </c>
      <c r="B160" s="5" t="s">
        <v>567</v>
      </c>
      <c r="C160" t="s">
        <v>351</v>
      </c>
      <c r="D160" s="5" t="s">
        <v>352</v>
      </c>
      <c r="E160">
        <v>0.66011040196558279</v>
      </c>
      <c r="F160">
        <v>0.58778992145462117</v>
      </c>
      <c r="G160">
        <v>0.53362374081132591</v>
      </c>
      <c r="H160">
        <v>0.56316269174126055</v>
      </c>
      <c r="I160">
        <v>0.62660048148762848</v>
      </c>
      <c r="J160">
        <v>0.59497139739984428</v>
      </c>
      <c r="K160">
        <v>0.59082213745864387</v>
      </c>
      <c r="L160">
        <v>0.4805712072386078</v>
      </c>
      <c r="M160">
        <v>0.55394391030261869</v>
      </c>
      <c r="N160">
        <v>0.58836589698046182</v>
      </c>
      <c r="O160">
        <v>0.83552463730404047</v>
      </c>
      <c r="P160">
        <v>0.79221378412124566</v>
      </c>
      <c r="Q160">
        <v>0.80382179652793095</v>
      </c>
      <c r="R160">
        <v>0.82645192776964371</v>
      </c>
      <c r="S160">
        <v>0.84639877867125834</v>
      </c>
      <c r="T160">
        <v>0.82698511736339853</v>
      </c>
      <c r="U160">
        <v>0.80566090359384568</v>
      </c>
      <c r="V160">
        <v>0.81867621374544941</v>
      </c>
      <c r="W160">
        <v>0.70791744297881998</v>
      </c>
      <c r="X160">
        <v>0.68232147205649574</v>
      </c>
      <c r="Y160">
        <v>0.66100460676674022</v>
      </c>
      <c r="Z160">
        <v>0.67304602420823367</v>
      </c>
      <c r="AA160">
        <v>0.66398052768840088</v>
      </c>
      <c r="AB160">
        <v>0.70561174032777518</v>
      </c>
      <c r="AC160">
        <v>0.70086750366346495</v>
      </c>
      <c r="AD160" t="s">
        <v>73</v>
      </c>
    </row>
    <row r="161" spans="1:30" x14ac:dyDescent="0.3">
      <c r="A161" t="s">
        <v>566</v>
      </c>
      <c r="B161" s="5" t="s">
        <v>567</v>
      </c>
      <c r="C161" t="s">
        <v>353</v>
      </c>
      <c r="D161" s="5" t="s">
        <v>354</v>
      </c>
      <c r="E161">
        <v>0.37279955449679797</v>
      </c>
      <c r="F161">
        <v>0.37593984962406013</v>
      </c>
      <c r="G161">
        <v>0.25679586856591563</v>
      </c>
      <c r="H161">
        <v>0.23464039316857918</v>
      </c>
      <c r="I161">
        <v>0.18179929357988781</v>
      </c>
      <c r="J161">
        <v>0.13325847826221071</v>
      </c>
      <c r="K161">
        <v>0.1218351074630772</v>
      </c>
      <c r="L161">
        <v>0.10994237503101822</v>
      </c>
      <c r="M161">
        <v>0.1246475667507978</v>
      </c>
      <c r="N161">
        <v>0.12331945638311619</v>
      </c>
      <c r="O161">
        <v>0.11933253778308145</v>
      </c>
      <c r="P161">
        <v>9.6610130636546138E-2</v>
      </c>
      <c r="Q161">
        <v>9.4254448780573874E-2</v>
      </c>
      <c r="R161">
        <v>9.6078211811675654E-2</v>
      </c>
      <c r="S161">
        <v>0.11723048312280693</v>
      </c>
      <c r="T161">
        <v>0.16136347036772189</v>
      </c>
      <c r="U161">
        <v>0.18395632847792434</v>
      </c>
      <c r="V161">
        <v>0.21469949744287614</v>
      </c>
      <c r="W161">
        <v>0.2183294872179099</v>
      </c>
      <c r="X161">
        <v>0.25997208687958728</v>
      </c>
      <c r="Y161">
        <v>0.33881344904862093</v>
      </c>
      <c r="Z161">
        <v>0.29821544575642939</v>
      </c>
      <c r="AA161">
        <v>0.25653218832096708</v>
      </c>
      <c r="AB161">
        <v>0.28697741980751024</v>
      </c>
      <c r="AC161">
        <v>0.28730733360743693</v>
      </c>
      <c r="AD161" t="s">
        <v>73</v>
      </c>
    </row>
    <row r="162" spans="1:30" x14ac:dyDescent="0.3">
      <c r="A162" t="s">
        <v>566</v>
      </c>
      <c r="B162" s="5" t="s">
        <v>567</v>
      </c>
      <c r="C162" t="s">
        <v>355</v>
      </c>
      <c r="D162" s="5" t="s">
        <v>356</v>
      </c>
      <c r="E162">
        <v>10.853918051861497</v>
      </c>
      <c r="F162">
        <v>13.149600396621899</v>
      </c>
      <c r="G162">
        <v>11.342437685318659</v>
      </c>
      <c r="H162">
        <v>11.914384089838556</v>
      </c>
      <c r="I162">
        <v>12.705511460907612</v>
      </c>
      <c r="J162">
        <v>8.4861042892067573</v>
      </c>
      <c r="K162">
        <v>7.82080658741648</v>
      </c>
      <c r="L162">
        <v>5.5015009710092597</v>
      </c>
      <c r="M162">
        <v>6.301930565728485</v>
      </c>
      <c r="N162">
        <v>6.1161426325191233</v>
      </c>
      <c r="O162">
        <v>5.1772466335768037</v>
      </c>
      <c r="P162">
        <v>5.9508884858702222</v>
      </c>
      <c r="Q162">
        <v>4.5407972477148402</v>
      </c>
      <c r="R162">
        <v>5.5097255689212421</v>
      </c>
      <c r="S162">
        <v>4.948340945276235</v>
      </c>
      <c r="T162">
        <v>4.4259296839541893</v>
      </c>
      <c r="U162">
        <v>4.2921753725523981</v>
      </c>
      <c r="V162">
        <v>4.4388428368219373</v>
      </c>
      <c r="W162">
        <v>4.5066088928042749</v>
      </c>
      <c r="X162">
        <v>4.3114783131999221</v>
      </c>
      <c r="Y162">
        <v>4.0718442624068221</v>
      </c>
      <c r="Z162">
        <v>4.616339720377999</v>
      </c>
      <c r="AA162">
        <v>3.8180329334626992</v>
      </c>
      <c r="AB162">
        <v>3.3241690991679769</v>
      </c>
      <c r="AC162">
        <v>2.8114352836341725</v>
      </c>
      <c r="AD162" t="s">
        <v>73</v>
      </c>
    </row>
    <row r="163" spans="1:30" x14ac:dyDescent="0.3">
      <c r="A163" t="s">
        <v>566</v>
      </c>
      <c r="B163" s="5" t="s">
        <v>567</v>
      </c>
      <c r="C163" t="s">
        <v>35</v>
      </c>
      <c r="D163" s="5" t="s">
        <v>357</v>
      </c>
      <c r="E163">
        <v>5.7517156284995616</v>
      </c>
      <c r="F163">
        <v>5.8757215676796353</v>
      </c>
      <c r="G163">
        <v>5.565713752827663</v>
      </c>
      <c r="H163">
        <v>5.5029460521483093</v>
      </c>
      <c r="I163">
        <v>4.9044419479773191</v>
      </c>
      <c r="J163">
        <v>4.2559160059749415</v>
      </c>
      <c r="K163">
        <v>3.861312471233834</v>
      </c>
      <c r="L163">
        <v>3.7789017062609016</v>
      </c>
      <c r="M163">
        <v>3.7533411881349079</v>
      </c>
      <c r="N163">
        <v>4.0844486971841683</v>
      </c>
      <c r="O163">
        <v>3.34389824902191</v>
      </c>
      <c r="P163">
        <v>3.1507257212962041</v>
      </c>
      <c r="Q163">
        <v>2.9260308777535338</v>
      </c>
      <c r="R163">
        <v>2.9936004877667814</v>
      </c>
      <c r="S163">
        <v>3.3606054880425154</v>
      </c>
      <c r="T163">
        <v>3.8731044873229878</v>
      </c>
      <c r="U163">
        <v>3.8402172845995084</v>
      </c>
      <c r="V163">
        <v>3.5536320899097591</v>
      </c>
      <c r="W163">
        <v>3.394253380697601</v>
      </c>
      <c r="X163">
        <v>3.5303029139216644</v>
      </c>
      <c r="Y163">
        <v>4.0063516340154619</v>
      </c>
      <c r="Z163">
        <v>3.6715637899051656</v>
      </c>
      <c r="AA163">
        <v>3.4202935361280788</v>
      </c>
      <c r="AB163">
        <v>2.9722358978066059</v>
      </c>
      <c r="AC163">
        <v>2.7435724338742578</v>
      </c>
      <c r="AD163" t="s">
        <v>73</v>
      </c>
    </row>
    <row r="164" spans="1:30" x14ac:dyDescent="0.3">
      <c r="A164" t="s">
        <v>566</v>
      </c>
      <c r="B164" s="5" t="s">
        <v>567</v>
      </c>
      <c r="C164" t="s">
        <v>358</v>
      </c>
      <c r="D164" s="5" t="s">
        <v>359</v>
      </c>
      <c r="E164">
        <v>31.184987178904112</v>
      </c>
      <c r="F164">
        <v>31.79400060449052</v>
      </c>
      <c r="G164">
        <v>30.194686574194186</v>
      </c>
      <c r="H164">
        <v>33.035367243809496</v>
      </c>
      <c r="I164">
        <v>33.89526182405104</v>
      </c>
      <c r="J164">
        <v>33.775616529302212</v>
      </c>
      <c r="K164">
        <v>30.02610800282504</v>
      </c>
      <c r="L164">
        <v>26.06848412169397</v>
      </c>
      <c r="M164">
        <v>24.780513329917557</v>
      </c>
      <c r="N164">
        <v>25.357527327914926</v>
      </c>
      <c r="O164">
        <v>24.314489398543905</v>
      </c>
      <c r="P164">
        <v>23.837195954405725</v>
      </c>
      <c r="Q164">
        <v>24.765432008533971</v>
      </c>
      <c r="R164">
        <v>24.920316746409366</v>
      </c>
      <c r="S164">
        <v>24.688320785452117</v>
      </c>
      <c r="T164">
        <v>23.981004527425068</v>
      </c>
      <c r="U164">
        <v>25.152709482632719</v>
      </c>
      <c r="V164">
        <v>26.345437663544523</v>
      </c>
      <c r="W164">
        <v>24.622724616556606</v>
      </c>
      <c r="X164">
        <v>23.560629300382992</v>
      </c>
      <c r="Y164">
        <v>26.655919549696662</v>
      </c>
      <c r="Z164">
        <v>24.070696622017877</v>
      </c>
      <c r="AA164">
        <v>24.886975847495968</v>
      </c>
      <c r="AB164">
        <v>26.612127488197984</v>
      </c>
      <c r="AC164">
        <v>24.580769608907794</v>
      </c>
      <c r="AD164" t="s">
        <v>73</v>
      </c>
    </row>
    <row r="165" spans="1:30" x14ac:dyDescent="0.3">
      <c r="A165" t="s">
        <v>566</v>
      </c>
      <c r="B165" s="5" t="s">
        <v>567</v>
      </c>
      <c r="C165" t="s">
        <v>360</v>
      </c>
      <c r="D165" s="5" t="s">
        <v>361</v>
      </c>
      <c r="E165">
        <v>15.076354982094617</v>
      </c>
      <c r="F165">
        <v>13.228133810251864</v>
      </c>
      <c r="G165">
        <v>11.992259359491126</v>
      </c>
      <c r="H165">
        <v>10.988877543094548</v>
      </c>
      <c r="I165">
        <v>11.740368106288457</v>
      </c>
      <c r="J165">
        <v>12.486575041753854</v>
      </c>
      <c r="K165">
        <v>10.986002183184699</v>
      </c>
      <c r="L165">
        <v>10.664989546205293</v>
      </c>
      <c r="M165">
        <v>10.029857635792274</v>
      </c>
      <c r="N165">
        <v>11.237405020329639</v>
      </c>
      <c r="O165">
        <v>10.142094869398814</v>
      </c>
      <c r="P165">
        <v>8.7491476805286243</v>
      </c>
      <c r="Q165">
        <v>8.9906254249142776</v>
      </c>
      <c r="R165">
        <v>9.3669869517715796</v>
      </c>
      <c r="S165">
        <v>8.9774306405591755</v>
      </c>
      <c r="T165">
        <v>8.32395364948745</v>
      </c>
      <c r="U165">
        <v>8.644397677391872</v>
      </c>
      <c r="V165">
        <v>9.9075756417590597</v>
      </c>
      <c r="W165">
        <v>9.1476603384344628</v>
      </c>
      <c r="X165">
        <v>9.1045487514940859</v>
      </c>
      <c r="Y165">
        <v>9.536429892621209</v>
      </c>
      <c r="Z165">
        <v>9.6717014014104699</v>
      </c>
      <c r="AA165">
        <v>9.3567373585657556</v>
      </c>
      <c r="AB165">
        <v>9.8540851704516239</v>
      </c>
      <c r="AC165">
        <v>9.7950306060277725</v>
      </c>
      <c r="AD165" t="s">
        <v>73</v>
      </c>
    </row>
    <row r="166" spans="1:30" x14ac:dyDescent="0.3">
      <c r="A166" t="s">
        <v>566</v>
      </c>
      <c r="B166" s="5" t="s">
        <v>567</v>
      </c>
      <c r="C166" t="s">
        <v>362</v>
      </c>
      <c r="D166" s="5" t="s">
        <v>363</v>
      </c>
      <c r="E166" t="s">
        <v>73</v>
      </c>
      <c r="F166" t="s">
        <v>73</v>
      </c>
      <c r="G166" t="s">
        <v>73</v>
      </c>
      <c r="H166" t="s">
        <v>73</v>
      </c>
      <c r="I166" t="s">
        <v>73</v>
      </c>
      <c r="J166" t="s">
        <v>73</v>
      </c>
      <c r="K166" t="s">
        <v>73</v>
      </c>
      <c r="L166" t="s">
        <v>73</v>
      </c>
      <c r="M166" t="s">
        <v>73</v>
      </c>
      <c r="N166" t="s">
        <v>73</v>
      </c>
      <c r="O166" t="s">
        <v>73</v>
      </c>
      <c r="P166" t="s">
        <v>73</v>
      </c>
      <c r="Q166" t="s">
        <v>73</v>
      </c>
      <c r="R166" t="s">
        <v>73</v>
      </c>
      <c r="S166" t="s">
        <v>73</v>
      </c>
      <c r="T166">
        <v>2.0054109686185723E-2</v>
      </c>
      <c r="U166">
        <v>1.362387299611929E-2</v>
      </c>
      <c r="V166">
        <v>2.0478860097784539E-2</v>
      </c>
      <c r="W166">
        <v>1.640669827199805E-2</v>
      </c>
      <c r="X166">
        <v>1.5277475932929906E-2</v>
      </c>
      <c r="Y166">
        <v>1.4100916898355595E-2</v>
      </c>
      <c r="Z166">
        <v>1.6625392781930412E-2</v>
      </c>
      <c r="AA166">
        <v>1.1488916733326745E-2</v>
      </c>
      <c r="AB166">
        <v>1.5093248608571265E-2</v>
      </c>
      <c r="AC166" t="s">
        <v>73</v>
      </c>
      <c r="AD166" t="s">
        <v>73</v>
      </c>
    </row>
    <row r="167" spans="1:30" x14ac:dyDescent="0.3">
      <c r="A167" t="s">
        <v>566</v>
      </c>
      <c r="B167" s="5" t="s">
        <v>567</v>
      </c>
      <c r="C167" t="s">
        <v>364</v>
      </c>
      <c r="D167" s="5" t="s">
        <v>365</v>
      </c>
      <c r="E167" t="s">
        <v>73</v>
      </c>
      <c r="F167" t="s">
        <v>73</v>
      </c>
      <c r="G167" t="s">
        <v>73</v>
      </c>
      <c r="H167" t="s">
        <v>73</v>
      </c>
      <c r="I167" t="s">
        <v>73</v>
      </c>
      <c r="J167" t="s">
        <v>73</v>
      </c>
      <c r="K167" t="s">
        <v>73</v>
      </c>
      <c r="L167" t="s">
        <v>73</v>
      </c>
      <c r="M167">
        <v>9.477674520785131</v>
      </c>
      <c r="N167">
        <v>10.491622999738635</v>
      </c>
      <c r="O167">
        <v>11.631893027032266</v>
      </c>
      <c r="P167">
        <v>12.331907437855701</v>
      </c>
      <c r="Q167">
        <v>13.068343331416424</v>
      </c>
      <c r="R167">
        <v>13.406960343823094</v>
      </c>
      <c r="S167">
        <v>13.279576863664511</v>
      </c>
      <c r="T167">
        <v>14.134869068550904</v>
      </c>
      <c r="U167">
        <v>13.051402225734563</v>
      </c>
      <c r="V167">
        <v>12.747518713729109</v>
      </c>
      <c r="W167">
        <v>11.818122211028316</v>
      </c>
      <c r="X167">
        <v>11.929654819469627</v>
      </c>
      <c r="Y167">
        <v>14.147049801915076</v>
      </c>
      <c r="Z167">
        <v>15.266176623936362</v>
      </c>
      <c r="AA167">
        <v>13.931757705354771</v>
      </c>
      <c r="AB167">
        <v>13.478505265829209</v>
      </c>
      <c r="AC167">
        <v>12.505280443591385</v>
      </c>
      <c r="AD167" t="s">
        <v>73</v>
      </c>
    </row>
    <row r="168" spans="1:30" x14ac:dyDescent="0.3">
      <c r="A168" t="s">
        <v>566</v>
      </c>
      <c r="B168" s="5" t="s">
        <v>567</v>
      </c>
      <c r="C168" t="s">
        <v>50</v>
      </c>
      <c r="D168" s="5" t="s">
        <v>366</v>
      </c>
      <c r="E168">
        <v>4.9009330487236884</v>
      </c>
      <c r="F168">
        <v>5.1348556731487758</v>
      </c>
      <c r="G168">
        <v>5.0375375164200262</v>
      </c>
      <c r="H168">
        <v>4.4718817614197324</v>
      </c>
      <c r="I168">
        <v>3.8683559332689534</v>
      </c>
      <c r="J168">
        <v>3.1854016709850983</v>
      </c>
      <c r="K168">
        <v>2.9199619409546358</v>
      </c>
      <c r="L168">
        <v>2.7427674783667464</v>
      </c>
      <c r="M168">
        <v>2.2926907848092433</v>
      </c>
      <c r="N168">
        <v>2.8304343313755309</v>
      </c>
      <c r="O168">
        <v>2.6191223852445855</v>
      </c>
      <c r="P168">
        <v>2.1528882912996705</v>
      </c>
      <c r="Q168">
        <v>2.0620951482513243</v>
      </c>
      <c r="R168">
        <v>2.1478328709644341</v>
      </c>
      <c r="S168">
        <v>2.2794041921198551</v>
      </c>
      <c r="T168">
        <v>2.7538703167014318</v>
      </c>
      <c r="U168">
        <v>2.9180229944467615</v>
      </c>
      <c r="V168">
        <v>2.8352570089087212</v>
      </c>
      <c r="W168">
        <v>2.4139615438525568</v>
      </c>
      <c r="X168">
        <v>2.4538465646148095</v>
      </c>
      <c r="Y168">
        <v>2.9555697462720723</v>
      </c>
      <c r="Z168">
        <v>2.448127926916273</v>
      </c>
      <c r="AA168">
        <v>2.2147915908036357</v>
      </c>
      <c r="AB168">
        <v>2.4576929911250036</v>
      </c>
      <c r="AC168">
        <v>2.5357330521133763</v>
      </c>
      <c r="AD168" t="s">
        <v>73</v>
      </c>
    </row>
    <row r="169" spans="1:30" x14ac:dyDescent="0.3">
      <c r="A169" t="s">
        <v>566</v>
      </c>
      <c r="B169" s="5" t="s">
        <v>567</v>
      </c>
      <c r="C169" t="s">
        <v>367</v>
      </c>
      <c r="D169" s="5" t="s">
        <v>368</v>
      </c>
      <c r="E169">
        <v>16.43924520347143</v>
      </c>
      <c r="F169">
        <v>16.252432309358873</v>
      </c>
      <c r="G169">
        <v>13.380780125072564</v>
      </c>
      <c r="H169">
        <v>15.491099838104464</v>
      </c>
      <c r="I169">
        <v>14.201799538799964</v>
      </c>
      <c r="J169">
        <v>15.180396414356245</v>
      </c>
      <c r="K169">
        <v>13.395151586700276</v>
      </c>
      <c r="L169">
        <v>12.245910572880565</v>
      </c>
      <c r="M169">
        <v>14.686627024355573</v>
      </c>
      <c r="N169">
        <v>16.107733616907502</v>
      </c>
      <c r="O169">
        <v>15.945261535619034</v>
      </c>
      <c r="P169">
        <v>12.947061035201681</v>
      </c>
      <c r="Q169">
        <v>14.097692352370411</v>
      </c>
      <c r="R169">
        <v>13.724880375540085</v>
      </c>
      <c r="S169">
        <v>13.368765076026806</v>
      </c>
      <c r="T169">
        <v>14.282576734404515</v>
      </c>
      <c r="U169">
        <v>14.4140203888971</v>
      </c>
      <c r="V169">
        <v>14.982033820119694</v>
      </c>
      <c r="W169">
        <v>14.987519557884719</v>
      </c>
      <c r="X169">
        <v>14.896272123444476</v>
      </c>
      <c r="Y169">
        <v>16.148779482443327</v>
      </c>
      <c r="Z169">
        <v>15.551264622207587</v>
      </c>
      <c r="AA169">
        <v>16.333323196840553</v>
      </c>
      <c r="AB169">
        <v>17.411251214186272</v>
      </c>
      <c r="AC169">
        <v>16.634411250113821</v>
      </c>
      <c r="AD169" t="s">
        <v>73</v>
      </c>
    </row>
    <row r="170" spans="1:30" x14ac:dyDescent="0.3">
      <c r="A170" t="s">
        <v>566</v>
      </c>
      <c r="B170" s="5" t="s">
        <v>567</v>
      </c>
      <c r="C170" t="s">
        <v>369</v>
      </c>
      <c r="D170" s="5" t="s">
        <v>370</v>
      </c>
      <c r="E170">
        <v>14.666977831655418</v>
      </c>
      <c r="F170">
        <v>12.777782295560735</v>
      </c>
      <c r="G170">
        <v>8.5101391349486626</v>
      </c>
      <c r="H170">
        <v>7.0290411212183823</v>
      </c>
      <c r="I170">
        <v>7.6270974479699172</v>
      </c>
      <c r="J170">
        <v>6.1601369401316486</v>
      </c>
      <c r="K170">
        <v>6.2222320023568933</v>
      </c>
      <c r="L170">
        <v>5.5048656514914809</v>
      </c>
      <c r="M170">
        <v>6.3597734784611681</v>
      </c>
      <c r="N170">
        <v>5.9915950317674245</v>
      </c>
      <c r="O170">
        <v>6.1165094188943714</v>
      </c>
      <c r="P170">
        <v>6.3480045177527256</v>
      </c>
      <c r="Q170">
        <v>6.0436401421563914</v>
      </c>
      <c r="R170">
        <v>6.2996519172896157</v>
      </c>
      <c r="S170">
        <v>6.117375335927842</v>
      </c>
      <c r="T170">
        <v>5.6059531913852902</v>
      </c>
      <c r="U170">
        <v>5.7066409657147172</v>
      </c>
      <c r="V170">
        <v>5.0577860652560593</v>
      </c>
      <c r="W170">
        <v>5.2046865107897817</v>
      </c>
      <c r="X170">
        <v>4.7647485149319611</v>
      </c>
      <c r="Y170">
        <v>5.0537376940174124</v>
      </c>
      <c r="Z170">
        <v>5.1558646987906371</v>
      </c>
      <c r="AA170">
        <v>5.3379422377503216</v>
      </c>
      <c r="AB170">
        <v>3.7865339609727182</v>
      </c>
      <c r="AC170">
        <v>3.172270140922707</v>
      </c>
      <c r="AD170" t="s">
        <v>73</v>
      </c>
    </row>
    <row r="171" spans="1:30" x14ac:dyDescent="0.3">
      <c r="A171" t="s">
        <v>566</v>
      </c>
      <c r="B171" s="5" t="s">
        <v>567</v>
      </c>
      <c r="C171" t="s">
        <v>371</v>
      </c>
      <c r="D171" s="5" t="s">
        <v>372</v>
      </c>
      <c r="E171">
        <v>2.6410027324675363</v>
      </c>
      <c r="F171">
        <v>2.6378440030689503</v>
      </c>
      <c r="G171">
        <v>2.693623391087228</v>
      </c>
      <c r="H171">
        <v>2.4614478105593793</v>
      </c>
      <c r="I171">
        <v>3.2271043751574857</v>
      </c>
      <c r="J171">
        <v>3.0380091530517381</v>
      </c>
      <c r="K171">
        <v>2.7822633794134806</v>
      </c>
      <c r="L171">
        <v>2.6279025215154608</v>
      </c>
      <c r="M171">
        <v>2.5363215614156145</v>
      </c>
      <c r="N171">
        <v>2.2412889699431471</v>
      </c>
      <c r="O171">
        <v>2.2354593461832764</v>
      </c>
      <c r="P171">
        <v>2.1934621838863526</v>
      </c>
      <c r="Q171">
        <v>1.9998527993194151</v>
      </c>
      <c r="R171">
        <v>2.7127603471947399</v>
      </c>
      <c r="S171">
        <v>2.3307549344068161</v>
      </c>
      <c r="T171">
        <v>2.0530744656411479</v>
      </c>
      <c r="U171">
        <v>1.9149122831202983</v>
      </c>
      <c r="V171">
        <v>2.1318078659801256</v>
      </c>
      <c r="W171">
        <v>2.0783484846251961</v>
      </c>
      <c r="X171">
        <v>2.1295544508769102</v>
      </c>
      <c r="Y171">
        <v>1.9612453555729665</v>
      </c>
      <c r="Z171">
        <v>2.4446626383124075</v>
      </c>
      <c r="AA171">
        <v>2.4356014525146867</v>
      </c>
      <c r="AB171">
        <v>2.4964533561470681</v>
      </c>
      <c r="AC171">
        <v>2.4510251894725403</v>
      </c>
      <c r="AD171" t="s">
        <v>73</v>
      </c>
    </row>
    <row r="172" spans="1:30" x14ac:dyDescent="0.3">
      <c r="A172" t="s">
        <v>566</v>
      </c>
      <c r="B172" s="5" t="s">
        <v>567</v>
      </c>
      <c r="C172" t="s">
        <v>373</v>
      </c>
      <c r="D172" s="5" t="s">
        <v>374</v>
      </c>
      <c r="E172">
        <v>55.014162091298878</v>
      </c>
      <c r="F172">
        <v>45.790892089481638</v>
      </c>
      <c r="G172">
        <v>46.853678075837777</v>
      </c>
      <c r="H172">
        <v>46.902317349590653</v>
      </c>
      <c r="I172">
        <v>49.1070997045261</v>
      </c>
      <c r="J172">
        <v>50.102875714992543</v>
      </c>
      <c r="K172">
        <v>27.540313367594809</v>
      </c>
      <c r="L172">
        <v>28.398431609498086</v>
      </c>
      <c r="M172">
        <v>28.997476870533458</v>
      </c>
      <c r="N172">
        <v>30.471974590475469</v>
      </c>
      <c r="O172">
        <v>30.542621858137014</v>
      </c>
      <c r="P172">
        <v>31.584661560954157</v>
      </c>
      <c r="Q172">
        <v>30.657093716286433</v>
      </c>
      <c r="R172">
        <v>30.12323224687589</v>
      </c>
      <c r="S172">
        <v>31.904395297607923</v>
      </c>
      <c r="T172">
        <v>34.302555490989725</v>
      </c>
      <c r="U172">
        <v>32.577691338775686</v>
      </c>
      <c r="V172">
        <v>33.332050694783703</v>
      </c>
      <c r="W172">
        <v>34.985234579133717</v>
      </c>
      <c r="X172">
        <v>34.54718098647502</v>
      </c>
      <c r="Y172">
        <v>35.129385715550043</v>
      </c>
      <c r="Z172">
        <v>33.644343099399435</v>
      </c>
      <c r="AA172">
        <v>33.756852667594821</v>
      </c>
      <c r="AB172">
        <v>29.052620232572039</v>
      </c>
      <c r="AC172">
        <v>29.158482978790019</v>
      </c>
      <c r="AD172" t="s">
        <v>73</v>
      </c>
    </row>
    <row r="173" spans="1:30" x14ac:dyDescent="0.3">
      <c r="A173" t="s">
        <v>566</v>
      </c>
      <c r="B173" s="5" t="s">
        <v>567</v>
      </c>
      <c r="C173" t="s">
        <v>375</v>
      </c>
      <c r="D173" s="5" t="s">
        <v>376</v>
      </c>
      <c r="E173">
        <v>9.2131732680321002E-2</v>
      </c>
      <c r="F173">
        <v>8.2356655909540694E-2</v>
      </c>
      <c r="G173">
        <v>7.1032800014001363E-2</v>
      </c>
      <c r="H173">
        <v>6.1134072311026647E-2</v>
      </c>
      <c r="I173">
        <v>5.5648989626246571E-2</v>
      </c>
      <c r="J173">
        <v>5.5048114214259862E-2</v>
      </c>
      <c r="K173">
        <v>4.8865424451682515E-2</v>
      </c>
      <c r="L173">
        <v>4.286799737144735E-2</v>
      </c>
      <c r="M173">
        <v>4.1432188466446869E-2</v>
      </c>
      <c r="N173">
        <v>4.0687761270138054E-2</v>
      </c>
      <c r="O173">
        <v>3.614898888342135E-2</v>
      </c>
      <c r="P173">
        <v>3.4607600751235389E-2</v>
      </c>
      <c r="Q173">
        <v>3.3272726533169004E-2</v>
      </c>
      <c r="R173">
        <v>3.4375216793813404E-2</v>
      </c>
      <c r="S173">
        <v>3.4540851073536168E-2</v>
      </c>
      <c r="T173">
        <v>3.2613513802648333E-2</v>
      </c>
      <c r="U173">
        <v>3.1521289438126224E-2</v>
      </c>
      <c r="V173">
        <v>3.0763583755226389E-2</v>
      </c>
      <c r="W173">
        <v>3.0117148236328394E-2</v>
      </c>
      <c r="X173">
        <v>3.2252130199608528E-2</v>
      </c>
      <c r="Y173">
        <v>3.281725211869508E-2</v>
      </c>
      <c r="Z173">
        <v>3.0551368665513827E-2</v>
      </c>
      <c r="AA173">
        <v>2.597731637364643E-2</v>
      </c>
      <c r="AB173">
        <v>2.8849802007551339E-2</v>
      </c>
      <c r="AC173">
        <v>2.7439170694473516E-2</v>
      </c>
      <c r="AD173" t="s">
        <v>73</v>
      </c>
    </row>
    <row r="174" spans="1:30" x14ac:dyDescent="0.3">
      <c r="A174" t="s">
        <v>566</v>
      </c>
      <c r="B174" s="5" t="s">
        <v>567</v>
      </c>
      <c r="C174" t="s">
        <v>377</v>
      </c>
      <c r="D174" s="5" t="s">
        <v>378</v>
      </c>
      <c r="E174" t="s">
        <v>73</v>
      </c>
      <c r="F174" t="s">
        <v>73</v>
      </c>
      <c r="G174" t="s">
        <v>73</v>
      </c>
      <c r="H174" t="s">
        <v>73</v>
      </c>
      <c r="I174" t="s">
        <v>73</v>
      </c>
      <c r="J174" t="s">
        <v>73</v>
      </c>
      <c r="K174" t="s">
        <v>73</v>
      </c>
      <c r="L174" t="s">
        <v>73</v>
      </c>
      <c r="M174" t="s">
        <v>73</v>
      </c>
      <c r="N174" t="s">
        <v>73</v>
      </c>
      <c r="O174" t="s">
        <v>73</v>
      </c>
      <c r="P174">
        <v>0.11936022917164002</v>
      </c>
      <c r="Q174">
        <v>0.11900039666798889</v>
      </c>
      <c r="R174">
        <v>7.6460950300382302E-2</v>
      </c>
      <c r="S174" t="s">
        <v>73</v>
      </c>
      <c r="T174" t="s">
        <v>73</v>
      </c>
      <c r="U174" t="s">
        <v>73</v>
      </c>
      <c r="V174" t="s">
        <v>73</v>
      </c>
      <c r="W174" t="s">
        <v>73</v>
      </c>
      <c r="X174" t="s">
        <v>73</v>
      </c>
      <c r="Y174" t="s">
        <v>73</v>
      </c>
      <c r="Z174" t="s">
        <v>73</v>
      </c>
      <c r="AA174" t="s">
        <v>73</v>
      </c>
      <c r="AB174" t="s">
        <v>73</v>
      </c>
      <c r="AC174" t="s">
        <v>73</v>
      </c>
      <c r="AD174" t="s">
        <v>73</v>
      </c>
    </row>
    <row r="175" spans="1:30" x14ac:dyDescent="0.3">
      <c r="A175" t="s">
        <v>566</v>
      </c>
      <c r="B175" s="5" t="s">
        <v>567</v>
      </c>
      <c r="C175" t="s">
        <v>36</v>
      </c>
      <c r="D175" s="5" t="s">
        <v>379</v>
      </c>
      <c r="E175">
        <v>1.5866267134736753</v>
      </c>
      <c r="F175">
        <v>1.9852549303455016</v>
      </c>
      <c r="G175">
        <v>1.9090155227556975</v>
      </c>
      <c r="H175">
        <v>1.6705188019386128</v>
      </c>
      <c r="I175">
        <v>1.506473532189518</v>
      </c>
      <c r="J175">
        <v>1.4712597066395394</v>
      </c>
      <c r="K175">
        <v>1.6916129568088623</v>
      </c>
      <c r="L175">
        <v>2.1345603833297742</v>
      </c>
      <c r="M175">
        <v>2.3604743201771319</v>
      </c>
      <c r="N175">
        <v>1.9094298769867668</v>
      </c>
      <c r="O175">
        <v>1.4985946805377972</v>
      </c>
      <c r="P175">
        <v>1.7937308065375772</v>
      </c>
      <c r="Q175">
        <v>1.7946330470213145</v>
      </c>
      <c r="R175">
        <v>2.0743255556865052</v>
      </c>
      <c r="S175">
        <v>2.6149279736894004</v>
      </c>
      <c r="T175">
        <v>2.0459698403411344</v>
      </c>
      <c r="U175">
        <v>2.0626421889712905</v>
      </c>
      <c r="V175">
        <v>1.8481416688745589</v>
      </c>
      <c r="W175">
        <v>2.0093291615716811</v>
      </c>
      <c r="X175">
        <v>1.6170097133414991</v>
      </c>
      <c r="Y175">
        <v>1.729178243098858</v>
      </c>
      <c r="Z175">
        <v>1.8713628798865587</v>
      </c>
      <c r="AA175">
        <v>1.9303962266850043</v>
      </c>
      <c r="AB175">
        <v>2.1257015352387798</v>
      </c>
      <c r="AC175">
        <v>1.5827826226933743</v>
      </c>
      <c r="AD175" t="s">
        <v>73</v>
      </c>
    </row>
    <row r="176" spans="1:30" x14ac:dyDescent="0.3">
      <c r="A176" t="s">
        <v>566</v>
      </c>
      <c r="B176" s="5" t="s">
        <v>567</v>
      </c>
      <c r="C176" t="s">
        <v>37</v>
      </c>
      <c r="D176" s="5" t="s">
        <v>380</v>
      </c>
      <c r="E176">
        <v>3.0026767143998052</v>
      </c>
      <c r="F176">
        <v>2.7218925754686647</v>
      </c>
      <c r="G176">
        <v>2.8942796753095803</v>
      </c>
      <c r="H176">
        <v>2.2161465727235341</v>
      </c>
      <c r="I176">
        <v>2.4021365323747257</v>
      </c>
      <c r="J176">
        <v>2.4241313212021312</v>
      </c>
      <c r="K176">
        <v>2.092058525412182</v>
      </c>
      <c r="L176">
        <v>2.0328329561152647</v>
      </c>
      <c r="M176">
        <v>1.7587145628057232</v>
      </c>
      <c r="N176">
        <v>1.7613811129777162</v>
      </c>
      <c r="O176">
        <v>1.8194253671862504</v>
      </c>
      <c r="P176">
        <v>2.0408723096677193</v>
      </c>
      <c r="Q176">
        <v>1.8260135408725509</v>
      </c>
      <c r="R176">
        <v>1.8307708216806031</v>
      </c>
      <c r="S176">
        <v>1.8213548975897706</v>
      </c>
      <c r="T176">
        <v>1.9736118648021317</v>
      </c>
      <c r="U176">
        <v>1.8512961549770321</v>
      </c>
      <c r="V176">
        <v>1.6930367326320657</v>
      </c>
      <c r="W176">
        <v>1.9913429626019812</v>
      </c>
      <c r="X176">
        <v>1.7704065170579213</v>
      </c>
      <c r="Y176">
        <v>1.8972971412832864</v>
      </c>
      <c r="Z176">
        <v>1.5114775511879648</v>
      </c>
      <c r="AA176">
        <v>1.6248023856561762</v>
      </c>
      <c r="AB176">
        <v>1.5319701443284754</v>
      </c>
      <c r="AC176">
        <v>1.5373041908845761</v>
      </c>
      <c r="AD176" t="s">
        <v>73</v>
      </c>
    </row>
    <row r="177" spans="1:30" x14ac:dyDescent="0.3">
      <c r="A177" t="s">
        <v>566</v>
      </c>
      <c r="B177" s="5" t="s">
        <v>567</v>
      </c>
      <c r="C177" t="s">
        <v>381</v>
      </c>
      <c r="D177" s="5" t="s">
        <v>382</v>
      </c>
      <c r="E177">
        <v>34.405928360033073</v>
      </c>
      <c r="F177">
        <v>23.901188129805959</v>
      </c>
      <c r="G177">
        <v>30.023563404215746</v>
      </c>
      <c r="H177">
        <v>35.82678341617229</v>
      </c>
      <c r="I177">
        <v>35.541059197530842</v>
      </c>
      <c r="J177">
        <v>31.245508184907383</v>
      </c>
      <c r="K177">
        <v>30.696054423066517</v>
      </c>
      <c r="L177">
        <v>30.816665435187346</v>
      </c>
      <c r="M177">
        <v>31.538180945186344</v>
      </c>
      <c r="N177">
        <v>30.43181720567144</v>
      </c>
      <c r="O177">
        <v>32.464324186650053</v>
      </c>
      <c r="P177">
        <v>32.822286678322619</v>
      </c>
      <c r="Q177">
        <v>33.337866339899932</v>
      </c>
      <c r="R177">
        <v>33.618025689001357</v>
      </c>
      <c r="S177">
        <v>34.757894694123124</v>
      </c>
      <c r="T177">
        <v>33.223063795597945</v>
      </c>
      <c r="U177">
        <v>34.446809237843262</v>
      </c>
      <c r="V177">
        <v>33.280206884660615</v>
      </c>
      <c r="W177">
        <v>33.968525866925681</v>
      </c>
      <c r="X177">
        <v>32.671489267845573</v>
      </c>
      <c r="Y177">
        <v>34.119526946315773</v>
      </c>
      <c r="Z177">
        <v>34.485554916734465</v>
      </c>
      <c r="AA177">
        <v>31.969848230720384</v>
      </c>
      <c r="AB177">
        <v>30.525637994095199</v>
      </c>
      <c r="AC177">
        <v>29.725989881040267</v>
      </c>
      <c r="AD177" t="s">
        <v>73</v>
      </c>
    </row>
    <row r="178" spans="1:30" x14ac:dyDescent="0.3">
      <c r="A178" t="s">
        <v>566</v>
      </c>
      <c r="B178" s="5" t="s">
        <v>567</v>
      </c>
      <c r="C178" t="s">
        <v>383</v>
      </c>
      <c r="D178" s="5" t="s">
        <v>384</v>
      </c>
      <c r="E178" t="s">
        <v>73</v>
      </c>
      <c r="F178" t="s">
        <v>73</v>
      </c>
      <c r="G178" t="s">
        <v>73</v>
      </c>
      <c r="H178" t="s">
        <v>73</v>
      </c>
      <c r="I178" t="s">
        <v>73</v>
      </c>
      <c r="J178" t="s">
        <v>73</v>
      </c>
      <c r="K178" t="s">
        <v>73</v>
      </c>
      <c r="L178" t="s">
        <v>73</v>
      </c>
      <c r="M178" t="s">
        <v>73</v>
      </c>
      <c r="N178" t="s">
        <v>73</v>
      </c>
      <c r="O178" t="s">
        <v>73</v>
      </c>
      <c r="P178" t="s">
        <v>73</v>
      </c>
      <c r="Q178" t="s">
        <v>73</v>
      </c>
      <c r="R178" t="s">
        <v>73</v>
      </c>
      <c r="S178" t="s">
        <v>73</v>
      </c>
      <c r="T178" t="s">
        <v>73</v>
      </c>
      <c r="U178" t="s">
        <v>73</v>
      </c>
      <c r="V178" t="s">
        <v>73</v>
      </c>
      <c r="W178" t="s">
        <v>73</v>
      </c>
      <c r="X178" t="s">
        <v>73</v>
      </c>
      <c r="Y178" t="s">
        <v>73</v>
      </c>
      <c r="Z178" t="s">
        <v>73</v>
      </c>
      <c r="AA178" t="s">
        <v>73</v>
      </c>
      <c r="AB178" t="s">
        <v>73</v>
      </c>
      <c r="AC178" t="s">
        <v>73</v>
      </c>
      <c r="AD178" t="s">
        <v>73</v>
      </c>
    </row>
    <row r="179" spans="1:30" x14ac:dyDescent="0.3">
      <c r="A179" t="s">
        <v>566</v>
      </c>
      <c r="B179" s="5" t="s">
        <v>567</v>
      </c>
      <c r="C179" t="s">
        <v>38</v>
      </c>
      <c r="D179" s="5" t="s">
        <v>385</v>
      </c>
      <c r="E179">
        <v>2.6147479932776783</v>
      </c>
      <c r="F179">
        <v>2.812451694552399</v>
      </c>
      <c r="G179">
        <v>2.9569718254908404</v>
      </c>
      <c r="H179">
        <v>2.6539775287002123</v>
      </c>
      <c r="I179">
        <v>2.4117161148620037</v>
      </c>
      <c r="J179">
        <v>2.085117989720124</v>
      </c>
      <c r="K179">
        <v>2.0509765123846444</v>
      </c>
      <c r="L179">
        <v>2.3559140050425595</v>
      </c>
      <c r="M179">
        <v>2.5724887669648893</v>
      </c>
      <c r="N179">
        <v>2.3994961348775532</v>
      </c>
      <c r="O179">
        <v>2.1077874931415792</v>
      </c>
      <c r="P179">
        <v>2.0438930862029685</v>
      </c>
      <c r="Q179">
        <v>1.9767095954636118</v>
      </c>
      <c r="R179">
        <v>1.9268492459719893</v>
      </c>
      <c r="S179">
        <v>2.1257485486993635</v>
      </c>
      <c r="T179">
        <v>2.2339783904591188</v>
      </c>
      <c r="U179">
        <v>2.4141860739457619</v>
      </c>
      <c r="V179">
        <v>2.4937986384976569</v>
      </c>
      <c r="W179">
        <v>2.2607038266991961</v>
      </c>
      <c r="X179">
        <v>1.9503211452697966</v>
      </c>
      <c r="Y179">
        <v>2.5786612223878294</v>
      </c>
      <c r="Z179">
        <v>2.4578719966737084</v>
      </c>
      <c r="AA179">
        <v>2.6057748498561781</v>
      </c>
      <c r="AB179">
        <v>2.5351711230984808</v>
      </c>
      <c r="AC179">
        <v>2.8111952698353933</v>
      </c>
      <c r="AD179" t="s">
        <v>73</v>
      </c>
    </row>
    <row r="180" spans="1:30" x14ac:dyDescent="0.3">
      <c r="A180" t="s">
        <v>566</v>
      </c>
      <c r="B180" s="5" t="s">
        <v>567</v>
      </c>
      <c r="C180" t="s">
        <v>386</v>
      </c>
      <c r="D180" s="5" t="s">
        <v>387</v>
      </c>
      <c r="E180" t="s">
        <v>73</v>
      </c>
      <c r="F180" t="s">
        <v>73</v>
      </c>
      <c r="G180" t="s">
        <v>73</v>
      </c>
      <c r="H180" t="s">
        <v>73</v>
      </c>
      <c r="I180" t="s">
        <v>73</v>
      </c>
      <c r="J180" t="s">
        <v>73</v>
      </c>
      <c r="K180" t="s">
        <v>73</v>
      </c>
      <c r="L180" t="s">
        <v>73</v>
      </c>
      <c r="M180">
        <v>4.1954428244131128</v>
      </c>
      <c r="N180">
        <v>5.2200416095628794</v>
      </c>
      <c r="O180">
        <v>5.293793482755051</v>
      </c>
      <c r="P180">
        <v>4.676936816818829</v>
      </c>
      <c r="Q180">
        <v>6.1761321742816229</v>
      </c>
      <c r="R180">
        <v>9.6358093463030041</v>
      </c>
      <c r="S180">
        <v>7.5965084442845558</v>
      </c>
      <c r="T180">
        <v>10.355027447724515</v>
      </c>
      <c r="U180" t="s">
        <v>73</v>
      </c>
      <c r="V180" t="s">
        <v>73</v>
      </c>
      <c r="W180" t="s">
        <v>73</v>
      </c>
      <c r="X180" t="s">
        <v>73</v>
      </c>
      <c r="Y180" t="s">
        <v>73</v>
      </c>
      <c r="Z180" t="s">
        <v>73</v>
      </c>
      <c r="AA180" t="s">
        <v>73</v>
      </c>
      <c r="AB180" t="s">
        <v>73</v>
      </c>
      <c r="AC180" t="s">
        <v>73</v>
      </c>
      <c r="AD180" t="s">
        <v>73</v>
      </c>
    </row>
    <row r="181" spans="1:30" x14ac:dyDescent="0.3">
      <c r="A181" t="s">
        <v>566</v>
      </c>
      <c r="B181" s="5" t="s">
        <v>567</v>
      </c>
      <c r="C181" t="s">
        <v>39</v>
      </c>
      <c r="D181" s="5" t="s">
        <v>388</v>
      </c>
      <c r="E181">
        <v>3.7443114170072995</v>
      </c>
      <c r="F181">
        <v>3.6742572308183945</v>
      </c>
      <c r="G181">
        <v>3.4821218976077164</v>
      </c>
      <c r="H181">
        <v>3.4207775672338894</v>
      </c>
      <c r="I181">
        <v>3.117809359590447</v>
      </c>
      <c r="J181">
        <v>2.75836581828682</v>
      </c>
      <c r="K181">
        <v>2.4007538488481317</v>
      </c>
      <c r="L181">
        <v>2.4946614560374036</v>
      </c>
      <c r="M181">
        <v>2.3536719547801574</v>
      </c>
      <c r="N181">
        <v>2.2496015806298288</v>
      </c>
      <c r="O181">
        <v>2.417408983934382</v>
      </c>
      <c r="P181">
        <v>2.3625185975353005</v>
      </c>
      <c r="Q181">
        <v>2.3977667177623934</v>
      </c>
      <c r="R181">
        <v>2.6094620787557572</v>
      </c>
      <c r="S181">
        <v>2.5269767813434538</v>
      </c>
      <c r="T181">
        <v>2.7232704633929163</v>
      </c>
      <c r="U181">
        <v>2.815220750030945</v>
      </c>
      <c r="V181">
        <v>2.8034467669039267</v>
      </c>
      <c r="W181">
        <v>2.7012825462188479</v>
      </c>
      <c r="X181">
        <v>2.5198012299495098</v>
      </c>
      <c r="Y181">
        <v>2.7846803174597552</v>
      </c>
      <c r="Z181">
        <v>2.7682492711299469</v>
      </c>
      <c r="AA181">
        <v>2.3696400004942353</v>
      </c>
      <c r="AB181">
        <v>2.6062235563617961</v>
      </c>
      <c r="AC181">
        <v>2.7530059648880725</v>
      </c>
      <c r="AD181" t="s">
        <v>73</v>
      </c>
    </row>
    <row r="182" spans="1:30" x14ac:dyDescent="0.3">
      <c r="A182" t="s">
        <v>566</v>
      </c>
      <c r="B182" s="5" t="s">
        <v>567</v>
      </c>
      <c r="C182" t="s">
        <v>389</v>
      </c>
      <c r="D182" s="5" t="s">
        <v>390</v>
      </c>
      <c r="E182">
        <v>19.927315041872212</v>
      </c>
      <c r="F182">
        <v>20.066605203361096</v>
      </c>
      <c r="G182">
        <v>14.279322536088273</v>
      </c>
      <c r="H182">
        <v>13.230514884211958</v>
      </c>
      <c r="I182">
        <v>12.543804143882772</v>
      </c>
      <c r="J182">
        <v>11.819476822644654</v>
      </c>
      <c r="K182">
        <v>11.336280234663182</v>
      </c>
      <c r="L182">
        <v>11.683164332850476</v>
      </c>
      <c r="M182">
        <v>13.379200767591042</v>
      </c>
      <c r="N182">
        <v>12.691971303497015</v>
      </c>
      <c r="O182">
        <v>9.0483370076233633</v>
      </c>
      <c r="P182">
        <v>9.5331593503240963</v>
      </c>
      <c r="Q182">
        <v>7.9102888685263242</v>
      </c>
      <c r="R182">
        <v>7.9246041165210519</v>
      </c>
      <c r="S182">
        <v>8.0807079233186254</v>
      </c>
      <c r="T182">
        <v>8.2169388794164178</v>
      </c>
      <c r="U182">
        <v>7.2617184777913124</v>
      </c>
      <c r="V182">
        <v>7.4306787795994049</v>
      </c>
      <c r="W182">
        <v>7.5920639511524568</v>
      </c>
      <c r="X182">
        <v>7.2562467000325999</v>
      </c>
      <c r="Y182">
        <v>8.2513232605818558</v>
      </c>
      <c r="Z182">
        <v>8.7899401646340198</v>
      </c>
      <c r="AA182">
        <v>8.4479528700793693</v>
      </c>
      <c r="AB182">
        <v>8.1239126449864898</v>
      </c>
      <c r="AC182">
        <v>8.2996858332284962</v>
      </c>
      <c r="AD182" t="s">
        <v>73</v>
      </c>
    </row>
    <row r="183" spans="1:30" x14ac:dyDescent="0.3">
      <c r="A183" t="s">
        <v>566</v>
      </c>
      <c r="B183" s="5" t="s">
        <v>567</v>
      </c>
      <c r="C183" t="s">
        <v>391</v>
      </c>
      <c r="D183" s="5" t="s">
        <v>392</v>
      </c>
      <c r="E183">
        <v>1.5455760303840202</v>
      </c>
      <c r="F183">
        <v>1.7363188101204428</v>
      </c>
      <c r="G183">
        <v>1.7855904316397067</v>
      </c>
      <c r="H183">
        <v>1.7800501822657768</v>
      </c>
      <c r="I183">
        <v>1.7820740448477674</v>
      </c>
      <c r="J183">
        <v>1.6609699143795051</v>
      </c>
      <c r="K183">
        <v>1.188560393581314</v>
      </c>
      <c r="L183">
        <v>1.1552493995389748</v>
      </c>
      <c r="M183">
        <v>1.223943574772475</v>
      </c>
      <c r="N183">
        <v>1.1221980923589121</v>
      </c>
      <c r="O183">
        <v>1.2684657604611567</v>
      </c>
      <c r="P183">
        <v>1.3346917982679574</v>
      </c>
      <c r="Q183">
        <v>1.1660183796117465</v>
      </c>
      <c r="R183">
        <v>1.0837342458327686</v>
      </c>
      <c r="S183">
        <v>0.93787684288326145</v>
      </c>
      <c r="T183">
        <v>0.84852002321532205</v>
      </c>
      <c r="U183">
        <v>0.78979991980606312</v>
      </c>
      <c r="V183">
        <v>0.9029938609032041</v>
      </c>
      <c r="W183">
        <v>0.91616552217650382</v>
      </c>
      <c r="X183">
        <v>0.89963593328452363</v>
      </c>
      <c r="Y183">
        <v>1.1267121709216916</v>
      </c>
      <c r="Z183">
        <v>1.2397122004244527</v>
      </c>
      <c r="AA183">
        <v>1.1861003977568627</v>
      </c>
      <c r="AB183">
        <v>1.3967146856777979</v>
      </c>
      <c r="AC183">
        <v>1.2879275355145274</v>
      </c>
      <c r="AD183" t="s">
        <v>73</v>
      </c>
    </row>
    <row r="184" spans="1:30" x14ac:dyDescent="0.3">
      <c r="A184" t="s">
        <v>566</v>
      </c>
      <c r="B184" s="5" t="s">
        <v>567</v>
      </c>
      <c r="C184" t="s">
        <v>393</v>
      </c>
      <c r="D184" s="5" t="s">
        <v>394</v>
      </c>
      <c r="E184" t="s">
        <v>73</v>
      </c>
      <c r="F184" t="s">
        <v>73</v>
      </c>
      <c r="G184" t="s">
        <v>73</v>
      </c>
      <c r="H184" t="s">
        <v>73</v>
      </c>
      <c r="I184" t="s">
        <v>73</v>
      </c>
      <c r="J184" t="s">
        <v>73</v>
      </c>
      <c r="K184">
        <v>2.9804274645434794</v>
      </c>
      <c r="L184">
        <v>2.9145877915966887</v>
      </c>
      <c r="M184">
        <v>3.5897713320937261</v>
      </c>
      <c r="N184">
        <v>3.6486336819287737</v>
      </c>
      <c r="O184">
        <v>2.690608728675508</v>
      </c>
      <c r="P184">
        <v>2.3454399471024416</v>
      </c>
      <c r="Q184">
        <v>2.3688577016842944</v>
      </c>
      <c r="R184">
        <v>2.6238774408551304</v>
      </c>
      <c r="S184">
        <v>2.21690522571356</v>
      </c>
      <c r="T184">
        <v>2.1525909564953705</v>
      </c>
      <c r="U184">
        <v>2.0770772258858647</v>
      </c>
      <c r="V184">
        <v>1.5617239564414858</v>
      </c>
      <c r="W184">
        <v>1.6288740569818387</v>
      </c>
      <c r="X184">
        <v>1.7304677212091002</v>
      </c>
      <c r="Y184">
        <v>1.9809586861789903</v>
      </c>
      <c r="Z184">
        <v>1.714404728845162</v>
      </c>
      <c r="AA184">
        <v>1.5183397546056885</v>
      </c>
      <c r="AB184">
        <v>1.1252086048053402</v>
      </c>
      <c r="AC184">
        <v>1.1295363437835544</v>
      </c>
      <c r="AD184" t="s">
        <v>73</v>
      </c>
    </row>
    <row r="185" spans="1:30" x14ac:dyDescent="0.3">
      <c r="A185" t="s">
        <v>566</v>
      </c>
      <c r="B185" s="5" t="s">
        <v>567</v>
      </c>
      <c r="C185" t="s">
        <v>395</v>
      </c>
      <c r="D185" s="5" t="s">
        <v>396</v>
      </c>
      <c r="E185" t="s">
        <v>73</v>
      </c>
      <c r="F185" t="s">
        <v>73</v>
      </c>
      <c r="G185" t="s">
        <v>73</v>
      </c>
      <c r="H185" t="s">
        <v>73</v>
      </c>
      <c r="I185" t="s">
        <v>73</v>
      </c>
      <c r="J185" t="s">
        <v>73</v>
      </c>
      <c r="K185" t="s">
        <v>73</v>
      </c>
      <c r="L185" t="s">
        <v>73</v>
      </c>
      <c r="M185" t="s">
        <v>73</v>
      </c>
      <c r="N185" t="s">
        <v>73</v>
      </c>
      <c r="O185" t="s">
        <v>73</v>
      </c>
      <c r="P185" t="s">
        <v>73</v>
      </c>
      <c r="Q185" t="s">
        <v>73</v>
      </c>
      <c r="R185" t="s">
        <v>73</v>
      </c>
      <c r="S185" t="s">
        <v>73</v>
      </c>
      <c r="T185" t="s">
        <v>73</v>
      </c>
      <c r="U185" t="s">
        <v>73</v>
      </c>
      <c r="V185" t="s">
        <v>73</v>
      </c>
      <c r="W185" t="s">
        <v>73</v>
      </c>
      <c r="X185" t="s">
        <v>73</v>
      </c>
      <c r="Y185" t="s">
        <v>73</v>
      </c>
      <c r="Z185" t="s">
        <v>73</v>
      </c>
      <c r="AA185" t="s">
        <v>73</v>
      </c>
      <c r="AB185" t="s">
        <v>73</v>
      </c>
      <c r="AC185" t="s">
        <v>73</v>
      </c>
      <c r="AD185" t="s">
        <v>73</v>
      </c>
    </row>
    <row r="186" spans="1:30" x14ac:dyDescent="0.3">
      <c r="A186" t="s">
        <v>566</v>
      </c>
      <c r="B186" s="5" t="s">
        <v>567</v>
      </c>
      <c r="C186" t="s">
        <v>397</v>
      </c>
      <c r="D186" s="5" t="s">
        <v>398</v>
      </c>
      <c r="E186">
        <v>8.466401483814634</v>
      </c>
      <c r="F186">
        <v>6.8474769021653099</v>
      </c>
      <c r="G186">
        <v>6.9862131219539751</v>
      </c>
      <c r="H186">
        <v>6.104876565008329</v>
      </c>
      <c r="I186">
        <v>5.8528938416769911</v>
      </c>
      <c r="J186">
        <v>6.5973050883599518</v>
      </c>
      <c r="K186">
        <v>6.1481429340452411</v>
      </c>
      <c r="L186">
        <v>5.9589943691607097</v>
      </c>
      <c r="M186">
        <v>6.0359091751917964</v>
      </c>
      <c r="N186">
        <v>6.345142645947158</v>
      </c>
      <c r="O186">
        <v>6.2650687512135583</v>
      </c>
      <c r="P186">
        <v>6.330563618569089</v>
      </c>
      <c r="Q186">
        <v>6.15236356773518</v>
      </c>
      <c r="R186">
        <v>6.5439142269389645</v>
      </c>
      <c r="S186">
        <v>6.5541478694935709</v>
      </c>
      <c r="T186">
        <v>6.2603004190799076</v>
      </c>
      <c r="U186">
        <v>6.7510529332035549</v>
      </c>
      <c r="V186">
        <v>6.7690255429130595</v>
      </c>
      <c r="W186">
        <v>7.1093818711809327</v>
      </c>
      <c r="X186">
        <v>7.0032136028963103</v>
      </c>
      <c r="Y186">
        <v>8.6427368881006537</v>
      </c>
      <c r="Z186">
        <v>5.2074867781098009</v>
      </c>
      <c r="AA186">
        <v>4.6394165066028652</v>
      </c>
      <c r="AB186">
        <v>4.2006328064551779</v>
      </c>
      <c r="AC186">
        <v>3.5462127855693462</v>
      </c>
      <c r="AD186" t="s">
        <v>73</v>
      </c>
    </row>
    <row r="187" spans="1:30" x14ac:dyDescent="0.3">
      <c r="A187" t="s">
        <v>566</v>
      </c>
      <c r="B187" s="5" t="s">
        <v>567</v>
      </c>
      <c r="C187" t="s">
        <v>399</v>
      </c>
      <c r="D187" s="5" t="s">
        <v>400</v>
      </c>
      <c r="E187">
        <v>40.682173914340254</v>
      </c>
      <c r="F187">
        <v>35.780774615764784</v>
      </c>
      <c r="G187">
        <v>37.662742261403992</v>
      </c>
      <c r="H187">
        <v>38.416611009221988</v>
      </c>
      <c r="I187">
        <v>34.006076856570921</v>
      </c>
      <c r="J187">
        <v>33.199920468691012</v>
      </c>
      <c r="K187">
        <v>31.820107959430612</v>
      </c>
      <c r="L187">
        <v>35.667514370141781</v>
      </c>
      <c r="M187">
        <v>36.183163321238489</v>
      </c>
      <c r="N187">
        <v>33.506680570775508</v>
      </c>
      <c r="O187">
        <v>31.852221112284234</v>
      </c>
      <c r="P187">
        <v>27.847693468173567</v>
      </c>
      <c r="Q187">
        <v>33.77462417104902</v>
      </c>
      <c r="R187">
        <v>29.607636457103226</v>
      </c>
      <c r="S187">
        <v>32.624270816267384</v>
      </c>
      <c r="T187">
        <v>31.5564513257888</v>
      </c>
      <c r="U187">
        <v>22.977581415968121</v>
      </c>
      <c r="V187">
        <v>21.230540313103731</v>
      </c>
      <c r="W187">
        <v>21.993473158050193</v>
      </c>
      <c r="X187">
        <v>20.164015348444291</v>
      </c>
      <c r="Y187">
        <v>20.320862754426468</v>
      </c>
      <c r="Z187">
        <v>6.3570921280082402</v>
      </c>
      <c r="AA187">
        <v>5.0312926615012241</v>
      </c>
      <c r="AB187">
        <v>30.275676007483476</v>
      </c>
      <c r="AC187">
        <v>22.181381600012323</v>
      </c>
      <c r="AD187" t="s">
        <v>73</v>
      </c>
    </row>
    <row r="188" spans="1:30" x14ac:dyDescent="0.3">
      <c r="A188" t="s">
        <v>566</v>
      </c>
      <c r="B188" s="5" t="s">
        <v>567</v>
      </c>
      <c r="C188" t="s">
        <v>401</v>
      </c>
      <c r="D188" s="5" t="s">
        <v>402</v>
      </c>
      <c r="E188">
        <v>9.5392456953922977</v>
      </c>
      <c r="F188">
        <v>9.094867899505644</v>
      </c>
      <c r="G188">
        <v>6.7047745048445462</v>
      </c>
      <c r="H188">
        <v>6.4797238764830638</v>
      </c>
      <c r="I188">
        <v>5.2248805856006726</v>
      </c>
      <c r="J188">
        <v>4.9193713002653601</v>
      </c>
      <c r="K188">
        <v>9.9916736053288915</v>
      </c>
      <c r="L188">
        <v>10.147624364222802</v>
      </c>
      <c r="M188">
        <v>8.9296762219014223</v>
      </c>
      <c r="N188">
        <v>9.8420755781161873</v>
      </c>
      <c r="O188">
        <v>9.4721921120653718</v>
      </c>
      <c r="P188">
        <v>8.7323553833379464</v>
      </c>
      <c r="Q188">
        <v>8.3850553730071802</v>
      </c>
      <c r="R188">
        <v>8.4859548907602615</v>
      </c>
      <c r="S188">
        <v>9.3847577194402696</v>
      </c>
      <c r="T188">
        <v>10.408157241193614</v>
      </c>
      <c r="U188">
        <v>10.766127190099091</v>
      </c>
      <c r="V188">
        <v>10.917759820874199</v>
      </c>
      <c r="W188">
        <v>10.032466985928828</v>
      </c>
      <c r="X188">
        <v>8.5960781402117075</v>
      </c>
      <c r="Y188">
        <v>8.1360284150591013</v>
      </c>
      <c r="Z188">
        <v>9.6776640323266125</v>
      </c>
      <c r="AA188">
        <v>7.2956617949009512</v>
      </c>
      <c r="AB188">
        <v>7.1616423918410179</v>
      </c>
      <c r="AC188">
        <v>6.7700839577317238</v>
      </c>
      <c r="AD188" t="s">
        <v>73</v>
      </c>
    </row>
    <row r="189" spans="1:30" x14ac:dyDescent="0.3">
      <c r="A189" t="s">
        <v>566</v>
      </c>
      <c r="B189" s="5" t="s">
        <v>567</v>
      </c>
      <c r="C189" t="s">
        <v>40</v>
      </c>
      <c r="D189" s="5" t="s">
        <v>403</v>
      </c>
      <c r="E189">
        <v>1.7847661155566625</v>
      </c>
      <c r="F189">
        <v>1.7917712665044172</v>
      </c>
      <c r="G189">
        <v>1.7519984236162565</v>
      </c>
      <c r="H189">
        <v>1.7115506346685621</v>
      </c>
      <c r="I189">
        <v>1.6806169598858594</v>
      </c>
      <c r="J189">
        <v>1.160318633253699</v>
      </c>
      <c r="K189">
        <v>1.2403211677052663</v>
      </c>
      <c r="L189">
        <v>1.4388302409171125</v>
      </c>
      <c r="M189">
        <v>1.2595695652520009</v>
      </c>
      <c r="N189">
        <v>1.1393339921513417</v>
      </c>
      <c r="O189">
        <v>1.3616164824353783</v>
      </c>
      <c r="P189">
        <v>1.4116756644120343</v>
      </c>
      <c r="Q189">
        <v>1.2525456471279999</v>
      </c>
      <c r="R189">
        <v>1.2306253705673833</v>
      </c>
      <c r="S189">
        <v>1.2515938527615595</v>
      </c>
      <c r="T189">
        <v>1.3031159062675495</v>
      </c>
      <c r="U189">
        <v>1.2811871059034998</v>
      </c>
      <c r="V189">
        <v>1.3210162632013105</v>
      </c>
      <c r="W189">
        <v>1.2500845047664875</v>
      </c>
      <c r="X189">
        <v>1.2571837792862604</v>
      </c>
      <c r="Y189">
        <v>1.196224506793035</v>
      </c>
      <c r="Z189">
        <v>1.1594275124774815</v>
      </c>
      <c r="AA189">
        <v>1.2387699295872114</v>
      </c>
      <c r="AB189">
        <v>1.2822823072128522</v>
      </c>
      <c r="AC189">
        <v>1.4222920532683954</v>
      </c>
      <c r="AD189" t="s">
        <v>73</v>
      </c>
    </row>
    <row r="190" spans="1:30" x14ac:dyDescent="0.3">
      <c r="A190" t="s">
        <v>566</v>
      </c>
      <c r="B190" s="5" t="s">
        <v>567</v>
      </c>
      <c r="C190" t="s">
        <v>41</v>
      </c>
      <c r="D190" s="5" t="s">
        <v>404</v>
      </c>
      <c r="E190">
        <v>1.0538895108627022</v>
      </c>
      <c r="F190">
        <v>0.9209241135723224</v>
      </c>
      <c r="G190">
        <v>0.93365814189298824</v>
      </c>
      <c r="H190">
        <v>0.83699188607443531</v>
      </c>
      <c r="I190">
        <v>0.93499958030180352</v>
      </c>
      <c r="J190">
        <v>0.81861933257862241</v>
      </c>
      <c r="K190">
        <v>0.75329811255025891</v>
      </c>
      <c r="L190">
        <v>0.77316258292063056</v>
      </c>
      <c r="M190">
        <v>0.7835339386418092</v>
      </c>
      <c r="N190">
        <v>0.72250757668150711</v>
      </c>
      <c r="O190">
        <v>0.66294057451436117</v>
      </c>
      <c r="P190">
        <v>0.67669983001696687</v>
      </c>
      <c r="Q190">
        <v>0.63458696366518563</v>
      </c>
      <c r="R190">
        <v>0.66253371355651769</v>
      </c>
      <c r="S190">
        <v>0.70887766688964626</v>
      </c>
      <c r="T190">
        <v>0.62644626050893026</v>
      </c>
      <c r="U190">
        <v>0.65801047166700188</v>
      </c>
      <c r="V190">
        <v>0.63133351033404128</v>
      </c>
      <c r="W190">
        <v>0.64375070233947895</v>
      </c>
      <c r="X190">
        <v>0.64774552689598386</v>
      </c>
      <c r="Y190">
        <v>0.70547763332172919</v>
      </c>
      <c r="Z190">
        <v>0.62756742418485878</v>
      </c>
      <c r="AA190">
        <v>0.61637979881485894</v>
      </c>
      <c r="AB190">
        <v>0.62491246146098678</v>
      </c>
      <c r="AC190">
        <v>0.62869947547455807</v>
      </c>
      <c r="AD190" t="s">
        <v>73</v>
      </c>
    </row>
    <row r="191" spans="1:30" x14ac:dyDescent="0.3">
      <c r="A191" t="s">
        <v>566</v>
      </c>
      <c r="B191" s="5" t="s">
        <v>567</v>
      </c>
      <c r="C191" t="s">
        <v>405</v>
      </c>
      <c r="D191" s="5" t="s">
        <v>406</v>
      </c>
      <c r="E191">
        <v>24.733949943788737</v>
      </c>
      <c r="F191">
        <v>25.297944164729653</v>
      </c>
      <c r="G191">
        <v>25.005041715895125</v>
      </c>
      <c r="H191">
        <v>24.65547593800941</v>
      </c>
      <c r="I191">
        <v>22.433263793017709</v>
      </c>
      <c r="J191">
        <v>20.293102006189436</v>
      </c>
      <c r="K191">
        <v>21.456796902694851</v>
      </c>
      <c r="L191">
        <v>19.45880867244183</v>
      </c>
      <c r="M191">
        <v>18.756403029337516</v>
      </c>
      <c r="N191">
        <v>22.795011712992991</v>
      </c>
      <c r="O191">
        <v>19.438973200725204</v>
      </c>
      <c r="P191">
        <v>20.646904744337046</v>
      </c>
      <c r="Q191">
        <v>23.432298282025972</v>
      </c>
      <c r="R191">
        <v>25.104930372641736</v>
      </c>
      <c r="S191">
        <v>26.860125618412102</v>
      </c>
      <c r="T191">
        <v>33.130462212936912</v>
      </c>
      <c r="U191">
        <v>34.166872822714716</v>
      </c>
      <c r="V191">
        <v>40.635607528815704</v>
      </c>
      <c r="W191">
        <v>39.009881189625553</v>
      </c>
      <c r="X191">
        <v>40.74104479159594</v>
      </c>
      <c r="Y191">
        <v>33.882688667765763</v>
      </c>
      <c r="Z191">
        <v>40.128457540531585</v>
      </c>
      <c r="AA191">
        <v>43.059987810877701</v>
      </c>
      <c r="AB191" t="s">
        <v>73</v>
      </c>
      <c r="AC191" t="s">
        <v>73</v>
      </c>
      <c r="AD191" t="s">
        <v>73</v>
      </c>
    </row>
    <row r="192" spans="1:30" x14ac:dyDescent="0.3">
      <c r="A192" t="s">
        <v>566</v>
      </c>
      <c r="B192" s="5" t="s">
        <v>567</v>
      </c>
      <c r="C192" t="s">
        <v>407</v>
      </c>
      <c r="D192" s="5" t="s">
        <v>408</v>
      </c>
      <c r="E192">
        <v>25.124531258745176</v>
      </c>
      <c r="F192">
        <v>23.808409392308292</v>
      </c>
      <c r="G192">
        <v>22.232097887595177</v>
      </c>
      <c r="H192">
        <v>24.19456462385013</v>
      </c>
      <c r="I192">
        <v>19.222350137012956</v>
      </c>
      <c r="J192">
        <v>21.191685399494908</v>
      </c>
      <c r="K192">
        <v>21.451066929471249</v>
      </c>
      <c r="L192">
        <v>19.434725563087689</v>
      </c>
      <c r="M192">
        <v>19.867284124922346</v>
      </c>
      <c r="N192">
        <v>18.552003296410305</v>
      </c>
      <c r="O192">
        <v>19.586677513751109</v>
      </c>
      <c r="P192">
        <v>23.835509841675229</v>
      </c>
      <c r="Q192">
        <v>23.326816561633269</v>
      </c>
      <c r="R192">
        <v>21.320887846520016</v>
      </c>
      <c r="S192">
        <v>23.773783673859462</v>
      </c>
      <c r="T192">
        <v>21.590574720760802</v>
      </c>
      <c r="U192">
        <v>20.856976508615578</v>
      </c>
      <c r="V192">
        <v>20.283296318886059</v>
      </c>
      <c r="W192">
        <v>19.771964784292535</v>
      </c>
      <c r="X192">
        <v>20.867073358800049</v>
      </c>
      <c r="Y192">
        <v>22.690430844836069</v>
      </c>
      <c r="Z192">
        <v>22.449080546082513</v>
      </c>
      <c r="AA192">
        <v>22.934853704084475</v>
      </c>
      <c r="AB192">
        <v>22.858862106517289</v>
      </c>
      <c r="AC192" t="s">
        <v>73</v>
      </c>
      <c r="AD192" t="s">
        <v>73</v>
      </c>
    </row>
    <row r="193" spans="1:30" x14ac:dyDescent="0.3">
      <c r="A193" t="s">
        <v>566</v>
      </c>
      <c r="B193" s="5" t="s">
        <v>567</v>
      </c>
      <c r="C193" t="s">
        <v>409</v>
      </c>
      <c r="D193" s="5" t="s">
        <v>410</v>
      </c>
      <c r="E193">
        <v>26.217272362072151</v>
      </c>
      <c r="F193">
        <v>25.809162302579448</v>
      </c>
      <c r="G193">
        <v>25.171736289907322</v>
      </c>
      <c r="H193">
        <v>24.919292650955065</v>
      </c>
      <c r="I193">
        <v>25.705813988743344</v>
      </c>
      <c r="J193">
        <v>24.648841084381356</v>
      </c>
      <c r="K193">
        <v>23.669310727864605</v>
      </c>
      <c r="L193">
        <v>23.24548823677198</v>
      </c>
      <c r="M193">
        <v>24.76549387689969</v>
      </c>
      <c r="N193">
        <v>26.035190360121884</v>
      </c>
      <c r="O193">
        <v>25.582406886144039</v>
      </c>
      <c r="P193">
        <v>24.97686444608847</v>
      </c>
      <c r="Q193">
        <v>26.55092652078611</v>
      </c>
      <c r="R193">
        <v>26.790867917237637</v>
      </c>
      <c r="S193">
        <v>25.802577447557095</v>
      </c>
      <c r="T193">
        <v>26.745885729563014</v>
      </c>
      <c r="U193">
        <v>27.444142571775416</v>
      </c>
      <c r="V193">
        <v>28.753480952812758</v>
      </c>
      <c r="W193">
        <v>27.868599477377021</v>
      </c>
      <c r="X193">
        <v>26.594311951601796</v>
      </c>
      <c r="Y193">
        <v>25.254901665343048</v>
      </c>
      <c r="Z193">
        <v>24.788450615878261</v>
      </c>
      <c r="AA193">
        <v>24.256969456955161</v>
      </c>
      <c r="AB193">
        <v>23.68714737786312</v>
      </c>
      <c r="AC193">
        <v>23.31807808564653</v>
      </c>
      <c r="AD193" t="s">
        <v>73</v>
      </c>
    </row>
    <row r="194" spans="1:30" x14ac:dyDescent="0.3">
      <c r="A194" t="s">
        <v>566</v>
      </c>
      <c r="B194" s="5" t="s">
        <v>567</v>
      </c>
      <c r="C194" t="s">
        <v>411</v>
      </c>
      <c r="D194" s="5" t="s">
        <v>412</v>
      </c>
      <c r="E194">
        <v>8.4998481208405821</v>
      </c>
      <c r="F194">
        <v>8.5792874500865377</v>
      </c>
      <c r="G194">
        <v>8.6921781801025997</v>
      </c>
      <c r="H194">
        <v>9.4413549579622824</v>
      </c>
      <c r="I194">
        <v>9.2911101390481434</v>
      </c>
      <c r="J194">
        <v>9.1943552823718075</v>
      </c>
      <c r="K194">
        <v>9.4019934662152096</v>
      </c>
      <c r="L194">
        <v>9.3476847010693014</v>
      </c>
      <c r="M194">
        <v>10.072433825363305</v>
      </c>
      <c r="N194">
        <v>9.7870337594204262</v>
      </c>
      <c r="O194">
        <v>10.522175636984885</v>
      </c>
      <c r="P194">
        <v>11.591791777520747</v>
      </c>
      <c r="Q194">
        <v>11.504100153576715</v>
      </c>
      <c r="R194">
        <v>11.322215337977282</v>
      </c>
      <c r="S194">
        <v>10.088921615104233</v>
      </c>
      <c r="T194">
        <v>8.8727236478679341</v>
      </c>
      <c r="U194">
        <v>8.4780769628556207</v>
      </c>
      <c r="V194">
        <v>8.4064125866504682</v>
      </c>
      <c r="W194">
        <v>8.2018192619552401</v>
      </c>
      <c r="X194">
        <v>8.1285680400947964</v>
      </c>
      <c r="Y194">
        <v>8.7028521467355411</v>
      </c>
      <c r="Z194">
        <v>8.6929129305079726</v>
      </c>
      <c r="AA194">
        <v>8.719451384414441</v>
      </c>
      <c r="AB194">
        <v>8.5627759867238993</v>
      </c>
      <c r="AC194">
        <v>8.711126618988196</v>
      </c>
      <c r="AD194" t="s">
        <v>73</v>
      </c>
    </row>
    <row r="195" spans="1:30" x14ac:dyDescent="0.3">
      <c r="A195" t="s">
        <v>566</v>
      </c>
      <c r="B195" s="5" t="s">
        <v>567</v>
      </c>
      <c r="C195" t="s">
        <v>413</v>
      </c>
      <c r="D195" s="5" t="s">
        <v>414</v>
      </c>
      <c r="E195">
        <v>28.427291409365285</v>
      </c>
      <c r="F195">
        <v>21.559215410320029</v>
      </c>
      <c r="G195">
        <v>24.675277459821565</v>
      </c>
      <c r="H195">
        <v>24.873674688482563</v>
      </c>
      <c r="I195">
        <v>30.788412085663907</v>
      </c>
      <c r="J195">
        <v>28.912519189315017</v>
      </c>
      <c r="K195">
        <v>32.204282000663355</v>
      </c>
      <c r="L195">
        <v>29.997407947176271</v>
      </c>
      <c r="M195">
        <v>30.155517164466289</v>
      </c>
      <c r="N195">
        <v>24.962865386051764</v>
      </c>
      <c r="O195">
        <v>25.59640750721351</v>
      </c>
      <c r="P195">
        <v>22.160238415207349</v>
      </c>
      <c r="Q195">
        <v>25.796496454193925</v>
      </c>
      <c r="R195">
        <v>21.319990166102251</v>
      </c>
      <c r="S195">
        <v>21.050705705439363</v>
      </c>
      <c r="T195">
        <v>17.82775971385507</v>
      </c>
      <c r="U195">
        <v>17.063074805121087</v>
      </c>
      <c r="V195">
        <v>17.129387384356917</v>
      </c>
      <c r="W195">
        <v>17.771360388957675</v>
      </c>
      <c r="X195">
        <v>14.129155945417349</v>
      </c>
      <c r="Y195">
        <v>13.262154168450341</v>
      </c>
      <c r="Z195">
        <v>8.670181338538562</v>
      </c>
      <c r="AA195">
        <v>10.324624960185483</v>
      </c>
      <c r="AB195">
        <v>17.179811325077456</v>
      </c>
      <c r="AC195">
        <v>20.16052047113865</v>
      </c>
      <c r="AD195" t="s">
        <v>73</v>
      </c>
    </row>
    <row r="196" spans="1:30" x14ac:dyDescent="0.3">
      <c r="A196" t="s">
        <v>566</v>
      </c>
      <c r="B196" s="5" t="s">
        <v>567</v>
      </c>
      <c r="C196" t="s">
        <v>415</v>
      </c>
      <c r="D196" s="5" t="s">
        <v>416</v>
      </c>
      <c r="E196">
        <v>14.805210426333437</v>
      </c>
      <c r="F196">
        <v>15.1644610248179</v>
      </c>
      <c r="G196">
        <v>15.740364141963276</v>
      </c>
      <c r="H196">
        <v>14.572391580956316</v>
      </c>
      <c r="I196">
        <v>15.405869526176176</v>
      </c>
      <c r="J196">
        <v>17.332564124012855</v>
      </c>
      <c r="K196">
        <v>16.960914848703588</v>
      </c>
      <c r="L196">
        <v>16.929783373943195</v>
      </c>
      <c r="M196">
        <v>20.68166838542998</v>
      </c>
      <c r="N196">
        <v>21.348348000808766</v>
      </c>
      <c r="O196">
        <v>21.077801220787016</v>
      </c>
      <c r="P196">
        <v>19.864971743231859</v>
      </c>
      <c r="Q196">
        <v>20.975947911624008</v>
      </c>
      <c r="R196">
        <v>19.139546690965091</v>
      </c>
      <c r="S196">
        <v>19.338838158027286</v>
      </c>
      <c r="T196">
        <v>18.92186014963438</v>
      </c>
      <c r="U196">
        <v>20.38507891471696</v>
      </c>
      <c r="V196">
        <v>20.315559784421314</v>
      </c>
      <c r="W196">
        <v>19.649478415501878</v>
      </c>
      <c r="X196">
        <v>19.514590050018636</v>
      </c>
      <c r="Y196">
        <v>19.172517989117761</v>
      </c>
      <c r="Z196">
        <v>20.55080661999904</v>
      </c>
      <c r="AA196">
        <v>21.219848519712109</v>
      </c>
      <c r="AB196">
        <v>21.305048241318108</v>
      </c>
      <c r="AC196">
        <v>21.328824814854329</v>
      </c>
      <c r="AD196" t="s">
        <v>73</v>
      </c>
    </row>
    <row r="197" spans="1:30" x14ac:dyDescent="0.3">
      <c r="A197" t="s">
        <v>566</v>
      </c>
      <c r="B197" s="5" t="s">
        <v>567</v>
      </c>
      <c r="C197" t="s">
        <v>417</v>
      </c>
      <c r="D197" s="5" t="s">
        <v>418</v>
      </c>
      <c r="E197">
        <v>19.636923003612605</v>
      </c>
      <c r="F197">
        <v>18.287439619659214</v>
      </c>
      <c r="G197">
        <v>18.106229525314873</v>
      </c>
      <c r="H197">
        <v>19.162981506788231</v>
      </c>
      <c r="I197">
        <v>20.247989663883374</v>
      </c>
      <c r="J197">
        <v>17.760871188751192</v>
      </c>
      <c r="K197">
        <v>15.771786358405448</v>
      </c>
      <c r="L197">
        <v>16.707985195248657</v>
      </c>
      <c r="M197">
        <v>14.743600905583095</v>
      </c>
      <c r="N197">
        <v>15.51313268162812</v>
      </c>
      <c r="O197">
        <v>16.437985875735354</v>
      </c>
      <c r="P197">
        <v>17.065956221084274</v>
      </c>
      <c r="Q197">
        <v>16.635997482346749</v>
      </c>
      <c r="R197">
        <v>17.073308049662284</v>
      </c>
      <c r="S197">
        <v>16.319586450286121</v>
      </c>
      <c r="T197">
        <v>16.850663037700709</v>
      </c>
      <c r="U197">
        <v>16.606731804116119</v>
      </c>
      <c r="V197">
        <v>16.819376393272179</v>
      </c>
      <c r="W197">
        <v>17.24841115867773</v>
      </c>
      <c r="X197">
        <v>18.571731723168615</v>
      </c>
      <c r="Y197">
        <v>17.09366489066365</v>
      </c>
      <c r="Z197">
        <v>16.521869853628733</v>
      </c>
      <c r="AA197">
        <v>17.425626146848597</v>
      </c>
      <c r="AB197">
        <v>18.958925687477251</v>
      </c>
      <c r="AC197" t="s">
        <v>73</v>
      </c>
      <c r="AD197" t="s">
        <v>73</v>
      </c>
    </row>
    <row r="198" spans="1:30" x14ac:dyDescent="0.3">
      <c r="A198" t="s">
        <v>566</v>
      </c>
      <c r="B198" s="5" t="s">
        <v>567</v>
      </c>
      <c r="C198" t="s">
        <v>419</v>
      </c>
      <c r="D198" s="5" t="s">
        <v>420</v>
      </c>
      <c r="E198">
        <v>1.3571938867876046</v>
      </c>
      <c r="F198">
        <v>1.2863770560944749</v>
      </c>
      <c r="G198">
        <v>1.39847219754841</v>
      </c>
      <c r="H198">
        <v>0.94788461268248814</v>
      </c>
      <c r="I198">
        <v>0.76148394596390379</v>
      </c>
      <c r="J198">
        <v>0.48399919037751687</v>
      </c>
      <c r="K198">
        <v>0.56687699136942327</v>
      </c>
      <c r="L198">
        <v>0.37166170752633215</v>
      </c>
      <c r="M198">
        <v>0.36551442432761777</v>
      </c>
      <c r="N198">
        <v>0.5951458263935383</v>
      </c>
      <c r="O198">
        <v>0.52014610527507998</v>
      </c>
      <c r="P198">
        <v>0.45654257035552903</v>
      </c>
      <c r="Q198">
        <v>0.62386152734592282</v>
      </c>
      <c r="R198">
        <v>0.7127707383023838</v>
      </c>
      <c r="S198">
        <v>0.66856333960800052</v>
      </c>
      <c r="T198">
        <v>0.92205342602057239</v>
      </c>
      <c r="U198">
        <v>0.99243442447972607</v>
      </c>
      <c r="V198">
        <v>1.0863432616295432</v>
      </c>
      <c r="W198">
        <v>0.96451769937085063</v>
      </c>
      <c r="X198">
        <v>0.76505294099226906</v>
      </c>
      <c r="Y198">
        <v>1.0620292127584186</v>
      </c>
      <c r="Z198">
        <v>0.90836262238065801</v>
      </c>
      <c r="AA198">
        <v>0.76281565022841258</v>
      </c>
      <c r="AB198">
        <v>0.83585510720116485</v>
      </c>
      <c r="AC198">
        <v>0.77763016685612507</v>
      </c>
      <c r="AD198" t="s">
        <v>73</v>
      </c>
    </row>
    <row r="199" spans="1:30" x14ac:dyDescent="0.3">
      <c r="A199" t="s">
        <v>566</v>
      </c>
      <c r="B199" s="5" t="s">
        <v>567</v>
      </c>
      <c r="C199" t="s">
        <v>421</v>
      </c>
      <c r="D199" s="5" t="s">
        <v>422</v>
      </c>
      <c r="E199">
        <v>10.006319351485047</v>
      </c>
      <c r="F199">
        <v>9.4218557064738047</v>
      </c>
      <c r="G199">
        <v>8.298481514352062</v>
      </c>
      <c r="H199">
        <v>9.2914975178949035</v>
      </c>
      <c r="I199">
        <v>9.9025451549364671</v>
      </c>
      <c r="J199">
        <v>9.1698311480499637</v>
      </c>
      <c r="K199">
        <v>9.2807094994776662</v>
      </c>
      <c r="L199">
        <v>8.6420198738581568</v>
      </c>
      <c r="M199">
        <v>7.8486499786514976</v>
      </c>
      <c r="N199">
        <v>8.4566066547142675</v>
      </c>
      <c r="O199">
        <v>6.8461461700589972</v>
      </c>
      <c r="P199">
        <v>7.5768445042747157</v>
      </c>
      <c r="Q199">
        <v>8.3002572558741896</v>
      </c>
      <c r="R199">
        <v>7.9693086480937385</v>
      </c>
      <c r="S199">
        <v>8.57165956609159</v>
      </c>
      <c r="T199">
        <v>9.2058991873250324</v>
      </c>
      <c r="U199">
        <v>8.5254111530546162</v>
      </c>
      <c r="V199">
        <v>8.9860456909270034</v>
      </c>
      <c r="W199">
        <v>9.8885255187612575</v>
      </c>
      <c r="X199">
        <v>9.7662587328707247</v>
      </c>
      <c r="Y199">
        <v>10.391700229535715</v>
      </c>
      <c r="Z199">
        <v>10.090037903494329</v>
      </c>
      <c r="AA199">
        <v>10.821724772221206</v>
      </c>
      <c r="AB199">
        <v>9.4736792895124537</v>
      </c>
      <c r="AC199">
        <v>9.7386339310192866</v>
      </c>
      <c r="AD199" t="s">
        <v>73</v>
      </c>
    </row>
    <row r="200" spans="1:30" x14ac:dyDescent="0.3">
      <c r="A200" t="s">
        <v>566</v>
      </c>
      <c r="B200" s="5" t="s">
        <v>567</v>
      </c>
      <c r="C200" t="s">
        <v>423</v>
      </c>
      <c r="D200" s="5" t="s">
        <v>424</v>
      </c>
      <c r="E200">
        <v>10.018377945639982</v>
      </c>
      <c r="F200">
        <v>8.772139692871086</v>
      </c>
      <c r="G200">
        <v>10.171268880118371</v>
      </c>
      <c r="H200">
        <v>9.7742599007215762</v>
      </c>
      <c r="I200">
        <v>9.3033421765331941</v>
      </c>
      <c r="J200">
        <v>9.134974627806395</v>
      </c>
      <c r="K200">
        <v>8.0619767400942557</v>
      </c>
      <c r="L200">
        <v>7.4182514100524681</v>
      </c>
      <c r="M200">
        <v>7.3802240332434685</v>
      </c>
      <c r="N200">
        <v>8.0195266474749758</v>
      </c>
      <c r="O200">
        <v>8.9073796274716415</v>
      </c>
      <c r="P200">
        <v>8.1265846445356971</v>
      </c>
      <c r="Q200">
        <v>7.6583449745830032</v>
      </c>
      <c r="R200">
        <v>6.6499726141721727</v>
      </c>
      <c r="S200">
        <v>6.5382804286841321</v>
      </c>
      <c r="T200">
        <v>6.8768983430890689</v>
      </c>
      <c r="U200">
        <v>6.2655619639969906</v>
      </c>
      <c r="V200">
        <v>6.1964232353777762</v>
      </c>
      <c r="W200">
        <v>6.0041863918549154</v>
      </c>
      <c r="X200">
        <v>6.6541535628226987</v>
      </c>
      <c r="Y200">
        <v>6.8912259090968471</v>
      </c>
      <c r="Z200">
        <v>5.7048817163681633</v>
      </c>
      <c r="AA200">
        <v>6.6936096192260433</v>
      </c>
      <c r="AB200">
        <v>6.38984597795627</v>
      </c>
      <c r="AC200">
        <v>5.8204246787695135</v>
      </c>
      <c r="AD200" t="s">
        <v>73</v>
      </c>
    </row>
    <row r="201" spans="1:30" x14ac:dyDescent="0.3">
      <c r="A201" t="s">
        <v>566</v>
      </c>
      <c r="B201" s="5" t="s">
        <v>567</v>
      </c>
      <c r="C201" t="s">
        <v>425</v>
      </c>
      <c r="D201" s="5" t="s">
        <v>426</v>
      </c>
      <c r="E201">
        <v>22.538770821367031</v>
      </c>
      <c r="F201">
        <v>23.098044654000834</v>
      </c>
      <c r="G201">
        <v>20.932802829354554</v>
      </c>
      <c r="H201">
        <v>19.119602727043176</v>
      </c>
      <c r="I201">
        <v>18.355459225142237</v>
      </c>
      <c r="J201">
        <v>18.531997088628856</v>
      </c>
      <c r="K201">
        <v>17.197874061755584</v>
      </c>
      <c r="L201">
        <v>18.854814814814816</v>
      </c>
      <c r="M201">
        <v>10.721649484536082</v>
      </c>
      <c r="N201">
        <v>10.515352970786829</v>
      </c>
      <c r="O201">
        <v>11.340542556166683</v>
      </c>
      <c r="P201">
        <v>8.8843545580027605</v>
      </c>
      <c r="Q201">
        <v>8.5014668023708317</v>
      </c>
      <c r="R201">
        <v>8.4743942065829394</v>
      </c>
      <c r="S201">
        <v>8.2954435522878978</v>
      </c>
      <c r="T201">
        <v>9.3065387592877826</v>
      </c>
      <c r="U201">
        <v>10.52743832597379</v>
      </c>
      <c r="V201">
        <v>11.117807476156754</v>
      </c>
      <c r="W201">
        <v>11.041568836338914</v>
      </c>
      <c r="X201">
        <v>10.811357104506838</v>
      </c>
      <c r="Y201">
        <v>11.492052406103651</v>
      </c>
      <c r="Z201">
        <v>11.807959960234479</v>
      </c>
      <c r="AA201">
        <v>10.934487068923751</v>
      </c>
      <c r="AB201">
        <v>11.291652725481972</v>
      </c>
      <c r="AC201">
        <v>12.166743078998147</v>
      </c>
      <c r="AD201" t="s">
        <v>73</v>
      </c>
    </row>
    <row r="202" spans="1:30" x14ac:dyDescent="0.3">
      <c r="A202" t="s">
        <v>566</v>
      </c>
      <c r="B202" s="5" t="s">
        <v>567</v>
      </c>
      <c r="C202" t="s">
        <v>427</v>
      </c>
      <c r="D202" s="5" t="s">
        <v>428</v>
      </c>
      <c r="E202">
        <v>1.4461721375906147</v>
      </c>
      <c r="F202">
        <v>1.339810361014292</v>
      </c>
      <c r="G202">
        <v>1.0817328996730096</v>
      </c>
      <c r="H202">
        <v>1.280013159127827</v>
      </c>
      <c r="I202">
        <v>1.2833845553160346</v>
      </c>
      <c r="J202">
        <v>1.1482844945906461</v>
      </c>
      <c r="K202">
        <v>0.97251456763239352</v>
      </c>
      <c r="L202">
        <v>0.89852486780695284</v>
      </c>
      <c r="M202">
        <v>0.56880619091115636</v>
      </c>
      <c r="N202">
        <v>0.70082027828025983</v>
      </c>
      <c r="O202">
        <v>0.61125121580458597</v>
      </c>
      <c r="P202">
        <v>0.55223319307045216</v>
      </c>
      <c r="Q202">
        <v>0.51594048373772883</v>
      </c>
      <c r="R202">
        <v>0.53154768523666562</v>
      </c>
      <c r="S202">
        <v>0.51348257640300854</v>
      </c>
      <c r="T202">
        <v>0.41186192006855399</v>
      </c>
      <c r="U202">
        <v>0.36777979465558808</v>
      </c>
      <c r="V202">
        <v>0.37705829419729237</v>
      </c>
      <c r="W202">
        <v>0.34298870374160501</v>
      </c>
      <c r="X202">
        <v>0.29653647150756862</v>
      </c>
      <c r="Y202">
        <v>0.43750619292302706</v>
      </c>
      <c r="Z202">
        <v>0.35512701998206164</v>
      </c>
      <c r="AA202">
        <v>0.43301845941654771</v>
      </c>
      <c r="AB202">
        <v>0.36682567938422594</v>
      </c>
      <c r="AC202">
        <v>0.35167167226812762</v>
      </c>
      <c r="AD202" t="s">
        <v>73</v>
      </c>
    </row>
    <row r="203" spans="1:30" x14ac:dyDescent="0.3">
      <c r="A203" t="s">
        <v>566</v>
      </c>
      <c r="B203" s="5" t="s">
        <v>567</v>
      </c>
      <c r="C203" t="s">
        <v>429</v>
      </c>
      <c r="D203" s="5" t="s">
        <v>430</v>
      </c>
      <c r="E203">
        <v>16.338461538461537</v>
      </c>
      <c r="F203">
        <v>17.305555555555554</v>
      </c>
      <c r="G203">
        <v>15.942580645161291</v>
      </c>
      <c r="H203">
        <v>16.29</v>
      </c>
      <c r="I203">
        <v>17.647741935483872</v>
      </c>
      <c r="J203">
        <v>19.433333333333334</v>
      </c>
      <c r="K203">
        <v>21.659375000000001</v>
      </c>
      <c r="L203">
        <v>22.079411764705885</v>
      </c>
      <c r="M203">
        <v>21.010526315789473</v>
      </c>
      <c r="N203">
        <v>23.338888888888889</v>
      </c>
      <c r="O203">
        <v>26.514285714285712</v>
      </c>
      <c r="P203">
        <v>25.826315789473686</v>
      </c>
      <c r="Q203">
        <v>19.624736842105264</v>
      </c>
      <c r="R203">
        <v>19.014500000000002</v>
      </c>
      <c r="S203">
        <v>18.244186046511629</v>
      </c>
      <c r="T203">
        <v>15.916326530612245</v>
      </c>
      <c r="U203" t="s">
        <v>73</v>
      </c>
      <c r="V203" t="s">
        <v>73</v>
      </c>
      <c r="W203" t="s">
        <v>73</v>
      </c>
      <c r="X203" t="s">
        <v>73</v>
      </c>
      <c r="Y203" t="s">
        <v>73</v>
      </c>
      <c r="Z203" t="s">
        <v>73</v>
      </c>
      <c r="AA203" t="s">
        <v>73</v>
      </c>
      <c r="AB203" t="s">
        <v>73</v>
      </c>
      <c r="AC203" t="s">
        <v>73</v>
      </c>
      <c r="AD203" t="s">
        <v>73</v>
      </c>
    </row>
    <row r="204" spans="1:30" x14ac:dyDescent="0.3">
      <c r="A204" t="s">
        <v>566</v>
      </c>
      <c r="B204" s="5" t="s">
        <v>567</v>
      </c>
      <c r="C204" t="s">
        <v>431</v>
      </c>
      <c r="D204" s="5" t="s">
        <v>432</v>
      </c>
      <c r="E204">
        <v>27.509106881360836</v>
      </c>
      <c r="F204">
        <v>27.850241479527259</v>
      </c>
      <c r="G204">
        <v>23.433428002667533</v>
      </c>
      <c r="H204">
        <v>24.507022577482491</v>
      </c>
      <c r="I204">
        <v>21.670352642217885</v>
      </c>
      <c r="J204">
        <v>25.0749361336647</v>
      </c>
      <c r="K204">
        <v>24.034932983870263</v>
      </c>
      <c r="L204">
        <v>22.278113678868891</v>
      </c>
      <c r="M204">
        <v>21.384598562560704</v>
      </c>
      <c r="N204">
        <v>34.872859937466046</v>
      </c>
      <c r="O204">
        <v>32.868009077653568</v>
      </c>
      <c r="P204">
        <v>28.969247477790205</v>
      </c>
      <c r="Q204">
        <v>27.177257747557977</v>
      </c>
      <c r="R204">
        <v>26.03032374029592</v>
      </c>
      <c r="S204">
        <v>24.819975935343738</v>
      </c>
      <c r="T204">
        <v>23.472369693037098</v>
      </c>
      <c r="U204">
        <v>22.660322786988729</v>
      </c>
      <c r="V204">
        <v>23.458835382742553</v>
      </c>
      <c r="W204">
        <v>23.250293541273393</v>
      </c>
      <c r="X204">
        <v>22.945508806556425</v>
      </c>
      <c r="Y204">
        <v>23.929033720510283</v>
      </c>
      <c r="Z204">
        <v>23.841803827217191</v>
      </c>
      <c r="AA204">
        <v>24.011722052955268</v>
      </c>
      <c r="AB204">
        <v>24.089574689727826</v>
      </c>
      <c r="AC204">
        <v>24.618950598633031</v>
      </c>
      <c r="AD204" t="s">
        <v>73</v>
      </c>
    </row>
    <row r="205" spans="1:30" x14ac:dyDescent="0.3">
      <c r="A205" t="s">
        <v>566</v>
      </c>
      <c r="B205" s="5" t="s">
        <v>567</v>
      </c>
      <c r="C205" t="s">
        <v>433</v>
      </c>
      <c r="D205" s="5" t="s">
        <v>434</v>
      </c>
      <c r="E205">
        <v>13.951785065406977</v>
      </c>
      <c r="F205">
        <v>13.976086184444181</v>
      </c>
      <c r="G205">
        <v>12.603251074152849</v>
      </c>
      <c r="H205">
        <v>10.499540300337113</v>
      </c>
      <c r="I205">
        <v>10.43703711990692</v>
      </c>
      <c r="J205">
        <v>8.8753074946700927</v>
      </c>
      <c r="K205">
        <v>7.2390614104329423</v>
      </c>
      <c r="L205">
        <v>6.2830013340327469</v>
      </c>
      <c r="M205">
        <v>6.5354015213676773</v>
      </c>
      <c r="N205">
        <v>6.9053959592077234</v>
      </c>
      <c r="O205">
        <v>7.4022050982299428</v>
      </c>
      <c r="P205">
        <v>8.1502218387788723</v>
      </c>
      <c r="Q205">
        <v>7.7613124838941365</v>
      </c>
      <c r="R205">
        <v>8.692305621029556</v>
      </c>
      <c r="S205">
        <v>10.154608154816106</v>
      </c>
      <c r="T205">
        <v>12.059376106337098</v>
      </c>
      <c r="U205">
        <v>11.725700908916741</v>
      </c>
      <c r="V205">
        <v>10.177655039351247</v>
      </c>
      <c r="W205">
        <v>10.139533107022944</v>
      </c>
      <c r="X205">
        <v>8.9651810143724298</v>
      </c>
      <c r="Y205">
        <v>9.3101510980747157</v>
      </c>
      <c r="Z205">
        <v>10.885772106326923</v>
      </c>
      <c r="AA205">
        <v>8.5729762704151895</v>
      </c>
      <c r="AB205">
        <v>7.5519454625638263</v>
      </c>
      <c r="AC205">
        <v>7.1111665893467775</v>
      </c>
      <c r="AD205" t="s">
        <v>73</v>
      </c>
    </row>
    <row r="206" spans="1:30" x14ac:dyDescent="0.3">
      <c r="A206" t="s">
        <v>566</v>
      </c>
      <c r="B206" s="5" t="s">
        <v>567</v>
      </c>
      <c r="C206" t="s">
        <v>43</v>
      </c>
      <c r="D206" s="5" t="s">
        <v>435</v>
      </c>
      <c r="E206">
        <v>2.2626500930374576</v>
      </c>
      <c r="F206">
        <v>2.2382001623564887</v>
      </c>
      <c r="G206">
        <v>2.2033225886436898</v>
      </c>
      <c r="H206">
        <v>1.9276839325365367</v>
      </c>
      <c r="I206">
        <v>1.6653619090599296</v>
      </c>
      <c r="J206">
        <v>1.395409874085288</v>
      </c>
      <c r="K206">
        <v>1.0942440019467392</v>
      </c>
      <c r="L206">
        <v>0.9766711676662827</v>
      </c>
      <c r="M206">
        <v>0.82730546409322991</v>
      </c>
      <c r="N206">
        <v>1.0368868886082512</v>
      </c>
      <c r="O206">
        <v>0.73228439816592672</v>
      </c>
      <c r="P206">
        <v>0.65017317282736753</v>
      </c>
      <c r="Q206">
        <v>0.62771484069006345</v>
      </c>
      <c r="R206">
        <v>0.63129164517381298</v>
      </c>
      <c r="S206">
        <v>0.62560194082060683</v>
      </c>
      <c r="T206">
        <v>0.71628376470990796</v>
      </c>
      <c r="U206">
        <v>0.74080362034331626</v>
      </c>
      <c r="V206">
        <v>0.75370032092174888</v>
      </c>
      <c r="W206">
        <v>0.70564298062309438</v>
      </c>
      <c r="X206">
        <v>0.73462876993763782</v>
      </c>
      <c r="Y206">
        <v>0.96296573013020736</v>
      </c>
      <c r="Z206">
        <v>0.89034791442140593</v>
      </c>
      <c r="AA206">
        <v>0.74089692454565159</v>
      </c>
      <c r="AB206">
        <v>0.7640687114774426</v>
      </c>
      <c r="AC206">
        <v>0.76941924548896112</v>
      </c>
      <c r="AD206" t="s">
        <v>73</v>
      </c>
    </row>
    <row r="207" spans="1:30" x14ac:dyDescent="0.3">
      <c r="A207" t="s">
        <v>566</v>
      </c>
      <c r="B207" s="5" t="s">
        <v>567</v>
      </c>
      <c r="C207" t="s">
        <v>436</v>
      </c>
      <c r="D207" s="5" t="s">
        <v>437</v>
      </c>
      <c r="E207">
        <v>0.80515297906602246</v>
      </c>
      <c r="F207">
        <v>0.75842515962042234</v>
      </c>
      <c r="G207">
        <v>0.89976444905017894</v>
      </c>
      <c r="H207">
        <v>0.83120660402914215</v>
      </c>
      <c r="I207">
        <v>0.74144233138403326</v>
      </c>
      <c r="J207">
        <v>0.54715877224925868</v>
      </c>
      <c r="K207">
        <v>0.57507036155011915</v>
      </c>
      <c r="L207">
        <v>0.55331826626943237</v>
      </c>
      <c r="M207">
        <v>0.66982187806021276</v>
      </c>
      <c r="N207">
        <v>0.68090072816234393</v>
      </c>
      <c r="O207">
        <v>0.5657123017825415</v>
      </c>
      <c r="P207">
        <v>0.704214809469773</v>
      </c>
      <c r="Q207">
        <v>0.62478654917093956</v>
      </c>
      <c r="R207">
        <v>0.64089091998533321</v>
      </c>
      <c r="S207">
        <v>0.73794735758634633</v>
      </c>
      <c r="T207">
        <v>0.63355283358644321</v>
      </c>
      <c r="U207">
        <v>0.59049609553287064</v>
      </c>
      <c r="V207">
        <v>0.60613516356399089</v>
      </c>
      <c r="W207">
        <v>0.56309775603610124</v>
      </c>
      <c r="X207">
        <v>0.5769296494701861</v>
      </c>
      <c r="Y207">
        <v>0.68376068376068377</v>
      </c>
      <c r="Z207">
        <v>0.69821049386649403</v>
      </c>
      <c r="AA207">
        <v>0.68110605827546378</v>
      </c>
      <c r="AB207">
        <v>0.64818084968773659</v>
      </c>
      <c r="AC207">
        <v>0.63807079458225824</v>
      </c>
      <c r="AD207" t="s">
        <v>73</v>
      </c>
    </row>
    <row r="208" spans="1:30" x14ac:dyDescent="0.3">
      <c r="A208" t="s">
        <v>566</v>
      </c>
      <c r="B208" s="5" t="s">
        <v>567</v>
      </c>
      <c r="C208" t="s">
        <v>45</v>
      </c>
      <c r="D208" s="5" t="s">
        <v>438</v>
      </c>
      <c r="E208">
        <v>1.1505553636065333</v>
      </c>
      <c r="F208">
        <v>1.1292569744094012</v>
      </c>
      <c r="G208">
        <v>0.97371185967397667</v>
      </c>
      <c r="H208">
        <v>1.1210476039626482</v>
      </c>
      <c r="I208">
        <v>1.2654836302769581</v>
      </c>
      <c r="J208">
        <v>1.1505065593333021</v>
      </c>
      <c r="K208">
        <v>1.0094871866460204</v>
      </c>
      <c r="L208">
        <v>1.0751239774073447</v>
      </c>
      <c r="M208">
        <v>1.0530005971429823</v>
      </c>
      <c r="N208">
        <v>0.96028589202900161</v>
      </c>
      <c r="O208">
        <v>1.029437338206791</v>
      </c>
      <c r="P208">
        <v>1.2005591028466156</v>
      </c>
      <c r="Q208">
        <v>1.1493296429730642</v>
      </c>
      <c r="R208">
        <v>1.3210841644702356</v>
      </c>
      <c r="S208">
        <v>1.17206510494526</v>
      </c>
      <c r="T208">
        <v>1.0339337831033399</v>
      </c>
      <c r="U208">
        <v>0.94264455284260362</v>
      </c>
      <c r="V208">
        <v>0.94686867753213766</v>
      </c>
      <c r="W208">
        <v>0.90390064265554804</v>
      </c>
      <c r="X208">
        <v>0.83881289143120807</v>
      </c>
      <c r="Y208">
        <v>0.94884743179113418</v>
      </c>
      <c r="Z208">
        <v>0.95956665654343343</v>
      </c>
      <c r="AA208" t="s">
        <v>73</v>
      </c>
      <c r="AB208" t="s">
        <v>73</v>
      </c>
      <c r="AC208" t="s">
        <v>73</v>
      </c>
      <c r="AD208" t="s">
        <v>73</v>
      </c>
    </row>
    <row r="209" spans="1:30" x14ac:dyDescent="0.3">
      <c r="A209" t="s">
        <v>566</v>
      </c>
      <c r="B209" s="5" t="s">
        <v>567</v>
      </c>
      <c r="C209" t="s">
        <v>439</v>
      </c>
      <c r="D209" s="5" t="s">
        <v>440</v>
      </c>
      <c r="E209">
        <v>5.9941937995881558</v>
      </c>
      <c r="F209">
        <v>5.5867032330245019</v>
      </c>
      <c r="G209">
        <v>7.5296590453585246</v>
      </c>
      <c r="H209">
        <v>9.6387830062910762</v>
      </c>
      <c r="I209">
        <v>10.996790871986564</v>
      </c>
      <c r="J209">
        <v>8.745836743362764</v>
      </c>
      <c r="K209">
        <v>8.9138452299883273</v>
      </c>
      <c r="L209">
        <v>8.4993641886426445</v>
      </c>
      <c r="M209">
        <v>9.1689240364903366</v>
      </c>
      <c r="N209">
        <v>7.886996095628021</v>
      </c>
      <c r="O209">
        <v>7.2020645074914906</v>
      </c>
      <c r="P209">
        <v>8.8291619985624923</v>
      </c>
      <c r="Q209">
        <v>8.1217724851239268</v>
      </c>
      <c r="R209">
        <v>7.6162006270549139</v>
      </c>
      <c r="S209">
        <v>6.7354621724253718</v>
      </c>
      <c r="T209">
        <v>6.131441942903578</v>
      </c>
      <c r="U209">
        <v>6.6787196629310692</v>
      </c>
      <c r="V209">
        <v>5.4063990487828697</v>
      </c>
      <c r="W209">
        <v>5.8238663933230033</v>
      </c>
      <c r="X209">
        <v>6.502795596969646</v>
      </c>
      <c r="Y209">
        <v>7.2067029137345262</v>
      </c>
      <c r="Z209">
        <v>7.7342677449900119</v>
      </c>
      <c r="AA209">
        <v>6.9184027757707378</v>
      </c>
      <c r="AB209">
        <v>6.0910093984627185</v>
      </c>
      <c r="AC209">
        <v>6.4218882184042201</v>
      </c>
      <c r="AD209" t="s">
        <v>73</v>
      </c>
    </row>
    <row r="210" spans="1:30" x14ac:dyDescent="0.3">
      <c r="A210" t="s">
        <v>566</v>
      </c>
      <c r="B210" s="5" t="s">
        <v>567</v>
      </c>
      <c r="C210" t="s">
        <v>441</v>
      </c>
      <c r="D210" s="5" t="s">
        <v>442</v>
      </c>
      <c r="E210">
        <v>30.055903673669981</v>
      </c>
      <c r="F210">
        <v>29.973808702007997</v>
      </c>
      <c r="G210">
        <v>30.122681270301467</v>
      </c>
      <c r="H210">
        <v>28.462007314099957</v>
      </c>
      <c r="I210">
        <v>26.444009460892261</v>
      </c>
      <c r="J210">
        <v>26.331059949508273</v>
      </c>
      <c r="K210">
        <v>25.079408659922652</v>
      </c>
      <c r="L210">
        <v>23.235899255054985</v>
      </c>
      <c r="M210">
        <v>19.68960579730971</v>
      </c>
      <c r="N210">
        <v>18.632684969904162</v>
      </c>
      <c r="O210">
        <v>26.922027312725451</v>
      </c>
      <c r="P210">
        <v>29.698578103928043</v>
      </c>
      <c r="Q210">
        <v>28.963556697879127</v>
      </c>
      <c r="R210">
        <v>27.810601816602926</v>
      </c>
      <c r="S210">
        <v>28.69632894769552</v>
      </c>
      <c r="T210">
        <v>29.220718566953668</v>
      </c>
      <c r="U210">
        <v>29.27665430555561</v>
      </c>
      <c r="V210">
        <v>25.4562457149834</v>
      </c>
      <c r="W210">
        <v>23.926262439308566</v>
      </c>
      <c r="X210">
        <v>21.841911741119723</v>
      </c>
      <c r="Y210">
        <v>22.527711009349201</v>
      </c>
      <c r="Z210">
        <v>22.154728309316639</v>
      </c>
      <c r="AA210">
        <v>20.97377168914149</v>
      </c>
      <c r="AB210">
        <v>20.167649595056112</v>
      </c>
      <c r="AC210">
        <v>18.325982693232042</v>
      </c>
      <c r="AD210" t="s">
        <v>73</v>
      </c>
    </row>
    <row r="211" spans="1:30" x14ac:dyDescent="0.3">
      <c r="A211" t="s">
        <v>566</v>
      </c>
      <c r="B211" s="5" t="s">
        <v>567</v>
      </c>
      <c r="C211" t="s">
        <v>443</v>
      </c>
      <c r="D211" s="5" t="s">
        <v>444</v>
      </c>
      <c r="E211">
        <v>22.964130231564329</v>
      </c>
      <c r="F211">
        <v>23.529882604055498</v>
      </c>
      <c r="G211">
        <v>24.266134106639676</v>
      </c>
      <c r="H211">
        <v>22.828887443070915</v>
      </c>
      <c r="I211">
        <v>23.598754993505381</v>
      </c>
      <c r="J211">
        <v>22.2744970798183</v>
      </c>
      <c r="K211">
        <v>20.984962251342289</v>
      </c>
      <c r="L211">
        <v>20.959204506786648</v>
      </c>
      <c r="M211">
        <v>20.014032039824265</v>
      </c>
      <c r="N211">
        <v>19.390739364813381</v>
      </c>
      <c r="O211">
        <v>19.542741091759495</v>
      </c>
      <c r="P211">
        <v>20.859153907553878</v>
      </c>
      <c r="Q211">
        <v>21.618695689829384</v>
      </c>
      <c r="R211">
        <v>21.521229704848519</v>
      </c>
      <c r="S211">
        <v>23.835645620855857</v>
      </c>
      <c r="T211">
        <v>21.604386579385977</v>
      </c>
      <c r="U211">
        <v>20.928606631594633</v>
      </c>
      <c r="V211">
        <v>21.370683022964162</v>
      </c>
      <c r="W211">
        <v>21.219398438042692</v>
      </c>
      <c r="X211">
        <v>21.120521172638437</v>
      </c>
      <c r="Y211">
        <v>22.868796996064006</v>
      </c>
      <c r="Z211">
        <v>24.084096786287649</v>
      </c>
      <c r="AA211">
        <v>24.305270250283478</v>
      </c>
      <c r="AB211" t="s">
        <v>73</v>
      </c>
      <c r="AC211" t="s">
        <v>73</v>
      </c>
      <c r="AD211" t="s">
        <v>73</v>
      </c>
    </row>
    <row r="212" spans="1:30" x14ac:dyDescent="0.3">
      <c r="A212" t="s">
        <v>566</v>
      </c>
      <c r="B212" s="5" t="s">
        <v>567</v>
      </c>
      <c r="C212" t="s">
        <v>445</v>
      </c>
      <c r="D212" s="5" t="s">
        <v>446</v>
      </c>
      <c r="E212">
        <v>3.9329857306368012</v>
      </c>
      <c r="F212">
        <v>4.2315124854523436</v>
      </c>
      <c r="G212">
        <v>3.8470461924177677</v>
      </c>
      <c r="H212">
        <v>4.3131464396061583</v>
      </c>
      <c r="I212">
        <v>3.7188171835877379</v>
      </c>
      <c r="J212">
        <v>3.6951832324594536</v>
      </c>
      <c r="K212">
        <v>3.6568046342888962</v>
      </c>
      <c r="L212">
        <v>3.8135393886189339</v>
      </c>
      <c r="M212">
        <v>4.1584161157050534</v>
      </c>
      <c r="N212">
        <v>5.6621777947413978</v>
      </c>
      <c r="O212">
        <v>5.3752651655055361</v>
      </c>
      <c r="P212">
        <v>5.0129300643109413</v>
      </c>
      <c r="Q212" t="s">
        <v>73</v>
      </c>
      <c r="R212" t="s">
        <v>73</v>
      </c>
      <c r="S212" t="s">
        <v>73</v>
      </c>
      <c r="T212" t="s">
        <v>73</v>
      </c>
      <c r="U212" t="s">
        <v>73</v>
      </c>
      <c r="V212" t="s">
        <v>73</v>
      </c>
      <c r="W212" t="s">
        <v>73</v>
      </c>
      <c r="X212" t="s">
        <v>73</v>
      </c>
      <c r="Y212" t="s">
        <v>73</v>
      </c>
      <c r="Z212" t="s">
        <v>73</v>
      </c>
      <c r="AA212" t="s">
        <v>73</v>
      </c>
      <c r="AB212" t="s">
        <v>73</v>
      </c>
      <c r="AC212" t="s">
        <v>73</v>
      </c>
      <c r="AD212" t="s">
        <v>73</v>
      </c>
    </row>
    <row r="213" spans="1:30" x14ac:dyDescent="0.3">
      <c r="A213" t="s">
        <v>566</v>
      </c>
      <c r="B213" s="5" t="s">
        <v>567</v>
      </c>
      <c r="C213" t="s">
        <v>447</v>
      </c>
      <c r="D213" s="5" t="s">
        <v>448</v>
      </c>
      <c r="E213">
        <v>24.534581995534886</v>
      </c>
      <c r="F213">
        <v>23.241047590355187</v>
      </c>
      <c r="G213">
        <v>23.029442177683375</v>
      </c>
      <c r="H213">
        <v>22.54243670561079</v>
      </c>
      <c r="I213">
        <v>21.807699351467271</v>
      </c>
      <c r="J213">
        <v>19.299978884049359</v>
      </c>
      <c r="K213">
        <v>18.726785453552068</v>
      </c>
      <c r="L213">
        <v>18.655099701708977</v>
      </c>
      <c r="M213">
        <v>20.413143924650708</v>
      </c>
      <c r="N213">
        <v>19.168459867042461</v>
      </c>
      <c r="O213">
        <v>15.37509068723813</v>
      </c>
      <c r="P213">
        <v>16.259148489628313</v>
      </c>
      <c r="Q213">
        <v>16.19950764039303</v>
      </c>
      <c r="R213">
        <v>15.215612246512672</v>
      </c>
      <c r="S213">
        <v>14.880348926272232</v>
      </c>
      <c r="T213">
        <v>14.474726178954747</v>
      </c>
      <c r="U213">
        <v>13.818255373086611</v>
      </c>
      <c r="V213">
        <v>12.929879485236235</v>
      </c>
      <c r="W213">
        <v>12.306668431042803</v>
      </c>
      <c r="X213">
        <v>11.784528554038655</v>
      </c>
      <c r="Y213">
        <v>12.655403568555631</v>
      </c>
      <c r="Z213">
        <v>12.603090465274505</v>
      </c>
      <c r="AA213">
        <v>11.880299830258508</v>
      </c>
      <c r="AB213">
        <v>11.861671158879421</v>
      </c>
      <c r="AC213">
        <v>11.863490698354566</v>
      </c>
      <c r="AD213" t="s">
        <v>73</v>
      </c>
    </row>
    <row r="214" spans="1:30" x14ac:dyDescent="0.3">
      <c r="A214" t="s">
        <v>566</v>
      </c>
      <c r="B214" s="5" t="s">
        <v>567</v>
      </c>
      <c r="C214" t="s">
        <v>449</v>
      </c>
      <c r="D214" s="5" t="s">
        <v>450</v>
      </c>
      <c r="E214" t="s">
        <v>73</v>
      </c>
      <c r="F214" t="s">
        <v>73</v>
      </c>
      <c r="G214" t="s">
        <v>73</v>
      </c>
      <c r="H214" t="s">
        <v>73</v>
      </c>
      <c r="I214" t="s">
        <v>73</v>
      </c>
      <c r="J214" t="s">
        <v>73</v>
      </c>
      <c r="K214" t="s">
        <v>73</v>
      </c>
      <c r="L214" t="s">
        <v>73</v>
      </c>
      <c r="M214" t="s">
        <v>73</v>
      </c>
      <c r="N214" t="s">
        <v>73</v>
      </c>
      <c r="O214" t="s">
        <v>73</v>
      </c>
      <c r="P214" t="s">
        <v>73</v>
      </c>
      <c r="Q214" t="s">
        <v>73</v>
      </c>
      <c r="R214" t="s">
        <v>73</v>
      </c>
      <c r="S214" t="s">
        <v>73</v>
      </c>
      <c r="T214" t="s">
        <v>73</v>
      </c>
      <c r="U214" t="s">
        <v>73</v>
      </c>
      <c r="V214" t="s">
        <v>73</v>
      </c>
      <c r="W214" t="s">
        <v>73</v>
      </c>
      <c r="X214" t="s">
        <v>73</v>
      </c>
      <c r="Y214" t="s">
        <v>73</v>
      </c>
      <c r="Z214" t="s">
        <v>73</v>
      </c>
      <c r="AA214" t="s">
        <v>73</v>
      </c>
      <c r="AB214" t="s">
        <v>73</v>
      </c>
      <c r="AC214" t="s">
        <v>73</v>
      </c>
      <c r="AD214" t="s">
        <v>73</v>
      </c>
    </row>
    <row r="215" spans="1:30" x14ac:dyDescent="0.3">
      <c r="A215" t="s">
        <v>566</v>
      </c>
      <c r="B215" s="5" t="s">
        <v>567</v>
      </c>
      <c r="C215" t="s">
        <v>451</v>
      </c>
      <c r="D215" s="5" t="s">
        <v>452</v>
      </c>
      <c r="E215">
        <v>9.681008902077151</v>
      </c>
      <c r="F215">
        <v>8.4721632489946792</v>
      </c>
      <c r="G215">
        <v>8.031947803588503</v>
      </c>
      <c r="H215">
        <v>6.980846774193548</v>
      </c>
      <c r="I215">
        <v>11.140318481023655</v>
      </c>
      <c r="J215">
        <v>8.9899916109019262</v>
      </c>
      <c r="K215">
        <v>11.386795804274255</v>
      </c>
      <c r="L215">
        <v>8.9258386780611101</v>
      </c>
      <c r="M215">
        <v>10.128036769533814</v>
      </c>
      <c r="N215">
        <v>10.021395797519077</v>
      </c>
      <c r="O215">
        <v>9.0027371791561226</v>
      </c>
      <c r="P215">
        <v>8.3424964911810182</v>
      </c>
      <c r="Q215">
        <v>8.1058943022836747</v>
      </c>
      <c r="R215">
        <v>7.5986829935999411</v>
      </c>
      <c r="S215">
        <v>7.8350500725533792</v>
      </c>
      <c r="T215">
        <v>7.4088918152930061</v>
      </c>
      <c r="U215">
        <v>7.6038272294130627</v>
      </c>
      <c r="V215">
        <v>7.0405505952380958</v>
      </c>
      <c r="W215">
        <v>7.3596451347332978</v>
      </c>
      <c r="X215">
        <v>7.0540169842705804</v>
      </c>
      <c r="Y215">
        <v>7.1016051043993906</v>
      </c>
      <c r="Z215">
        <v>6.3167485780551109</v>
      </c>
      <c r="AA215">
        <v>5.7452192742166917</v>
      </c>
      <c r="AB215">
        <v>5.7037522621708998</v>
      </c>
      <c r="AC215" t="s">
        <v>73</v>
      </c>
      <c r="AD215" t="s">
        <v>73</v>
      </c>
    </row>
    <row r="216" spans="1:30" x14ac:dyDescent="0.3">
      <c r="A216" t="s">
        <v>566</v>
      </c>
      <c r="B216" s="5" t="s">
        <v>567</v>
      </c>
      <c r="C216" t="s">
        <v>453</v>
      </c>
      <c r="D216" s="5" t="s">
        <v>454</v>
      </c>
      <c r="E216">
        <v>14.46691539878206</v>
      </c>
      <c r="F216">
        <v>14.938527640618709</v>
      </c>
      <c r="G216">
        <v>14.314148813076841</v>
      </c>
      <c r="H216">
        <v>13.744971970852649</v>
      </c>
      <c r="I216">
        <v>12.41536665249328</v>
      </c>
      <c r="J216">
        <v>11.093242133943546</v>
      </c>
      <c r="K216">
        <v>10.705582429670038</v>
      </c>
      <c r="L216">
        <v>10.419289027740991</v>
      </c>
      <c r="M216">
        <v>10.196858717372219</v>
      </c>
      <c r="N216">
        <v>10.019070493591736</v>
      </c>
      <c r="O216">
        <v>9.8737090275535557</v>
      </c>
      <c r="P216">
        <v>9.7526442753318268</v>
      </c>
      <c r="Q216">
        <v>16.990332275024052</v>
      </c>
      <c r="R216">
        <v>17.684984683732331</v>
      </c>
      <c r="S216">
        <v>17.676573820423226</v>
      </c>
      <c r="T216">
        <v>20.205937399720685</v>
      </c>
      <c r="U216">
        <v>25.090913088516476</v>
      </c>
      <c r="V216">
        <v>26.961066362182688</v>
      </c>
      <c r="W216">
        <v>28.745140314681183</v>
      </c>
      <c r="X216" t="s">
        <v>73</v>
      </c>
      <c r="Y216" t="s">
        <v>73</v>
      </c>
      <c r="Z216" t="s">
        <v>73</v>
      </c>
      <c r="AA216" t="s">
        <v>73</v>
      </c>
      <c r="AB216" t="s">
        <v>73</v>
      </c>
      <c r="AC216" t="s">
        <v>73</v>
      </c>
      <c r="AD216" t="s">
        <v>73</v>
      </c>
    </row>
    <row r="217" spans="1:30" x14ac:dyDescent="0.3">
      <c r="A217" t="s">
        <v>566</v>
      </c>
      <c r="B217" s="5" t="s">
        <v>567</v>
      </c>
      <c r="C217" t="s">
        <v>455</v>
      </c>
      <c r="D217" s="5" t="s">
        <v>456</v>
      </c>
      <c r="E217">
        <v>16.149773456038517</v>
      </c>
      <c r="F217">
        <v>15.527482235864829</v>
      </c>
      <c r="G217">
        <v>15.36142993836803</v>
      </c>
      <c r="H217">
        <v>15.617099615815583</v>
      </c>
      <c r="I217">
        <v>15.580942882228419</v>
      </c>
      <c r="J217">
        <v>14.588551371728469</v>
      </c>
      <c r="K217">
        <v>13.206271058776577</v>
      </c>
      <c r="L217">
        <v>12.105596237559734</v>
      </c>
      <c r="M217">
        <v>11.453999754760501</v>
      </c>
      <c r="N217">
        <v>11.552783633397338</v>
      </c>
      <c r="O217">
        <v>9.4209461098177343</v>
      </c>
      <c r="P217">
        <v>9.6480578217672388</v>
      </c>
      <c r="Q217">
        <v>9.3216395357060087</v>
      </c>
      <c r="R217">
        <v>8.2265231842781716</v>
      </c>
      <c r="S217">
        <v>6.7795978521786493</v>
      </c>
      <c r="T217">
        <v>4.9808365643114607</v>
      </c>
      <c r="U217">
        <v>6.2284719895602922</v>
      </c>
      <c r="V217">
        <v>4.0242711937364977</v>
      </c>
      <c r="W217">
        <v>3.3411239920944884</v>
      </c>
      <c r="X217">
        <v>2.8607749368079616</v>
      </c>
      <c r="Y217">
        <v>2.9726338454884682</v>
      </c>
      <c r="Z217">
        <v>3.0009183153374694</v>
      </c>
      <c r="AA217">
        <v>3.0940158340762234</v>
      </c>
      <c r="AB217">
        <v>2.2301203425934344</v>
      </c>
      <c r="AC217">
        <v>2.8337076446501905</v>
      </c>
      <c r="AD217" t="s">
        <v>73</v>
      </c>
    </row>
    <row r="218" spans="1:30" x14ac:dyDescent="0.3">
      <c r="A218" t="s">
        <v>566</v>
      </c>
      <c r="B218" s="5" t="s">
        <v>567</v>
      </c>
      <c r="C218" t="s">
        <v>457</v>
      </c>
      <c r="D218" s="5" t="s">
        <v>458</v>
      </c>
      <c r="E218">
        <v>15.668770776528593</v>
      </c>
      <c r="F218">
        <v>15.628802123658888</v>
      </c>
      <c r="G218">
        <v>12.568456719593396</v>
      </c>
      <c r="H218">
        <v>14.793648023732658</v>
      </c>
      <c r="I218">
        <v>18.064044073340792</v>
      </c>
      <c r="J218">
        <v>17.14930751530413</v>
      </c>
      <c r="K218">
        <v>19.23165190251067</v>
      </c>
      <c r="L218">
        <v>21.195523867982434</v>
      </c>
      <c r="M218">
        <v>19.018786781349025</v>
      </c>
      <c r="N218">
        <v>10.743737559134503</v>
      </c>
      <c r="O218">
        <v>9.6096781556722224</v>
      </c>
      <c r="P218">
        <v>8.6664540364306468</v>
      </c>
      <c r="Q218">
        <v>8.0445002481969237</v>
      </c>
      <c r="R218">
        <v>7.1450073949975792</v>
      </c>
      <c r="S218">
        <v>8.7449693676142619</v>
      </c>
      <c r="T218">
        <v>8.2848309614108864</v>
      </c>
      <c r="U218">
        <v>7.8735848827170258</v>
      </c>
      <c r="V218">
        <v>7.2478815295922319</v>
      </c>
      <c r="W218">
        <v>7.319200562822151</v>
      </c>
      <c r="X218">
        <v>22.70565248054756</v>
      </c>
      <c r="Y218">
        <v>20.847051091370812</v>
      </c>
      <c r="Z218">
        <v>21.485653016059871</v>
      </c>
      <c r="AA218">
        <v>17.06123089314713</v>
      </c>
      <c r="AB218">
        <v>11.494869401141738</v>
      </c>
      <c r="AC218">
        <v>8.6884508277860348</v>
      </c>
      <c r="AD218" t="s">
        <v>73</v>
      </c>
    </row>
    <row r="219" spans="1:30" x14ac:dyDescent="0.3">
      <c r="A219" t="s">
        <v>566</v>
      </c>
      <c r="B219" s="5" t="s">
        <v>567</v>
      </c>
      <c r="C219" t="s">
        <v>459</v>
      </c>
      <c r="D219" s="5" t="s">
        <v>460</v>
      </c>
      <c r="E219">
        <v>12.916040796149955</v>
      </c>
      <c r="F219">
        <v>12.811883161199292</v>
      </c>
      <c r="G219">
        <v>12.923772984898022</v>
      </c>
      <c r="H219">
        <v>11.161036333076593</v>
      </c>
      <c r="I219">
        <v>10.051758213861198</v>
      </c>
      <c r="J219">
        <v>9.9643550937910721</v>
      </c>
      <c r="K219">
        <v>10.263076702080973</v>
      </c>
      <c r="L219">
        <v>11.171946318351317</v>
      </c>
      <c r="M219">
        <v>12.395157528360818</v>
      </c>
      <c r="N219">
        <v>12.663418244605468</v>
      </c>
      <c r="O219">
        <v>11.509743350716453</v>
      </c>
      <c r="P219">
        <v>10.394736071100102</v>
      </c>
      <c r="Q219">
        <v>11.14282764136393</v>
      </c>
      <c r="R219">
        <v>11.490247145699819</v>
      </c>
      <c r="S219">
        <v>12.276576828143869</v>
      </c>
      <c r="T219">
        <v>13.015092878408868</v>
      </c>
      <c r="U219">
        <v>12.886467602979797</v>
      </c>
      <c r="V219">
        <v>12.46247449746161</v>
      </c>
      <c r="W219">
        <v>11.991747543542946</v>
      </c>
      <c r="X219">
        <v>12.953763438791679</v>
      </c>
      <c r="Y219">
        <v>14.73415264623053</v>
      </c>
      <c r="Z219">
        <v>13.728741110320813</v>
      </c>
      <c r="AA219">
        <v>14.185522645087174</v>
      </c>
      <c r="AB219">
        <v>15.333072831833647</v>
      </c>
      <c r="AC219">
        <v>15.265257733770705</v>
      </c>
      <c r="AD219" t="s">
        <v>73</v>
      </c>
    </row>
    <row r="220" spans="1:30" x14ac:dyDescent="0.3">
      <c r="A220" t="s">
        <v>566</v>
      </c>
      <c r="B220" s="5" t="s">
        <v>567</v>
      </c>
      <c r="C220" t="s">
        <v>461</v>
      </c>
      <c r="D220" s="5" t="s">
        <v>462</v>
      </c>
      <c r="E220">
        <v>20.700251542288196</v>
      </c>
      <c r="F220">
        <v>22.819738733281977</v>
      </c>
      <c r="G220">
        <v>29.694361158597115</v>
      </c>
      <c r="H220">
        <v>27.512263890769805</v>
      </c>
      <c r="I220">
        <v>23.852378749779312</v>
      </c>
      <c r="J220">
        <v>23.373343450222954</v>
      </c>
      <c r="K220">
        <v>22.34713652163617</v>
      </c>
      <c r="L220">
        <v>22.052420737501194</v>
      </c>
      <c r="M220">
        <v>22.603642778250684</v>
      </c>
      <c r="N220">
        <v>23.705475160566866</v>
      </c>
      <c r="O220">
        <v>22.132125922987054</v>
      </c>
      <c r="P220">
        <v>20.519524961019879</v>
      </c>
      <c r="Q220">
        <v>20.33878451438413</v>
      </c>
      <c r="R220">
        <v>19.619696294945115</v>
      </c>
      <c r="S220">
        <v>19.193302092404551</v>
      </c>
      <c r="T220">
        <v>20.178587107617254</v>
      </c>
      <c r="U220">
        <v>20.596468802556444</v>
      </c>
      <c r="V220">
        <v>20.35676898162178</v>
      </c>
      <c r="W220">
        <v>20.549536004194096</v>
      </c>
      <c r="X220">
        <v>23.465495455540029</v>
      </c>
      <c r="Y220">
        <v>25.398177808289972</v>
      </c>
      <c r="Z220">
        <v>25.622993658814373</v>
      </c>
      <c r="AA220">
        <v>25.371746508818678</v>
      </c>
      <c r="AB220">
        <v>24.152888955184476</v>
      </c>
      <c r="AC220">
        <v>22.555409348358417</v>
      </c>
      <c r="AD220" t="s">
        <v>73</v>
      </c>
    </row>
    <row r="221" spans="1:30" x14ac:dyDescent="0.3">
      <c r="A221" t="s">
        <v>566</v>
      </c>
      <c r="B221" s="5" t="s">
        <v>567</v>
      </c>
      <c r="C221" t="s">
        <v>463</v>
      </c>
      <c r="D221" s="5" t="s">
        <v>464</v>
      </c>
      <c r="E221">
        <v>7.34330524800753</v>
      </c>
      <c r="F221">
        <v>7.8005303593402369</v>
      </c>
      <c r="G221">
        <v>7.8207350993969973</v>
      </c>
      <c r="H221">
        <v>7.4558458313342815</v>
      </c>
      <c r="I221">
        <v>6.617132306979884</v>
      </c>
      <c r="J221">
        <v>5.8268769738164616</v>
      </c>
      <c r="K221">
        <v>5.5991826073586219</v>
      </c>
      <c r="L221">
        <v>5.6053306773707501</v>
      </c>
      <c r="M221">
        <v>5.0848764999718545</v>
      </c>
      <c r="N221">
        <v>6.14797951839261</v>
      </c>
      <c r="O221">
        <v>5.6909501320103297</v>
      </c>
      <c r="P221">
        <v>5.1268760614785167</v>
      </c>
      <c r="Q221">
        <v>4.6502258184891119</v>
      </c>
      <c r="R221">
        <v>4.7640741333166003</v>
      </c>
      <c r="S221">
        <v>4.9793728751945538</v>
      </c>
      <c r="T221">
        <v>5.6171146395510929</v>
      </c>
      <c r="U221">
        <v>5.4237302781423473</v>
      </c>
      <c r="V221">
        <v>4.9760123743282989</v>
      </c>
      <c r="W221">
        <v>4.6223894718067333</v>
      </c>
      <c r="X221">
        <v>4.7913439502465076</v>
      </c>
      <c r="Y221">
        <v>5.6054827107293521</v>
      </c>
      <c r="Z221">
        <v>4.8754680157433485</v>
      </c>
      <c r="AA221">
        <v>4.3305689564959549</v>
      </c>
      <c r="AB221">
        <v>4.9689973745775466</v>
      </c>
      <c r="AC221">
        <v>5.382120110183517</v>
      </c>
      <c r="AD221" t="s">
        <v>73</v>
      </c>
    </row>
    <row r="222" spans="1:30" x14ac:dyDescent="0.3">
      <c r="A222" t="s">
        <v>566</v>
      </c>
      <c r="B222" s="5" t="s">
        <v>567</v>
      </c>
      <c r="C222" t="s">
        <v>465</v>
      </c>
      <c r="D222" s="5" t="s">
        <v>466</v>
      </c>
      <c r="E222">
        <v>3.2993171484559514</v>
      </c>
      <c r="F222">
        <v>3.0809018420037884</v>
      </c>
      <c r="G222">
        <v>3.1697516353717328</v>
      </c>
      <c r="H222">
        <v>2.9337773293920719</v>
      </c>
      <c r="I222">
        <v>2.6283699320781269</v>
      </c>
      <c r="J222">
        <v>2.2549648090619727</v>
      </c>
      <c r="K222">
        <v>3.7927459283859868</v>
      </c>
      <c r="L222">
        <v>3.454946044609212</v>
      </c>
      <c r="M222">
        <v>3.3289013672753325</v>
      </c>
      <c r="N222">
        <v>4.0720104194493247</v>
      </c>
      <c r="O222">
        <v>3.9058073059848519</v>
      </c>
      <c r="P222">
        <v>3.5670037936333983</v>
      </c>
      <c r="Q222">
        <v>3.7143895267035529</v>
      </c>
      <c r="R222">
        <v>3.7940922374501924</v>
      </c>
      <c r="S222">
        <v>3.6910410766463202</v>
      </c>
      <c r="T222">
        <v>4.0615329429681459</v>
      </c>
      <c r="U222">
        <v>3.7032766191912412</v>
      </c>
      <c r="V222">
        <v>3.9772467122838959</v>
      </c>
      <c r="W222">
        <v>3.5949216875262917</v>
      </c>
      <c r="X222">
        <v>3.3159263918076736</v>
      </c>
      <c r="Y222">
        <v>3.8669221705921117</v>
      </c>
      <c r="Z222">
        <v>3.5543720643649546</v>
      </c>
      <c r="AA222">
        <v>3.3215753285807672</v>
      </c>
      <c r="AB222">
        <v>3.5092310714446384</v>
      </c>
      <c r="AC222">
        <v>3.414149283766895</v>
      </c>
      <c r="AD222" t="s">
        <v>73</v>
      </c>
    </row>
    <row r="223" spans="1:30" x14ac:dyDescent="0.3">
      <c r="A223" t="s">
        <v>566</v>
      </c>
      <c r="B223" s="5" t="s">
        <v>567</v>
      </c>
      <c r="C223" t="s">
        <v>467</v>
      </c>
      <c r="D223" s="5" t="s">
        <v>468</v>
      </c>
      <c r="E223">
        <v>4.3790538713244338</v>
      </c>
      <c r="F223">
        <v>4.594433588334895</v>
      </c>
      <c r="G223">
        <v>4.0832037208405199</v>
      </c>
      <c r="H223">
        <v>3.9277587417732711</v>
      </c>
      <c r="I223">
        <v>4.3514130581554697</v>
      </c>
      <c r="J223">
        <v>3.6966288471446722</v>
      </c>
      <c r="K223">
        <v>3.4953370365768519</v>
      </c>
      <c r="L223">
        <v>3.330895825182127</v>
      </c>
      <c r="M223">
        <v>3.291724533288142</v>
      </c>
      <c r="N223">
        <v>3.0512408560531408</v>
      </c>
      <c r="O223">
        <v>2.9606019608525047</v>
      </c>
      <c r="P223">
        <v>3.3988240131207754</v>
      </c>
      <c r="Q223">
        <v>3.1547193677923087</v>
      </c>
      <c r="R223">
        <v>3.4049104371754262</v>
      </c>
      <c r="S223">
        <v>3.2791697197930612</v>
      </c>
      <c r="T223">
        <v>2.9324436444264421</v>
      </c>
      <c r="U223">
        <v>2.9395957688154217</v>
      </c>
      <c r="V223">
        <v>3.0765215602674001</v>
      </c>
      <c r="W223">
        <v>2.8086324477749041</v>
      </c>
      <c r="X223">
        <v>2.7158968806522847</v>
      </c>
      <c r="Y223">
        <v>2.8060141715208813</v>
      </c>
      <c r="Z223">
        <v>2.795560856715702</v>
      </c>
      <c r="AA223">
        <v>2.9306563164635113</v>
      </c>
      <c r="AB223">
        <v>2.6828538857474293</v>
      </c>
      <c r="AC223">
        <v>2.4419437564359407</v>
      </c>
      <c r="AD223" t="s">
        <v>73</v>
      </c>
    </row>
    <row r="224" spans="1:30" x14ac:dyDescent="0.3">
      <c r="A224" t="s">
        <v>566</v>
      </c>
      <c r="B224" s="5" t="s">
        <v>567</v>
      </c>
      <c r="C224" t="s">
        <v>469</v>
      </c>
      <c r="D224" s="5" t="s">
        <v>470</v>
      </c>
      <c r="E224">
        <v>10.499771165663152</v>
      </c>
      <c r="F224">
        <v>10.257278458465192</v>
      </c>
      <c r="G224">
        <v>10.575414343940896</v>
      </c>
      <c r="H224">
        <v>10.703622397206871</v>
      </c>
      <c r="I224">
        <v>10.014293608436319</v>
      </c>
      <c r="J224">
        <v>9.5966864045753049</v>
      </c>
      <c r="K224">
        <v>9.2812670952058216</v>
      </c>
      <c r="L224">
        <v>9.5474510189180446</v>
      </c>
      <c r="M224">
        <v>9.4181035516371381</v>
      </c>
      <c r="N224">
        <v>10.311077632617682</v>
      </c>
      <c r="O224">
        <v>10.378100273426043</v>
      </c>
      <c r="P224">
        <v>10.127914199291817</v>
      </c>
      <c r="Q224">
        <v>9.8900700516280136</v>
      </c>
      <c r="R224">
        <v>10.08800614166665</v>
      </c>
      <c r="S224">
        <v>10.304557324509032</v>
      </c>
      <c r="T224">
        <v>10.594833748417686</v>
      </c>
      <c r="U224">
        <v>10.846994286017559</v>
      </c>
      <c r="V224">
        <v>10.717090860868176</v>
      </c>
      <c r="W224">
        <v>10.406834792963638</v>
      </c>
      <c r="X224">
        <v>10.810769086361873</v>
      </c>
      <c r="Y224">
        <v>12.026168028976517</v>
      </c>
      <c r="Z224">
        <v>11.392604544345376</v>
      </c>
      <c r="AA224">
        <v>10.830414235908773</v>
      </c>
      <c r="AB224">
        <v>10.705929573472542</v>
      </c>
      <c r="AC224">
        <v>10.812620705204337</v>
      </c>
      <c r="AD224" t="s">
        <v>73</v>
      </c>
    </row>
    <row r="225" spans="1:30" x14ac:dyDescent="0.3">
      <c r="A225" t="s">
        <v>566</v>
      </c>
      <c r="B225" s="5" t="s">
        <v>567</v>
      </c>
      <c r="C225" t="s">
        <v>471</v>
      </c>
      <c r="D225" s="5" t="s">
        <v>472</v>
      </c>
      <c r="E225">
        <v>4.4447450943530056</v>
      </c>
      <c r="F225">
        <v>4.6075110377427269</v>
      </c>
      <c r="G225">
        <v>4.7724571025204128</v>
      </c>
      <c r="H225">
        <v>4.5778068903702556</v>
      </c>
      <c r="I225">
        <v>4.7460872761037374</v>
      </c>
      <c r="J225">
        <v>4.5917856403995598</v>
      </c>
      <c r="K225">
        <v>4.7406428672241336</v>
      </c>
      <c r="L225">
        <v>5.058832444448468</v>
      </c>
      <c r="M225">
        <v>5.4324066901494721</v>
      </c>
      <c r="N225">
        <v>5.4583332819773043</v>
      </c>
      <c r="O225">
        <v>5.4997640825679719</v>
      </c>
      <c r="P225">
        <v>5.6742532206466123</v>
      </c>
      <c r="Q225">
        <v>5.7556357693945817</v>
      </c>
      <c r="R225">
        <v>6.0121380765736161</v>
      </c>
      <c r="S225">
        <v>5.9703497724303878</v>
      </c>
      <c r="T225">
        <v>5.9753832817460317</v>
      </c>
      <c r="U225">
        <v>5.7530059098129973</v>
      </c>
      <c r="V225">
        <v>5.5467561470034275</v>
      </c>
      <c r="W225">
        <v>5.3165792935994336</v>
      </c>
      <c r="X225">
        <v>5.3765999859640612</v>
      </c>
      <c r="Y225">
        <v>5.7988448246978903</v>
      </c>
      <c r="Z225">
        <v>5.6772459294145348</v>
      </c>
      <c r="AA225">
        <v>5.7946358584232138</v>
      </c>
      <c r="AB225">
        <v>5.6395365197727241</v>
      </c>
      <c r="AC225">
        <v>5.5968208120981053</v>
      </c>
      <c r="AD225" t="s">
        <v>73</v>
      </c>
    </row>
    <row r="226" spans="1:30" x14ac:dyDescent="0.3">
      <c r="A226" t="s">
        <v>566</v>
      </c>
      <c r="B226" s="5" t="s">
        <v>567</v>
      </c>
      <c r="C226" t="s">
        <v>473</v>
      </c>
      <c r="D226" s="5" t="s">
        <v>474</v>
      </c>
      <c r="E226">
        <v>14.396974178935535</v>
      </c>
      <c r="F226">
        <v>13.805816458255032</v>
      </c>
      <c r="G226">
        <v>13.382977213324748</v>
      </c>
      <c r="H226">
        <v>12.679794159286956</v>
      </c>
      <c r="I226">
        <v>12.953698386920751</v>
      </c>
      <c r="J226">
        <v>11.81220993171924</v>
      </c>
      <c r="K226">
        <v>11.051228767406702</v>
      </c>
      <c r="L226">
        <v>10.869487753808141</v>
      </c>
      <c r="M226">
        <v>10.956157992758257</v>
      </c>
      <c r="N226">
        <v>10.50940977210634</v>
      </c>
      <c r="O226">
        <v>10.197525649238816</v>
      </c>
      <c r="P226">
        <v>10.092943410425232</v>
      </c>
      <c r="Q226">
        <v>9.8858792441565697</v>
      </c>
      <c r="R226">
        <v>9.6147769018588658</v>
      </c>
      <c r="S226">
        <v>9.2505812113767174</v>
      </c>
      <c r="T226">
        <v>8.9060267514443154</v>
      </c>
      <c r="U226">
        <v>8.6220931754926067</v>
      </c>
      <c r="V226">
        <v>8.0861689112184596</v>
      </c>
      <c r="W226">
        <v>7.6139518870327727</v>
      </c>
      <c r="X226">
        <v>7.6661278724870936</v>
      </c>
      <c r="Y226">
        <v>8.2388308707893056</v>
      </c>
      <c r="Z226">
        <v>7.7806503219834147</v>
      </c>
      <c r="AA226">
        <v>7.7807112281870161</v>
      </c>
      <c r="AB226">
        <v>7.5656160375777413</v>
      </c>
      <c r="AC226">
        <v>7.4792499137234287</v>
      </c>
      <c r="AD226" t="s">
        <v>73</v>
      </c>
    </row>
    <row r="227" spans="1:30" x14ac:dyDescent="0.3">
      <c r="A227" t="s">
        <v>566</v>
      </c>
      <c r="B227" s="5" t="s">
        <v>567</v>
      </c>
      <c r="C227" t="s">
        <v>475</v>
      </c>
      <c r="D227" s="5" t="s">
        <v>476</v>
      </c>
      <c r="E227">
        <v>14.371824994580349</v>
      </c>
      <c r="F227">
        <v>13.781740619544674</v>
      </c>
      <c r="G227">
        <v>13.35975111506146</v>
      </c>
      <c r="H227">
        <v>12.657913422393094</v>
      </c>
      <c r="I227">
        <v>12.931376362725755</v>
      </c>
      <c r="J227">
        <v>11.791911889835104</v>
      </c>
      <c r="K227">
        <v>11.03237479188599</v>
      </c>
      <c r="L227">
        <v>10.851005885120795</v>
      </c>
      <c r="M227">
        <v>10.937580395808904</v>
      </c>
      <c r="N227">
        <v>10.491613678944613</v>
      </c>
      <c r="O227">
        <v>10.180299211757406</v>
      </c>
      <c r="P227">
        <v>10.075905038670047</v>
      </c>
      <c r="Q227">
        <v>9.8691679057756865</v>
      </c>
      <c r="R227">
        <v>9.5985497083619578</v>
      </c>
      <c r="S227">
        <v>9.2349628216668052</v>
      </c>
      <c r="T227">
        <v>8.8909809688778001</v>
      </c>
      <c r="U227">
        <v>8.6075187441862813</v>
      </c>
      <c r="V227">
        <v>8.0725244906284939</v>
      </c>
      <c r="W227">
        <v>7.6011139529411302</v>
      </c>
      <c r="X227">
        <v>7.6532088749211757</v>
      </c>
      <c r="Y227">
        <v>8.2249490721315457</v>
      </c>
      <c r="Z227">
        <v>7.7675527803960875</v>
      </c>
      <c r="AA227">
        <v>7.767619644754685</v>
      </c>
      <c r="AB227">
        <v>7.552877722213057</v>
      </c>
      <c r="AC227">
        <v>7.4666414903602529</v>
      </c>
      <c r="AD227" t="s">
        <v>73</v>
      </c>
    </row>
    <row r="228" spans="1:30" x14ac:dyDescent="0.3">
      <c r="A228" t="s">
        <v>566</v>
      </c>
      <c r="B228" s="5" t="s">
        <v>567</v>
      </c>
      <c r="C228" t="s">
        <v>477</v>
      </c>
      <c r="D228" s="5" t="s">
        <v>478</v>
      </c>
      <c r="E228">
        <v>2.0664029591350364</v>
      </c>
      <c r="F228">
        <v>2.0672806004565007</v>
      </c>
      <c r="G228">
        <v>1.940799065298261</v>
      </c>
      <c r="H228">
        <v>1.8762143757774101</v>
      </c>
      <c r="I228">
        <v>1.8526447727970039</v>
      </c>
      <c r="J228">
        <v>1.6426763218828422</v>
      </c>
      <c r="K228">
        <v>1.5321422293046778</v>
      </c>
      <c r="L228">
        <v>1.5850844017407668</v>
      </c>
      <c r="M228">
        <v>1.5179462085567255</v>
      </c>
      <c r="N228">
        <v>1.3873244006130272</v>
      </c>
      <c r="O228">
        <v>1.5067388615676363</v>
      </c>
      <c r="P228">
        <v>1.5499661588494149</v>
      </c>
      <c r="Q228">
        <v>1.5552992377977126</v>
      </c>
      <c r="R228">
        <v>1.5683932134641472</v>
      </c>
      <c r="S228">
        <v>1.5490538143920101</v>
      </c>
      <c r="T228">
        <v>1.5132095197136377</v>
      </c>
      <c r="U228">
        <v>1.4647027354220634</v>
      </c>
      <c r="V228">
        <v>1.5458916931797839</v>
      </c>
      <c r="W228">
        <v>1.4861045627799274</v>
      </c>
      <c r="X228">
        <v>1.4658433415175944</v>
      </c>
      <c r="Y228">
        <v>1.4850120604203898</v>
      </c>
      <c r="Z228">
        <v>1.47301014054501</v>
      </c>
      <c r="AA228">
        <v>1.583140546982265</v>
      </c>
      <c r="AB228">
        <v>1.5313605278141376</v>
      </c>
      <c r="AC228">
        <v>1.5336862768698507</v>
      </c>
      <c r="AD228" t="s">
        <v>73</v>
      </c>
    </row>
    <row r="229" spans="1:30" x14ac:dyDescent="0.3">
      <c r="A229" t="s">
        <v>566</v>
      </c>
      <c r="B229" s="5" t="s">
        <v>567</v>
      </c>
      <c r="C229" t="s">
        <v>479</v>
      </c>
      <c r="D229" s="5" t="s">
        <v>480</v>
      </c>
      <c r="E229">
        <v>2.3845794882150328</v>
      </c>
      <c r="F229">
        <v>2.3399779602985138</v>
      </c>
      <c r="G229">
        <v>2.2686119858190423</v>
      </c>
      <c r="H229">
        <v>2.1971507609147274</v>
      </c>
      <c r="I229">
        <v>2.2024612424505818</v>
      </c>
      <c r="J229">
        <v>2.023415371776863</v>
      </c>
      <c r="K229">
        <v>1.9292679406563689</v>
      </c>
      <c r="L229">
        <v>1.9635926592903363</v>
      </c>
      <c r="M229">
        <v>1.9931531608322635</v>
      </c>
      <c r="N229">
        <v>1.9036638557080536</v>
      </c>
      <c r="O229">
        <v>2.0657660736199972</v>
      </c>
      <c r="P229">
        <v>2.1348813445378654</v>
      </c>
      <c r="Q229">
        <v>2.1114095575732699</v>
      </c>
      <c r="R229">
        <v>2.1253224165958802</v>
      </c>
      <c r="S229">
        <v>2.1214100832429885</v>
      </c>
      <c r="T229">
        <v>2.0918096235738948</v>
      </c>
      <c r="U229">
        <v>2.0359012127274392</v>
      </c>
      <c r="V229">
        <v>2.0581029395073891</v>
      </c>
      <c r="W229">
        <v>1.9309965563581417</v>
      </c>
      <c r="X229">
        <v>1.9645232461454725</v>
      </c>
      <c r="Y229">
        <v>2.0419483568496175</v>
      </c>
      <c r="Z229">
        <v>1.9808348409979453</v>
      </c>
      <c r="AA229">
        <v>2.1050068203528354</v>
      </c>
      <c r="AB229">
        <v>2.0117943377197434</v>
      </c>
      <c r="AC229">
        <v>1.9708024958078108</v>
      </c>
      <c r="AD229" t="s">
        <v>73</v>
      </c>
    </row>
    <row r="230" spans="1:30" x14ac:dyDescent="0.3">
      <c r="A230" t="s">
        <v>566</v>
      </c>
      <c r="B230" s="5" t="s">
        <v>567</v>
      </c>
      <c r="C230" t="s">
        <v>481</v>
      </c>
      <c r="D230" s="5" t="s">
        <v>482</v>
      </c>
      <c r="E230">
        <v>11.783097302562311</v>
      </c>
      <c r="F230">
        <v>11.210016184546365</v>
      </c>
      <c r="G230">
        <v>11.382480849405555</v>
      </c>
      <c r="H230">
        <v>10.558850096396801</v>
      </c>
      <c r="I230">
        <v>10.046767759599796</v>
      </c>
      <c r="J230">
        <v>9.5187375070630242</v>
      </c>
      <c r="K230">
        <v>8.3993819850227993</v>
      </c>
      <c r="L230">
        <v>7.7530435970621063</v>
      </c>
      <c r="M230">
        <v>7.6011780247228558</v>
      </c>
      <c r="N230">
        <v>8.1391437525492556</v>
      </c>
      <c r="O230">
        <v>8.9416671900580145</v>
      </c>
      <c r="P230">
        <v>8.6469514517149548</v>
      </c>
      <c r="Q230">
        <v>8.2570249619966845</v>
      </c>
      <c r="R230">
        <v>7.7602386780313699</v>
      </c>
      <c r="S230">
        <v>7.9706657193913646</v>
      </c>
      <c r="T230">
        <v>8.5062773062560932</v>
      </c>
      <c r="U230">
        <v>8.274388500291284</v>
      </c>
      <c r="V230">
        <v>7.651314318157894</v>
      </c>
      <c r="W230">
        <v>7.3544828719909177</v>
      </c>
      <c r="X230">
        <v>7.6119783527835994</v>
      </c>
      <c r="Y230">
        <v>8.0721594735132012</v>
      </c>
      <c r="Z230">
        <v>7.5277523537745594</v>
      </c>
      <c r="AA230">
        <v>7.6545576117753491</v>
      </c>
      <c r="AB230">
        <v>7.0550236358827556</v>
      </c>
      <c r="AC230">
        <v>6.5652760784332411</v>
      </c>
      <c r="AD230" t="s">
        <v>73</v>
      </c>
    </row>
    <row r="231" spans="1:30" x14ac:dyDescent="0.3">
      <c r="A231" t="s">
        <v>566</v>
      </c>
      <c r="B231" s="5" t="s">
        <v>567</v>
      </c>
      <c r="C231" t="s">
        <v>483</v>
      </c>
      <c r="D231" s="5" t="s">
        <v>484</v>
      </c>
      <c r="E231">
        <v>8.1535611471332246</v>
      </c>
      <c r="F231">
        <v>7.6819828268276433</v>
      </c>
      <c r="G231">
        <v>7.5533920834001966</v>
      </c>
      <c r="H231">
        <v>7.3251143814742443</v>
      </c>
      <c r="I231">
        <v>7.085686548074964</v>
      </c>
      <c r="J231">
        <v>6.3595019352731876</v>
      </c>
      <c r="K231">
        <v>5.6435188398684346</v>
      </c>
      <c r="L231">
        <v>5.2597104516312987</v>
      </c>
      <c r="M231">
        <v>5.1486759879774002</v>
      </c>
      <c r="N231">
        <v>5.5152673573665361</v>
      </c>
      <c r="O231">
        <v>5.500110899298738</v>
      </c>
      <c r="P231">
        <v>5.2409945928361168</v>
      </c>
      <c r="Q231">
        <v>4.9158161150899389</v>
      </c>
      <c r="R231">
        <v>4.8883268023624433</v>
      </c>
      <c r="S231">
        <v>5.1118900389018496</v>
      </c>
      <c r="T231">
        <v>5.6324388160436074</v>
      </c>
      <c r="U231">
        <v>5.5322872340254516</v>
      </c>
      <c r="V231">
        <v>5.086951373912358</v>
      </c>
      <c r="W231">
        <v>4.7388756551792328</v>
      </c>
      <c r="X231">
        <v>4.8662463087021468</v>
      </c>
      <c r="Y231">
        <v>5.2635860461612127</v>
      </c>
      <c r="Z231">
        <v>4.9227242649486902</v>
      </c>
      <c r="AA231">
        <v>4.8301194234015039</v>
      </c>
      <c r="AB231">
        <v>4.5243510750543212</v>
      </c>
      <c r="AC231">
        <v>4.2387497922604549</v>
      </c>
      <c r="AD231" t="s">
        <v>73</v>
      </c>
    </row>
    <row r="232" spans="1:30" x14ac:dyDescent="0.3">
      <c r="A232" t="s">
        <v>566</v>
      </c>
      <c r="B232" s="5" t="s">
        <v>567</v>
      </c>
      <c r="C232" t="s">
        <v>485</v>
      </c>
      <c r="D232" s="5" t="s">
        <v>486</v>
      </c>
      <c r="E232">
        <v>2.175270647148444</v>
      </c>
      <c r="F232">
        <v>2.2048250510501783</v>
      </c>
      <c r="G232">
        <v>2.0485508976457858</v>
      </c>
      <c r="H232">
        <v>1.9788227998375107</v>
      </c>
      <c r="I232">
        <v>1.989110955216604</v>
      </c>
      <c r="J232">
        <v>1.7470286655239868</v>
      </c>
      <c r="K232">
        <v>1.6450893743390265</v>
      </c>
      <c r="L232">
        <v>1.695049884156377</v>
      </c>
      <c r="M232">
        <v>1.6338877569304116</v>
      </c>
      <c r="N232">
        <v>1.4890507855999471</v>
      </c>
      <c r="O232">
        <v>1.6059720561878548</v>
      </c>
      <c r="P232">
        <v>1.6851867853304205</v>
      </c>
      <c r="Q232">
        <v>1.670647952453042</v>
      </c>
      <c r="R232">
        <v>1.6951814140506547</v>
      </c>
      <c r="S232">
        <v>1.6693905294762317</v>
      </c>
      <c r="T232">
        <v>1.6045999390944341</v>
      </c>
      <c r="U232">
        <v>1.5645060164871845</v>
      </c>
      <c r="V232">
        <v>1.6629506314336864</v>
      </c>
      <c r="W232">
        <v>1.5822979002900306</v>
      </c>
      <c r="X232">
        <v>1.5672588304767074</v>
      </c>
      <c r="Y232">
        <v>1.5911433394318644</v>
      </c>
      <c r="Z232">
        <v>1.5735558350310586</v>
      </c>
      <c r="AA232">
        <v>1.6828749368490907</v>
      </c>
      <c r="AB232">
        <v>1.6326878066614821</v>
      </c>
      <c r="AC232">
        <v>1.614207197460692</v>
      </c>
      <c r="AD232" t="s">
        <v>73</v>
      </c>
    </row>
    <row r="233" spans="1:30" x14ac:dyDescent="0.3">
      <c r="A233" t="s">
        <v>566</v>
      </c>
      <c r="B233" s="5" t="s">
        <v>567</v>
      </c>
      <c r="C233" t="s">
        <v>487</v>
      </c>
      <c r="D233" s="5" t="s">
        <v>488</v>
      </c>
      <c r="E233">
        <v>16.455703256433942</v>
      </c>
      <c r="F233">
        <v>17.112875452127067</v>
      </c>
      <c r="G233">
        <v>22.210330408220376</v>
      </c>
      <c r="H233">
        <v>22.170399575054361</v>
      </c>
      <c r="I233">
        <v>19.094285532134553</v>
      </c>
      <c r="J233">
        <v>18.150142798936113</v>
      </c>
      <c r="K233">
        <v>17.420835762838696</v>
      </c>
      <c r="L233">
        <v>17.139933609840657</v>
      </c>
      <c r="M233">
        <v>16.824428367913107</v>
      </c>
      <c r="N233">
        <v>18.306066125047241</v>
      </c>
      <c r="O233">
        <v>17.176977205205439</v>
      </c>
      <c r="P233">
        <v>16.8668202255671</v>
      </c>
      <c r="Q233">
        <v>16.153918042351425</v>
      </c>
      <c r="R233">
        <v>17.131455676663649</v>
      </c>
      <c r="S233">
        <v>18.328827245181611</v>
      </c>
      <c r="T233">
        <v>20.032111051704362</v>
      </c>
      <c r="U233">
        <v>19.692357692994182</v>
      </c>
      <c r="V233">
        <v>18.556112708013146</v>
      </c>
      <c r="W233">
        <v>18.504246462364655</v>
      </c>
      <c r="X233">
        <v>22.421278593474327</v>
      </c>
      <c r="Y233">
        <v>25.467328122383343</v>
      </c>
      <c r="Z233">
        <v>24.846930149399824</v>
      </c>
      <c r="AA233">
        <v>23.028479462146784</v>
      </c>
      <c r="AB233">
        <v>22.230150901719586</v>
      </c>
      <c r="AC233">
        <v>19.301273023450069</v>
      </c>
      <c r="AD233" t="s">
        <v>73</v>
      </c>
    </row>
    <row r="234" spans="1:30" x14ac:dyDescent="0.3">
      <c r="A234" t="s">
        <v>566</v>
      </c>
      <c r="B234" s="5" t="s">
        <v>567</v>
      </c>
      <c r="C234" t="s">
        <v>489</v>
      </c>
      <c r="D234" s="5" t="s">
        <v>490</v>
      </c>
      <c r="E234">
        <v>25.066332606462616</v>
      </c>
      <c r="F234">
        <v>24.898619611013377</v>
      </c>
      <c r="G234">
        <v>24.865024971123219</v>
      </c>
      <c r="H234">
        <v>24.692415982648562</v>
      </c>
      <c r="I234">
        <v>23.605584667615659</v>
      </c>
      <c r="J234">
        <v>23.954681509995606</v>
      </c>
      <c r="K234">
        <v>23.164024009819446</v>
      </c>
      <c r="L234">
        <v>23.539545019508708</v>
      </c>
      <c r="M234">
        <v>24.163335740260013</v>
      </c>
      <c r="N234">
        <v>25.114332009443853</v>
      </c>
      <c r="O234">
        <v>24.573288184887367</v>
      </c>
      <c r="P234">
        <v>22.420793471913488</v>
      </c>
      <c r="Q234">
        <v>22.821014276817799</v>
      </c>
      <c r="R234">
        <v>21.770453607138297</v>
      </c>
      <c r="S234">
        <v>21.695059581359271</v>
      </c>
      <c r="T234">
        <v>21.974849121778398</v>
      </c>
      <c r="U234">
        <v>21.662020386699549</v>
      </c>
      <c r="V234">
        <v>21.177198100248358</v>
      </c>
      <c r="W234">
        <v>20.632237741198264</v>
      </c>
      <c r="X234">
        <v>20.70715677757342</v>
      </c>
      <c r="Y234">
        <v>22.178909547266123</v>
      </c>
      <c r="Z234">
        <v>21.220224139667987</v>
      </c>
      <c r="AA234">
        <v>20.903285944686811</v>
      </c>
      <c r="AB234">
        <v>21.830490856109023</v>
      </c>
      <c r="AC234">
        <v>21.516579625593728</v>
      </c>
      <c r="AD234" t="s">
        <v>73</v>
      </c>
    </row>
    <row r="235" spans="1:30" x14ac:dyDescent="0.3">
      <c r="A235" t="s">
        <v>566</v>
      </c>
      <c r="B235" s="5" t="s">
        <v>567</v>
      </c>
      <c r="C235" t="s">
        <v>491</v>
      </c>
      <c r="D235" s="5" t="s">
        <v>492</v>
      </c>
      <c r="E235">
        <v>1.6817799515315324</v>
      </c>
      <c r="F235">
        <v>1.6536551954246355</v>
      </c>
      <c r="G235">
        <v>1.5653166521594954</v>
      </c>
      <c r="H235">
        <v>1.5891063553918445</v>
      </c>
      <c r="I235">
        <v>1.64300765118676</v>
      </c>
      <c r="J235">
        <v>1.4803893784329945</v>
      </c>
      <c r="K235">
        <v>1.3951457881434783</v>
      </c>
      <c r="L235">
        <v>1.4276382100847769</v>
      </c>
      <c r="M235">
        <v>1.4273479388421335</v>
      </c>
      <c r="N235">
        <v>1.3448637455693961</v>
      </c>
      <c r="O235">
        <v>1.3912230637544578</v>
      </c>
      <c r="P235">
        <v>1.4938781316297201</v>
      </c>
      <c r="Q235">
        <v>1.4532182675460572</v>
      </c>
      <c r="R235">
        <v>1.534824102239726</v>
      </c>
      <c r="S235">
        <v>1.4645775193123547</v>
      </c>
      <c r="T235">
        <v>1.3878288374874033</v>
      </c>
      <c r="U235">
        <v>1.3522805889439302</v>
      </c>
      <c r="V235">
        <v>1.3994216219235827</v>
      </c>
      <c r="W235">
        <v>1.3221347435040511</v>
      </c>
      <c r="X235">
        <v>1.2795259139372899</v>
      </c>
      <c r="Y235">
        <v>1.3552442028927147</v>
      </c>
      <c r="Z235">
        <v>1.3438782366460764</v>
      </c>
      <c r="AA235">
        <v>1.326816708626726</v>
      </c>
      <c r="AB235">
        <v>1.282044522759332</v>
      </c>
      <c r="AC235" t="s">
        <v>73</v>
      </c>
      <c r="AD235" t="s">
        <v>73</v>
      </c>
    </row>
    <row r="236" spans="1:30" x14ac:dyDescent="0.3">
      <c r="A236" t="s">
        <v>566</v>
      </c>
      <c r="B236" s="5" t="s">
        <v>567</v>
      </c>
      <c r="C236" t="s">
        <v>493</v>
      </c>
      <c r="D236" s="5" t="s">
        <v>494</v>
      </c>
      <c r="E236">
        <v>9.7537799840038222</v>
      </c>
      <c r="F236">
        <v>9.6823677991917965</v>
      </c>
      <c r="G236">
        <v>9.8250208042415466</v>
      </c>
      <c r="H236">
        <v>9.7275569141843228</v>
      </c>
      <c r="I236">
        <v>9.412618426096433</v>
      </c>
      <c r="J236">
        <v>8.5867497076037882</v>
      </c>
      <c r="K236">
        <v>8.0707900317019927</v>
      </c>
      <c r="L236">
        <v>8.0356289625752844</v>
      </c>
      <c r="M236">
        <v>7.9619960437773685</v>
      </c>
      <c r="N236">
        <v>8.3169137130781916</v>
      </c>
      <c r="O236">
        <v>8.1441219232703048</v>
      </c>
      <c r="P236">
        <v>8.0205364766641782</v>
      </c>
      <c r="Q236">
        <v>7.8734042410492995</v>
      </c>
      <c r="R236">
        <v>7.9733208361841665</v>
      </c>
      <c r="S236">
        <v>7.999884302264328</v>
      </c>
      <c r="T236">
        <v>8.1697983654377317</v>
      </c>
      <c r="U236">
        <v>8.193085371775835</v>
      </c>
      <c r="V236">
        <v>7.8423006714646135</v>
      </c>
      <c r="W236">
        <v>7.4999675689239753</v>
      </c>
      <c r="X236">
        <v>7.6873702039133063</v>
      </c>
      <c r="Y236">
        <v>8.5066784434639473</v>
      </c>
      <c r="Z236">
        <v>8.1081098391468505</v>
      </c>
      <c r="AA236">
        <v>7.9218227884071544</v>
      </c>
      <c r="AB236">
        <v>7.7395886764534598</v>
      </c>
      <c r="AC236">
        <v>7.7000481960264695</v>
      </c>
      <c r="AD236" t="s">
        <v>73</v>
      </c>
    </row>
    <row r="237" spans="1:30" x14ac:dyDescent="0.3">
      <c r="A237" t="s">
        <v>566</v>
      </c>
      <c r="B237" s="5" t="s">
        <v>567</v>
      </c>
      <c r="C237" t="s">
        <v>495</v>
      </c>
      <c r="D237" s="5" t="s">
        <v>496</v>
      </c>
      <c r="E237">
        <v>10.95977399283897</v>
      </c>
      <c r="F237">
        <v>10.848123736254273</v>
      </c>
      <c r="G237">
        <v>11.167109563300382</v>
      </c>
      <c r="H237">
        <v>11.011883994030699</v>
      </c>
      <c r="I237">
        <v>10.552359711714709</v>
      </c>
      <c r="J237">
        <v>9.7416896570917437</v>
      </c>
      <c r="K237">
        <v>9.2097065744883722</v>
      </c>
      <c r="L237">
        <v>9.1173560616940854</v>
      </c>
      <c r="M237">
        <v>9.0796235923656194</v>
      </c>
      <c r="N237">
        <v>9.4551218704210989</v>
      </c>
      <c r="O237">
        <v>9.1882014096090412</v>
      </c>
      <c r="P237">
        <v>8.9689738355728803</v>
      </c>
      <c r="Q237">
        <v>8.8268837956269213</v>
      </c>
      <c r="R237">
        <v>8.8916155274057314</v>
      </c>
      <c r="S237">
        <v>8.9343561520662469</v>
      </c>
      <c r="T237">
        <v>9.1355244191377381</v>
      </c>
      <c r="U237">
        <v>9.1047366719203264</v>
      </c>
      <c r="V237">
        <v>8.6952674902695986</v>
      </c>
      <c r="W237">
        <v>8.3566259816155259</v>
      </c>
      <c r="X237">
        <v>8.7050650508300915</v>
      </c>
      <c r="Y237">
        <v>9.5513168150237018</v>
      </c>
      <c r="Z237">
        <v>9.0918856171526077</v>
      </c>
      <c r="AA237">
        <v>8.8995608495431586</v>
      </c>
      <c r="AB237">
        <v>8.6431698451698953</v>
      </c>
      <c r="AC237">
        <v>8.4926899261340996</v>
      </c>
      <c r="AD237" t="s">
        <v>73</v>
      </c>
    </row>
    <row r="238" spans="1:30" x14ac:dyDescent="0.3">
      <c r="A238" t="s">
        <v>566</v>
      </c>
      <c r="B238" s="5" t="s">
        <v>567</v>
      </c>
      <c r="C238" t="s">
        <v>497</v>
      </c>
      <c r="D238" s="5" t="s">
        <v>498</v>
      </c>
      <c r="E238">
        <v>22.784829644724123</v>
      </c>
      <c r="F238">
        <v>23.142174609040733</v>
      </c>
      <c r="G238">
        <v>26.987183573104119</v>
      </c>
      <c r="H238">
        <v>25.61872351080584</v>
      </c>
      <c r="I238">
        <v>23.054321120130144</v>
      </c>
      <c r="J238">
        <v>22.568938741081134</v>
      </c>
      <c r="K238">
        <v>21.569895294304164</v>
      </c>
      <c r="L238">
        <v>21.378207268836441</v>
      </c>
      <c r="M238">
        <v>21.822883003301357</v>
      </c>
      <c r="N238">
        <v>22.158441388675502</v>
      </c>
      <c r="O238">
        <v>21.878046763267452</v>
      </c>
      <c r="P238">
        <v>21.697562710345679</v>
      </c>
      <c r="Q238">
        <v>21.284878771587042</v>
      </c>
      <c r="R238">
        <v>20.682608201020944</v>
      </c>
      <c r="S238">
        <v>20.312908265016784</v>
      </c>
      <c r="T238">
        <v>21.043179040297836</v>
      </c>
      <c r="U238">
        <v>20.985407584979903</v>
      </c>
      <c r="V238">
        <v>20.03572536311826</v>
      </c>
      <c r="W238">
        <v>20.088369708554911</v>
      </c>
      <c r="X238">
        <v>22.519808668967183</v>
      </c>
      <c r="Y238">
        <v>24.262077108607809</v>
      </c>
      <c r="Z238">
        <v>24.500221719985777</v>
      </c>
      <c r="AA238">
        <v>23.768845976019286</v>
      </c>
      <c r="AB238">
        <v>22.935368792526479</v>
      </c>
      <c r="AC238">
        <v>21.205737554718862</v>
      </c>
      <c r="AD238" t="s">
        <v>73</v>
      </c>
    </row>
    <row r="239" spans="1:30" x14ac:dyDescent="0.3">
      <c r="A239" t="s">
        <v>566</v>
      </c>
      <c r="B239" s="5" t="s">
        <v>567</v>
      </c>
      <c r="C239" t="s">
        <v>499</v>
      </c>
      <c r="D239" s="5" t="s">
        <v>500</v>
      </c>
      <c r="E239">
        <v>26.237857089619297</v>
      </c>
      <c r="F239">
        <v>25.517752751966309</v>
      </c>
      <c r="G239">
        <v>24.663376968730709</v>
      </c>
      <c r="H239">
        <v>24.318253028974674</v>
      </c>
      <c r="I239">
        <v>23.298479231445242</v>
      </c>
      <c r="J239">
        <v>23.192893122801578</v>
      </c>
      <c r="K239">
        <v>22.628494881853513</v>
      </c>
      <c r="L239">
        <v>22.815645756844479</v>
      </c>
      <c r="M239">
        <v>23.30162834162968</v>
      </c>
      <c r="N239">
        <v>24.045294029729245</v>
      </c>
      <c r="O239">
        <v>22.924127438714482</v>
      </c>
      <c r="P239">
        <v>21.46883465126518</v>
      </c>
      <c r="Q239">
        <v>21.922459252582748</v>
      </c>
      <c r="R239">
        <v>20.899865937481703</v>
      </c>
      <c r="S239">
        <v>20.680934637292854</v>
      </c>
      <c r="T239">
        <v>20.342046398856134</v>
      </c>
      <c r="U239">
        <v>19.449820481395726</v>
      </c>
      <c r="V239">
        <v>19.167445637301228</v>
      </c>
      <c r="W239">
        <v>18.611627135312609</v>
      </c>
      <c r="X239">
        <v>18.452466536739799</v>
      </c>
      <c r="Y239">
        <v>19.101340198702442</v>
      </c>
      <c r="Z239">
        <v>18.601431431404468</v>
      </c>
      <c r="AA239">
        <v>18.425744884515186</v>
      </c>
      <c r="AB239">
        <v>19.172155147992516</v>
      </c>
      <c r="AC239">
        <v>18.900226022348637</v>
      </c>
      <c r="AD239" t="s">
        <v>73</v>
      </c>
    </row>
    <row r="240" spans="1:30" x14ac:dyDescent="0.3">
      <c r="A240" t="s">
        <v>566</v>
      </c>
      <c r="B240" s="5" t="s">
        <v>567</v>
      </c>
      <c r="C240" t="s">
        <v>501</v>
      </c>
      <c r="D240" s="5" t="s">
        <v>502</v>
      </c>
      <c r="E240">
        <v>24.579604181447568</v>
      </c>
      <c r="F240">
        <v>24.366017237945965</v>
      </c>
      <c r="G240">
        <v>25.810763886967464</v>
      </c>
      <c r="H240">
        <v>24.967962474577096</v>
      </c>
      <c r="I240">
        <v>23.184206302779227</v>
      </c>
      <c r="J240">
        <v>22.883375537352251</v>
      </c>
      <c r="K240">
        <v>22.074807989734982</v>
      </c>
      <c r="L240">
        <v>22.07535980812483</v>
      </c>
      <c r="M240">
        <v>22.555267392428423</v>
      </c>
      <c r="N240">
        <v>23.126351358456368</v>
      </c>
      <c r="O240">
        <v>22.408535499665408</v>
      </c>
      <c r="P240">
        <v>21.579110522855437</v>
      </c>
      <c r="Q240">
        <v>21.592497690823986</v>
      </c>
      <c r="R240">
        <v>20.787358294914579</v>
      </c>
      <c r="S240">
        <v>20.488933460941791</v>
      </c>
      <c r="T240">
        <v>20.699967821411441</v>
      </c>
      <c r="U240">
        <v>20.1868120241441</v>
      </c>
      <c r="V240">
        <v>19.571249181725271</v>
      </c>
      <c r="W240">
        <v>19.297890806920641</v>
      </c>
      <c r="X240">
        <v>20.495723903516225</v>
      </c>
      <c r="Y240">
        <v>21.584042362102473</v>
      </c>
      <c r="Z240">
        <v>21.427264122179462</v>
      </c>
      <c r="AA240">
        <v>20.959074133958108</v>
      </c>
      <c r="AB240">
        <v>20.757625471378518</v>
      </c>
      <c r="AC240">
        <v>19.699246275497423</v>
      </c>
      <c r="AD240" t="s">
        <v>73</v>
      </c>
    </row>
    <row r="241" spans="1:30" x14ac:dyDescent="0.3">
      <c r="A241" t="s">
        <v>566</v>
      </c>
      <c r="B241" s="5" t="s">
        <v>567</v>
      </c>
      <c r="C241" t="s">
        <v>503</v>
      </c>
      <c r="D241" s="5" t="s">
        <v>504</v>
      </c>
      <c r="E241">
        <v>8.8584582882438951</v>
      </c>
      <c r="F241">
        <v>8.8268904778557928</v>
      </c>
      <c r="G241">
        <v>8.6716029429083292</v>
      </c>
      <c r="H241">
        <v>8.3477097111603378</v>
      </c>
      <c r="I241">
        <v>8.3500622559226514</v>
      </c>
      <c r="J241">
        <v>7.3404096967104957</v>
      </c>
      <c r="K241">
        <v>6.8159044191435578</v>
      </c>
      <c r="L241">
        <v>6.6832517575465946</v>
      </c>
      <c r="M241">
        <v>6.7698598689266891</v>
      </c>
      <c r="N241">
        <v>6.9424096776317183</v>
      </c>
      <c r="O241">
        <v>6.6284877436808314</v>
      </c>
      <c r="P241">
        <v>6.6673229142899384</v>
      </c>
      <c r="Q241">
        <v>6.6151419030549548</v>
      </c>
      <c r="R241">
        <v>6.6842369474185519</v>
      </c>
      <c r="S241">
        <v>6.6310997762058097</v>
      </c>
      <c r="T241">
        <v>6.7921915376325623</v>
      </c>
      <c r="U241">
        <v>6.6799469622289758</v>
      </c>
      <c r="V241">
        <v>6.2489452259700888</v>
      </c>
      <c r="W241">
        <v>5.9608359801421322</v>
      </c>
      <c r="X241">
        <v>6.0184314198836626</v>
      </c>
      <c r="Y241">
        <v>6.6847718084794439</v>
      </c>
      <c r="Z241">
        <v>6.4213852665192874</v>
      </c>
      <c r="AA241">
        <v>6.2883248577906894</v>
      </c>
      <c r="AB241">
        <v>6.0638332636150256</v>
      </c>
      <c r="AC241">
        <v>5.9459122041733297</v>
      </c>
      <c r="AD241" t="s">
        <v>73</v>
      </c>
    </row>
    <row r="242" spans="1:30" x14ac:dyDescent="0.3">
      <c r="A242" t="s">
        <v>566</v>
      </c>
      <c r="B242" s="5" t="s">
        <v>567</v>
      </c>
      <c r="C242" t="s">
        <v>505</v>
      </c>
      <c r="D242" s="5" t="s">
        <v>506</v>
      </c>
      <c r="E242">
        <v>5.5445830986839573</v>
      </c>
      <c r="F242">
        <v>5.362401699957557</v>
      </c>
      <c r="G242">
        <v>5.7754090484796032</v>
      </c>
      <c r="H242">
        <v>6.1932999283766659</v>
      </c>
      <c r="I242">
        <v>5.8826085614905859</v>
      </c>
      <c r="J242">
        <v>5.4045092446035126</v>
      </c>
      <c r="K242">
        <v>5.1688928752788508</v>
      </c>
      <c r="L242">
        <v>5.3220991633236157</v>
      </c>
      <c r="M242">
        <v>5.4670713504550816</v>
      </c>
      <c r="N242">
        <v>5.4858975208339729</v>
      </c>
      <c r="O242">
        <v>5.4087020402427193</v>
      </c>
      <c r="P242">
        <v>5.4882289615179216</v>
      </c>
      <c r="Q242">
        <v>5.1462190008767745</v>
      </c>
      <c r="R242">
        <v>5.4397069001487939</v>
      </c>
      <c r="S242">
        <v>5.4764518905986899</v>
      </c>
      <c r="T242">
        <v>5.4596997960045011</v>
      </c>
      <c r="U242">
        <v>6.0223389250280492</v>
      </c>
      <c r="V242">
        <v>5.7285591571850363</v>
      </c>
      <c r="W242">
        <v>5.5128476150997336</v>
      </c>
      <c r="X242">
        <v>5.5216246974491465</v>
      </c>
      <c r="Y242">
        <v>6.6056259821844456</v>
      </c>
      <c r="Z242">
        <v>6.9716728016600058</v>
      </c>
      <c r="AA242">
        <v>6.6339803032501514</v>
      </c>
      <c r="AB242">
        <v>6.5802013278009195</v>
      </c>
      <c r="AC242">
        <v>6.5329359384057355</v>
      </c>
      <c r="AD242" t="s">
        <v>73</v>
      </c>
    </row>
    <row r="243" spans="1:30" x14ac:dyDescent="0.3">
      <c r="A243" t="s">
        <v>566</v>
      </c>
      <c r="B243" s="5" t="s">
        <v>567</v>
      </c>
      <c r="C243" t="s">
        <v>507</v>
      </c>
      <c r="D243" s="5" t="s">
        <v>508</v>
      </c>
      <c r="E243">
        <v>4.9165857690001786</v>
      </c>
      <c r="F243">
        <v>4.7870126288583048</v>
      </c>
      <c r="G243">
        <v>5.2319649755590758</v>
      </c>
      <c r="H243">
        <v>5.6191496063446431</v>
      </c>
      <c r="I243">
        <v>5.3511638324043744</v>
      </c>
      <c r="J243">
        <v>4.8657398629029478</v>
      </c>
      <c r="K243">
        <v>4.6158393328013982</v>
      </c>
      <c r="L243">
        <v>4.7691474178599949</v>
      </c>
      <c r="M243">
        <v>4.8866301285336347</v>
      </c>
      <c r="N243">
        <v>4.7745985476075319</v>
      </c>
      <c r="O243">
        <v>4.716009249223144</v>
      </c>
      <c r="P243">
        <v>4.8132575985825428</v>
      </c>
      <c r="Q243">
        <v>4.5655331983498453</v>
      </c>
      <c r="R243">
        <v>4.7402101631773643</v>
      </c>
      <c r="S243">
        <v>4.7245873635374673</v>
      </c>
      <c r="T243">
        <v>4.693967628428827</v>
      </c>
      <c r="U243">
        <v>5.1897318353843156</v>
      </c>
      <c r="V243">
        <v>4.9029884914670125</v>
      </c>
      <c r="W243">
        <v>4.7229431782409952</v>
      </c>
      <c r="X243">
        <v>4.7055970230252138</v>
      </c>
      <c r="Y243">
        <v>5.6911697259627543</v>
      </c>
      <c r="Z243">
        <v>6.0724091763634256</v>
      </c>
      <c r="AA243">
        <v>5.7814766830180018</v>
      </c>
      <c r="AB243">
        <v>5.720245541584144</v>
      </c>
      <c r="AC243">
        <v>5.668580049235632</v>
      </c>
      <c r="AD243" t="s">
        <v>73</v>
      </c>
    </row>
    <row r="244" spans="1:30" x14ac:dyDescent="0.3">
      <c r="A244" t="s">
        <v>566</v>
      </c>
      <c r="B244" s="5" t="s">
        <v>567</v>
      </c>
      <c r="C244" t="s">
        <v>509</v>
      </c>
      <c r="D244" s="5" t="s">
        <v>510</v>
      </c>
      <c r="E244">
        <v>5.7069692434782029</v>
      </c>
      <c r="F244">
        <v>5.5401819983776734</v>
      </c>
      <c r="G244">
        <v>6.0140384106997526</v>
      </c>
      <c r="H244">
        <v>6.4694081837274293</v>
      </c>
      <c r="I244">
        <v>6.12389390660889</v>
      </c>
      <c r="J244">
        <v>5.6109160036101047</v>
      </c>
      <c r="K244">
        <v>5.3588857043847344</v>
      </c>
      <c r="L244">
        <v>5.4934899445736072</v>
      </c>
      <c r="M244">
        <v>5.6270164393196795</v>
      </c>
      <c r="N244">
        <v>5.6561983579054687</v>
      </c>
      <c r="O244">
        <v>5.5461768451619813</v>
      </c>
      <c r="P244">
        <v>5.6183672335996739</v>
      </c>
      <c r="Q244">
        <v>5.2608494649848838</v>
      </c>
      <c r="R244">
        <v>5.5640540469762723</v>
      </c>
      <c r="S244">
        <v>5.6037481419884321</v>
      </c>
      <c r="T244">
        <v>5.6115675390147448</v>
      </c>
      <c r="U244">
        <v>6.206074637363387</v>
      </c>
      <c r="V244">
        <v>5.8864668071636697</v>
      </c>
      <c r="W244">
        <v>5.6667585124707154</v>
      </c>
      <c r="X244">
        <v>5.6908336038065057</v>
      </c>
      <c r="Y244">
        <v>6.8835992598687366</v>
      </c>
      <c r="Z244">
        <v>7.2483966640835851</v>
      </c>
      <c r="AA244">
        <v>6.888101030558369</v>
      </c>
      <c r="AB244">
        <v>6.8217211576552472</v>
      </c>
      <c r="AC244">
        <v>6.7768467493652675</v>
      </c>
      <c r="AD244" t="s">
        <v>73</v>
      </c>
    </row>
    <row r="245" spans="1:30" x14ac:dyDescent="0.3">
      <c r="A245" t="s">
        <v>566</v>
      </c>
      <c r="B245" s="5" t="s">
        <v>567</v>
      </c>
      <c r="C245" t="s">
        <v>511</v>
      </c>
      <c r="D245" s="5" t="s">
        <v>512</v>
      </c>
      <c r="E245">
        <v>27.099834847976606</v>
      </c>
      <c r="F245">
        <v>26.228439279665576</v>
      </c>
      <c r="G245">
        <v>24.751672136642235</v>
      </c>
      <c r="H245">
        <v>24.372443634902531</v>
      </c>
      <c r="I245">
        <v>23.197838056219343</v>
      </c>
      <c r="J245">
        <v>22.692408850530789</v>
      </c>
      <c r="K245">
        <v>21.744072205807814</v>
      </c>
      <c r="L245">
        <v>22.070877337952723</v>
      </c>
      <c r="M245">
        <v>22.155973245171644</v>
      </c>
      <c r="N245">
        <v>23.552927503355065</v>
      </c>
      <c r="O245">
        <v>22.985880540729443</v>
      </c>
      <c r="P245">
        <v>20.965875264440779</v>
      </c>
      <c r="Q245">
        <v>21.384157462969384</v>
      </c>
      <c r="R245">
        <v>20.647073021013441</v>
      </c>
      <c r="S245">
        <v>20.620313360518573</v>
      </c>
      <c r="T245">
        <v>20.92980850590294</v>
      </c>
      <c r="U245">
        <v>20.428979002204493</v>
      </c>
      <c r="V245">
        <v>19.912836766731999</v>
      </c>
      <c r="W245">
        <v>19.152227034910631</v>
      </c>
      <c r="X245">
        <v>18.924137301361423</v>
      </c>
      <c r="Y245">
        <v>19.857128980992194</v>
      </c>
      <c r="Z245">
        <v>19.205986173330807</v>
      </c>
      <c r="AA245">
        <v>18.906244382745243</v>
      </c>
      <c r="AB245">
        <v>19.896137614746383</v>
      </c>
      <c r="AC245">
        <v>19.897112125313392</v>
      </c>
      <c r="AD245" t="s">
        <v>73</v>
      </c>
    </row>
    <row r="246" spans="1:30" x14ac:dyDescent="0.3">
      <c r="A246" t="s">
        <v>566</v>
      </c>
      <c r="B246" s="5" t="s">
        <v>567</v>
      </c>
      <c r="C246" t="s">
        <v>513</v>
      </c>
      <c r="D246" s="5" t="s">
        <v>514</v>
      </c>
      <c r="E246">
        <v>11.49480788227214</v>
      </c>
      <c r="F246">
        <v>11.418836224565572</v>
      </c>
      <c r="G246">
        <v>11.826049259358042</v>
      </c>
      <c r="H246">
        <v>11.660784242108553</v>
      </c>
      <c r="I246">
        <v>11.244088747471535</v>
      </c>
      <c r="J246">
        <v>10.472221241623433</v>
      </c>
      <c r="K246">
        <v>9.946734881775301</v>
      </c>
      <c r="L246">
        <v>9.909427568982391</v>
      </c>
      <c r="M246">
        <v>9.9087549510022992</v>
      </c>
      <c r="N246">
        <v>10.075294591063303</v>
      </c>
      <c r="O246">
        <v>9.845911761415179</v>
      </c>
      <c r="P246">
        <v>9.6313366133321097</v>
      </c>
      <c r="Q246">
        <v>9.4967049743379253</v>
      </c>
      <c r="R246">
        <v>9.4910065815574622</v>
      </c>
      <c r="S246">
        <v>9.4170133721664087</v>
      </c>
      <c r="T246">
        <v>9.4405319182973404</v>
      </c>
      <c r="U246">
        <v>9.3741515070556858</v>
      </c>
      <c r="V246">
        <v>8.9746291076100544</v>
      </c>
      <c r="W246">
        <v>8.6372016603543038</v>
      </c>
      <c r="X246">
        <v>8.9791135037422052</v>
      </c>
      <c r="Y246">
        <v>9.8090437985434082</v>
      </c>
      <c r="Z246">
        <v>9.3408288592763942</v>
      </c>
      <c r="AA246">
        <v>9.1949711211722729</v>
      </c>
      <c r="AB246">
        <v>8.9428699891346533</v>
      </c>
      <c r="AC246">
        <v>8.8186018914463364</v>
      </c>
      <c r="AD246" t="s">
        <v>73</v>
      </c>
    </row>
    <row r="247" spans="1:30" x14ac:dyDescent="0.3">
      <c r="A247" t="s">
        <v>566</v>
      </c>
      <c r="B247" s="5" t="s">
        <v>567</v>
      </c>
      <c r="C247" t="s">
        <v>515</v>
      </c>
      <c r="D247" s="5" t="s">
        <v>516</v>
      </c>
      <c r="E247">
        <v>27.058629297516962</v>
      </c>
      <c r="F247">
        <v>27.186210530086928</v>
      </c>
      <c r="G247">
        <v>27.30500376492553</v>
      </c>
      <c r="H247">
        <v>26.573278467166467</v>
      </c>
      <c r="I247">
        <v>24.525597752250313</v>
      </c>
      <c r="J247">
        <v>24.356168369602766</v>
      </c>
      <c r="K247">
        <v>23.887429359144488</v>
      </c>
      <c r="L247">
        <v>24.091342184561352</v>
      </c>
      <c r="M247">
        <v>23.949423301736985</v>
      </c>
      <c r="N247">
        <v>25.516037914222995</v>
      </c>
      <c r="O247">
        <v>24.791804147375675</v>
      </c>
      <c r="P247">
        <v>22.519911629417489</v>
      </c>
      <c r="Q247">
        <v>24.102347680630633</v>
      </c>
      <c r="R247">
        <v>23.158430763552623</v>
      </c>
      <c r="S247">
        <v>23.602532567599518</v>
      </c>
      <c r="T247">
        <v>23.769339073335527</v>
      </c>
      <c r="U247">
        <v>23.838270682964442</v>
      </c>
      <c r="V247">
        <v>24.492068039187266</v>
      </c>
      <c r="W247">
        <v>24.416532593363836</v>
      </c>
      <c r="X247">
        <v>24.284041088101439</v>
      </c>
      <c r="Y247">
        <v>24.569555443490266</v>
      </c>
      <c r="Z247">
        <v>22.476963381745563</v>
      </c>
      <c r="AA247">
        <v>22.194683065431253</v>
      </c>
      <c r="AB247">
        <v>25.454802684940493</v>
      </c>
      <c r="AC247">
        <v>25.052236153808444</v>
      </c>
      <c r="AD247" t="s">
        <v>73</v>
      </c>
    </row>
    <row r="248" spans="1:30" x14ac:dyDescent="0.3">
      <c r="A248" t="s">
        <v>566</v>
      </c>
      <c r="B248" s="5" t="s">
        <v>567</v>
      </c>
      <c r="C248" t="s">
        <v>517</v>
      </c>
      <c r="D248" s="5" t="s">
        <v>518</v>
      </c>
      <c r="E248">
        <v>20.203862869030473</v>
      </c>
      <c r="F248">
        <v>20.12197229527278</v>
      </c>
      <c r="G248">
        <v>19.854532829122192</v>
      </c>
      <c r="H248">
        <v>19.669159439875038</v>
      </c>
      <c r="I248">
        <v>18.343659737320813</v>
      </c>
      <c r="J248">
        <v>17.93402969294069</v>
      </c>
      <c r="K248">
        <v>17.289376358268825</v>
      </c>
      <c r="L248">
        <v>17.112937438643165</v>
      </c>
      <c r="M248">
        <v>17.373354547976209</v>
      </c>
      <c r="N248">
        <v>17.425008421909855</v>
      </c>
      <c r="O248">
        <v>17.240536658417977</v>
      </c>
      <c r="P248">
        <v>17.279658111552759</v>
      </c>
      <c r="Q248">
        <v>16.726505264120192</v>
      </c>
      <c r="R248">
        <v>16.619066486693189</v>
      </c>
      <c r="S248">
        <v>16.350788603282819</v>
      </c>
      <c r="T248">
        <v>16.161843791066012</v>
      </c>
      <c r="U248">
        <v>15.990246641034684</v>
      </c>
      <c r="V248">
        <v>15.815977215634611</v>
      </c>
      <c r="W248">
        <v>15.427143274406349</v>
      </c>
      <c r="X248">
        <v>16.18362571287097</v>
      </c>
      <c r="Y248">
        <v>17.538208585304048</v>
      </c>
      <c r="Z248">
        <v>17.064511714828662</v>
      </c>
      <c r="AA248">
        <v>16.426571553332678</v>
      </c>
      <c r="AB248">
        <v>15.967977132288711</v>
      </c>
      <c r="AC248">
        <v>15.704575746726041</v>
      </c>
      <c r="AD248" t="s">
        <v>73</v>
      </c>
    </row>
    <row r="249" spans="1:30" x14ac:dyDescent="0.3">
      <c r="A249" t="s">
        <v>566</v>
      </c>
      <c r="B249" s="5" t="s">
        <v>567</v>
      </c>
      <c r="C249" t="s">
        <v>519</v>
      </c>
      <c r="D249" s="5" t="s">
        <v>520</v>
      </c>
      <c r="E249">
        <v>8.1155997523313044</v>
      </c>
      <c r="F249">
        <v>8.2188244295755837</v>
      </c>
      <c r="G249">
        <v>8.0073915812247058</v>
      </c>
      <c r="H249">
        <v>7.6873169921027609</v>
      </c>
      <c r="I249">
        <v>7.0964737649660918</v>
      </c>
      <c r="J249">
        <v>6.3893841441750459</v>
      </c>
      <c r="K249">
        <v>6.139944474100548</v>
      </c>
      <c r="L249">
        <v>5.9489179386880773</v>
      </c>
      <c r="M249">
        <v>5.3646741501925082</v>
      </c>
      <c r="N249">
        <v>6.5706590857545581</v>
      </c>
      <c r="O249">
        <v>6.1565962466527182</v>
      </c>
      <c r="P249">
        <v>5.6784290991755197</v>
      </c>
      <c r="Q249">
        <v>5.7495088772156002</v>
      </c>
      <c r="R249">
        <v>6.0482407541811192</v>
      </c>
      <c r="S249">
        <v>6.164908261295861</v>
      </c>
      <c r="T249">
        <v>6.9041842578898098</v>
      </c>
      <c r="U249">
        <v>6.766187436495728</v>
      </c>
      <c r="V249">
        <v>6.4966554631493674</v>
      </c>
      <c r="W249">
        <v>6.1983729890347554</v>
      </c>
      <c r="X249">
        <v>6.2322394394939504</v>
      </c>
      <c r="Y249">
        <v>6.9095173197888364</v>
      </c>
      <c r="Z249">
        <v>6.471123769563909</v>
      </c>
      <c r="AA249">
        <v>5.8909858446271484</v>
      </c>
      <c r="AB249">
        <v>6.2001192066564004</v>
      </c>
      <c r="AC249">
        <v>6.6555181161988424</v>
      </c>
      <c r="AD249" t="s">
        <v>73</v>
      </c>
    </row>
    <row r="250" spans="1:30" x14ac:dyDescent="0.3">
      <c r="A250" t="s">
        <v>566</v>
      </c>
      <c r="B250" s="5" t="s">
        <v>567</v>
      </c>
      <c r="C250" t="s">
        <v>521</v>
      </c>
      <c r="D250" s="5" t="s">
        <v>522</v>
      </c>
      <c r="E250">
        <v>12.936550842277081</v>
      </c>
      <c r="F250">
        <v>12.871672857978364</v>
      </c>
      <c r="G250">
        <v>12.697866262744991</v>
      </c>
      <c r="H250">
        <v>12.445296292202968</v>
      </c>
      <c r="I250">
        <v>11.553834035347231</v>
      </c>
      <c r="J250">
        <v>10.699055914593393</v>
      </c>
      <c r="K250">
        <v>10.489220889678842</v>
      </c>
      <c r="L250">
        <v>9.9988431641869742</v>
      </c>
      <c r="M250">
        <v>9.2269096975920686</v>
      </c>
      <c r="N250">
        <v>10.612405770244431</v>
      </c>
      <c r="O250">
        <v>10.154301365950696</v>
      </c>
      <c r="P250">
        <v>9.6582149343397976</v>
      </c>
      <c r="Q250">
        <v>9.9070746405684122</v>
      </c>
      <c r="R250">
        <v>10.937340024180438</v>
      </c>
      <c r="S250">
        <v>11.284168270360661</v>
      </c>
      <c r="T250">
        <v>12.191736924840216</v>
      </c>
      <c r="U250">
        <v>11.629413708573569</v>
      </c>
      <c r="V250">
        <v>11.425102696301906</v>
      </c>
      <c r="W250">
        <v>11.630554518417217</v>
      </c>
      <c r="X250">
        <v>11.841348882072205</v>
      </c>
      <c r="Y250">
        <v>12.768469657063717</v>
      </c>
      <c r="Z250">
        <v>12.425740826572989</v>
      </c>
      <c r="AA250">
        <v>11.805963424218289</v>
      </c>
      <c r="AB250">
        <v>12.385984234774416</v>
      </c>
      <c r="AC250">
        <v>13.255767228899915</v>
      </c>
      <c r="AD250" t="s">
        <v>73</v>
      </c>
    </row>
    <row r="251" spans="1:30" x14ac:dyDescent="0.3">
      <c r="A251" t="s">
        <v>566</v>
      </c>
      <c r="B251" s="5" t="s">
        <v>567</v>
      </c>
      <c r="C251" t="s">
        <v>523</v>
      </c>
      <c r="D251" s="5" t="s">
        <v>524</v>
      </c>
      <c r="E251">
        <v>12.960274899063526</v>
      </c>
      <c r="F251">
        <v>12.901964999442075</v>
      </c>
      <c r="G251">
        <v>12.727422927805277</v>
      </c>
      <c r="H251">
        <v>12.480228322088099</v>
      </c>
      <c r="I251">
        <v>11.556421748112168</v>
      </c>
      <c r="J251">
        <v>10.709337589439436</v>
      </c>
      <c r="K251">
        <v>10.484376204814879</v>
      </c>
      <c r="L251">
        <v>10.004026005947908</v>
      </c>
      <c r="M251">
        <v>9.2223933965489771</v>
      </c>
      <c r="N251">
        <v>10.615792897532197</v>
      </c>
      <c r="O251">
        <v>10.161198315216136</v>
      </c>
      <c r="P251">
        <v>9.6659818433497016</v>
      </c>
      <c r="Q251">
        <v>9.9178502130688457</v>
      </c>
      <c r="R251">
        <v>10.960879817822452</v>
      </c>
      <c r="S251">
        <v>11.309486902121028</v>
      </c>
      <c r="T251">
        <v>12.229563561179406</v>
      </c>
      <c r="U251">
        <v>11.663233371460473</v>
      </c>
      <c r="V251">
        <v>11.46307746703876</v>
      </c>
      <c r="W251">
        <v>11.667896552379304</v>
      </c>
      <c r="X251">
        <v>11.886485803331718</v>
      </c>
      <c r="Y251">
        <v>12.821734273063917</v>
      </c>
      <c r="Z251">
        <v>12.483311369420452</v>
      </c>
      <c r="AA251">
        <v>11.860200676681973</v>
      </c>
      <c r="AB251">
        <v>12.44361494651362</v>
      </c>
      <c r="AC251">
        <v>13.286643029311703</v>
      </c>
      <c r="AD251" t="s">
        <v>73</v>
      </c>
    </row>
    <row r="252" spans="1:30" x14ac:dyDescent="0.3">
      <c r="A252" t="s">
        <v>566</v>
      </c>
      <c r="B252" s="5" t="s">
        <v>567</v>
      </c>
      <c r="C252" t="s">
        <v>525</v>
      </c>
      <c r="D252" s="5" t="s">
        <v>526</v>
      </c>
      <c r="E252">
        <v>11.170901104216419</v>
      </c>
      <c r="F252">
        <v>11.109186695882434</v>
      </c>
      <c r="G252">
        <v>11.495473051442534</v>
      </c>
      <c r="H252">
        <v>11.3421554138913</v>
      </c>
      <c r="I252">
        <v>10.960151126366615</v>
      </c>
      <c r="J252">
        <v>10.170345105461152</v>
      </c>
      <c r="K252">
        <v>9.6488611361978798</v>
      </c>
      <c r="L252">
        <v>9.6110005429199656</v>
      </c>
      <c r="M252">
        <v>9.6116559041644933</v>
      </c>
      <c r="N252">
        <v>9.7604795922609444</v>
      </c>
      <c r="O252">
        <v>9.5625930703385329</v>
      </c>
      <c r="P252">
        <v>9.404700966632765</v>
      </c>
      <c r="Q252">
        <v>9.27622072595587</v>
      </c>
      <c r="R252">
        <v>9.2910949085648404</v>
      </c>
      <c r="S252">
        <v>9.2086574501036278</v>
      </c>
      <c r="T252">
        <v>9.233322437885402</v>
      </c>
      <c r="U252">
        <v>9.1912975009972904</v>
      </c>
      <c r="V252">
        <v>8.7907383823514884</v>
      </c>
      <c r="W252">
        <v>8.4538739174758479</v>
      </c>
      <c r="X252">
        <v>8.8007358414824814</v>
      </c>
      <c r="Y252">
        <v>9.6362456761182482</v>
      </c>
      <c r="Z252">
        <v>9.1951775474390942</v>
      </c>
      <c r="AA252">
        <v>9.0373587441931846</v>
      </c>
      <c r="AB252">
        <v>8.7556433807145115</v>
      </c>
      <c r="AC252">
        <v>8.6278990988688271</v>
      </c>
      <c r="AD252" t="s">
        <v>73</v>
      </c>
    </row>
    <row r="253" spans="1:30" x14ac:dyDescent="0.3">
      <c r="A253" t="s">
        <v>566</v>
      </c>
      <c r="B253" s="5" t="s">
        <v>567</v>
      </c>
      <c r="C253" t="s">
        <v>527</v>
      </c>
      <c r="D253" s="5" t="s">
        <v>528</v>
      </c>
      <c r="E253">
        <v>1.2139795726171785</v>
      </c>
      <c r="F253">
        <v>1.1934837255558215</v>
      </c>
      <c r="G253">
        <v>1.039478988819819</v>
      </c>
      <c r="H253">
        <v>1.1883546314842759</v>
      </c>
      <c r="I253">
        <v>1.3351063172688016</v>
      </c>
      <c r="J253">
        <v>1.2104596423869276</v>
      </c>
      <c r="K253">
        <v>1.069445380678385</v>
      </c>
      <c r="L253">
        <v>1.1219402757428343</v>
      </c>
      <c r="M253">
        <v>1.1206927507164051</v>
      </c>
      <c r="N253">
        <v>1.0110948589861817</v>
      </c>
      <c r="O253">
        <v>1.0741319144144061</v>
      </c>
      <c r="P253">
        <v>1.2584816245501795</v>
      </c>
      <c r="Q253">
        <v>1.2159386907753797</v>
      </c>
      <c r="R253">
        <v>1.3773496172886988</v>
      </c>
      <c r="S253">
        <v>1.2104008506700212</v>
      </c>
      <c r="T253">
        <v>1.0994764592620152</v>
      </c>
      <c r="U253">
        <v>1.0118847559437232</v>
      </c>
      <c r="V253">
        <v>1.0202425370323021</v>
      </c>
      <c r="W253">
        <v>0.96536370955936335</v>
      </c>
      <c r="X253">
        <v>0.90331168956636843</v>
      </c>
      <c r="Y253">
        <v>1.0135545765260354</v>
      </c>
      <c r="Z253">
        <v>1.0103170305418807</v>
      </c>
      <c r="AA253" t="s">
        <v>73</v>
      </c>
      <c r="AB253" t="s">
        <v>73</v>
      </c>
      <c r="AC253" t="s">
        <v>73</v>
      </c>
      <c r="AD253" t="s">
        <v>73</v>
      </c>
    </row>
    <row r="254" spans="1:30" x14ac:dyDescent="0.3">
      <c r="A254" t="s">
        <v>566</v>
      </c>
      <c r="B254" s="5" t="s">
        <v>567</v>
      </c>
      <c r="C254" t="s">
        <v>529</v>
      </c>
      <c r="D254" s="5" t="s">
        <v>530</v>
      </c>
      <c r="E254" t="s">
        <v>73</v>
      </c>
      <c r="F254" t="s">
        <v>73</v>
      </c>
      <c r="G254" t="s">
        <v>73</v>
      </c>
      <c r="H254" t="s">
        <v>73</v>
      </c>
      <c r="I254" t="s">
        <v>73</v>
      </c>
      <c r="J254" t="s">
        <v>73</v>
      </c>
      <c r="K254" t="s">
        <v>73</v>
      </c>
      <c r="L254" t="s">
        <v>73</v>
      </c>
      <c r="M254" t="s">
        <v>73</v>
      </c>
      <c r="N254" t="s">
        <v>73</v>
      </c>
      <c r="O254" t="s">
        <v>73</v>
      </c>
      <c r="P254" t="s">
        <v>73</v>
      </c>
      <c r="Q254" t="s">
        <v>73</v>
      </c>
      <c r="R254" t="s">
        <v>73</v>
      </c>
      <c r="S254" t="s">
        <v>73</v>
      </c>
      <c r="T254" t="s">
        <v>73</v>
      </c>
      <c r="U254" t="s">
        <v>73</v>
      </c>
      <c r="V254" t="s">
        <v>73</v>
      </c>
      <c r="W254" t="s">
        <v>73</v>
      </c>
      <c r="X254" t="s">
        <v>73</v>
      </c>
      <c r="Y254" t="s">
        <v>73</v>
      </c>
      <c r="Z254" t="s">
        <v>73</v>
      </c>
      <c r="AA254" t="s">
        <v>73</v>
      </c>
      <c r="AB254" t="s">
        <v>73</v>
      </c>
      <c r="AC254" t="s">
        <v>73</v>
      </c>
      <c r="AD254" t="s">
        <v>73</v>
      </c>
    </row>
    <row r="255" spans="1:30" x14ac:dyDescent="0.3">
      <c r="A255" t="s">
        <v>566</v>
      </c>
      <c r="B255" s="5" t="s">
        <v>567</v>
      </c>
      <c r="C255" t="s">
        <v>531</v>
      </c>
      <c r="D255" s="5" t="s">
        <v>532</v>
      </c>
      <c r="E255">
        <v>1.7554010967501346</v>
      </c>
      <c r="F255">
        <v>1.688543390471881</v>
      </c>
      <c r="G255">
        <v>1.6166243504850124</v>
      </c>
      <c r="H255">
        <v>1.6384334725380569</v>
      </c>
      <c r="I255">
        <v>1.6972510899117836</v>
      </c>
      <c r="J255">
        <v>1.5567033332022435</v>
      </c>
      <c r="K255">
        <v>1.4603010111475019</v>
      </c>
      <c r="L255">
        <v>1.4997720111267923</v>
      </c>
      <c r="M255">
        <v>1.4879163518367569</v>
      </c>
      <c r="N255">
        <v>1.4046279023923243</v>
      </c>
      <c r="O255">
        <v>1.5090276473581443</v>
      </c>
      <c r="P255">
        <v>1.5956460197276947</v>
      </c>
      <c r="Q255">
        <v>1.5680555547894022</v>
      </c>
      <c r="R255">
        <v>1.6324962434696788</v>
      </c>
      <c r="S255">
        <v>1.5451922986947275</v>
      </c>
      <c r="T255">
        <v>1.4693827357725358</v>
      </c>
      <c r="U255">
        <v>1.4233604799276633</v>
      </c>
      <c r="V255">
        <v>1.4682548817406946</v>
      </c>
      <c r="W255">
        <v>1.3840635748052625</v>
      </c>
      <c r="X255">
        <v>1.3425041354853173</v>
      </c>
      <c r="Y255">
        <v>1.4097959975003165</v>
      </c>
      <c r="Z255">
        <v>1.3975403113533751</v>
      </c>
      <c r="AA255">
        <v>1.4290762069436815</v>
      </c>
      <c r="AB255">
        <v>1.4486644444007684</v>
      </c>
      <c r="AC255" t="s">
        <v>73</v>
      </c>
      <c r="AD255" t="s">
        <v>73</v>
      </c>
    </row>
    <row r="256" spans="1:30" x14ac:dyDescent="0.3">
      <c r="A256" t="s">
        <v>566</v>
      </c>
      <c r="B256" s="5" t="s">
        <v>567</v>
      </c>
      <c r="C256" t="s">
        <v>533</v>
      </c>
      <c r="D256" s="5" t="s">
        <v>534</v>
      </c>
      <c r="E256">
        <v>4.984077683147083</v>
      </c>
      <c r="F256">
        <v>5.0793361550801617</v>
      </c>
      <c r="G256">
        <v>5.0046218955656689</v>
      </c>
      <c r="H256">
        <v>4.693659122860053</v>
      </c>
      <c r="I256">
        <v>4.3569209563154176</v>
      </c>
      <c r="J256">
        <v>4.0640203194128022</v>
      </c>
      <c r="K256">
        <v>3.7630829726532395</v>
      </c>
      <c r="L256">
        <v>3.6574982776927762</v>
      </c>
      <c r="M256">
        <v>3.5138131492097271</v>
      </c>
      <c r="N256">
        <v>3.5079525760311001</v>
      </c>
      <c r="O256">
        <v>3.7399245076991909</v>
      </c>
      <c r="P256">
        <v>3.7186465039991554</v>
      </c>
      <c r="Q256">
        <v>3.7064861079334079</v>
      </c>
      <c r="R256">
        <v>3.6018340681861258</v>
      </c>
      <c r="S256">
        <v>3.5431410905116305</v>
      </c>
      <c r="T256">
        <v>3.5702461473133615</v>
      </c>
      <c r="U256">
        <v>3.3671879356975993</v>
      </c>
      <c r="V256">
        <v>3.2414692695385541</v>
      </c>
      <c r="W256">
        <v>3.1111962505406225</v>
      </c>
      <c r="X256">
        <v>3.1308134728868287</v>
      </c>
      <c r="Y256">
        <v>3.3534229713897088</v>
      </c>
      <c r="Z256">
        <v>3.1331300626655283</v>
      </c>
      <c r="AA256">
        <v>3.1548599382055342</v>
      </c>
      <c r="AB256">
        <v>2.939879987347255</v>
      </c>
      <c r="AC256">
        <v>2.9003612581430254</v>
      </c>
      <c r="AD256" t="s">
        <v>73</v>
      </c>
    </row>
    <row r="257" spans="1:30" x14ac:dyDescent="0.3">
      <c r="A257" t="s">
        <v>566</v>
      </c>
      <c r="B257" s="5" t="s">
        <v>567</v>
      </c>
      <c r="C257" t="s">
        <v>535</v>
      </c>
      <c r="D257" s="5" t="s">
        <v>536</v>
      </c>
      <c r="E257">
        <v>18.269130417653738</v>
      </c>
      <c r="F257">
        <v>15.675760719228812</v>
      </c>
      <c r="G257">
        <v>16.050548522522213</v>
      </c>
      <c r="H257">
        <v>16.120981007241319</v>
      </c>
      <c r="I257">
        <v>16.010675878448964</v>
      </c>
      <c r="J257">
        <v>15.343752334352759</v>
      </c>
      <c r="K257">
        <v>15.346924699299716</v>
      </c>
      <c r="L257">
        <v>15.323746493425288</v>
      </c>
      <c r="M257">
        <v>14.79681076015868</v>
      </c>
      <c r="N257">
        <v>15.0325410179494</v>
      </c>
      <c r="O257">
        <v>15.009025525426889</v>
      </c>
      <c r="P257">
        <v>15.123039284976695</v>
      </c>
      <c r="Q257">
        <v>15.648604313719932</v>
      </c>
      <c r="R257">
        <v>15.83731599791296</v>
      </c>
      <c r="S257">
        <v>14.618992170659716</v>
      </c>
      <c r="T257">
        <v>14.024714554513224</v>
      </c>
      <c r="U257">
        <v>15.72185258459346</v>
      </c>
      <c r="V257">
        <v>15.843545743104299</v>
      </c>
      <c r="W257">
        <v>15.991486683039428</v>
      </c>
      <c r="X257">
        <v>16.771881275046713</v>
      </c>
      <c r="Y257">
        <v>19.055277616178323</v>
      </c>
      <c r="Z257">
        <v>20.06447852147674</v>
      </c>
      <c r="AA257">
        <v>17.951304511140332</v>
      </c>
      <c r="AB257">
        <v>16.86089087123057</v>
      </c>
      <c r="AC257">
        <v>16.902799928857711</v>
      </c>
      <c r="AD257" t="s">
        <v>73</v>
      </c>
    </row>
    <row r="258" spans="1:30" x14ac:dyDescent="0.3">
      <c r="A258" t="s">
        <v>566</v>
      </c>
      <c r="B258" s="5" t="s">
        <v>567</v>
      </c>
      <c r="C258" t="s">
        <v>537</v>
      </c>
      <c r="D258" s="5" t="s">
        <v>538</v>
      </c>
      <c r="E258">
        <v>1.5943738047323983</v>
      </c>
      <c r="F258">
        <v>1.5559636397578682</v>
      </c>
      <c r="G258">
        <v>1.4700992161939148</v>
      </c>
      <c r="H258">
        <v>1.4941795832053102</v>
      </c>
      <c r="I258">
        <v>1.5471072719028636</v>
      </c>
      <c r="J258">
        <v>1.3877863995568434</v>
      </c>
      <c r="K258">
        <v>1.2936786432272545</v>
      </c>
      <c r="L258">
        <v>1.3221700390858753</v>
      </c>
      <c r="M258">
        <v>1.3158291465251974</v>
      </c>
      <c r="N258">
        <v>1.2242928580452901</v>
      </c>
      <c r="O258">
        <v>1.2913377984287902</v>
      </c>
      <c r="P258">
        <v>1.3948315413044299</v>
      </c>
      <c r="Q258">
        <v>1.3729041496268837</v>
      </c>
      <c r="R258">
        <v>1.4521079604714386</v>
      </c>
      <c r="S258">
        <v>1.359507208746481</v>
      </c>
      <c r="T258">
        <v>1.2815199230164163</v>
      </c>
      <c r="U258">
        <v>1.23972918651882</v>
      </c>
      <c r="V258">
        <v>1.2832014833198395</v>
      </c>
      <c r="W258">
        <v>1.2192910851354553</v>
      </c>
      <c r="X258">
        <v>1.168228865577716</v>
      </c>
      <c r="Y258">
        <v>1.2351764065615616</v>
      </c>
      <c r="Z258">
        <v>1.2449616896304363</v>
      </c>
      <c r="AA258" t="s">
        <v>73</v>
      </c>
      <c r="AB258" t="s">
        <v>73</v>
      </c>
      <c r="AC258" t="s">
        <v>73</v>
      </c>
      <c r="AD258" t="s">
        <v>73</v>
      </c>
    </row>
    <row r="259" spans="1:30" x14ac:dyDescent="0.3">
      <c r="A259" t="s">
        <v>566</v>
      </c>
      <c r="B259" s="5" t="s">
        <v>567</v>
      </c>
      <c r="C259" t="s">
        <v>539</v>
      </c>
      <c r="D259" s="5" t="s">
        <v>540</v>
      </c>
      <c r="E259">
        <v>20.036212932520691</v>
      </c>
      <c r="F259">
        <v>21.830835539338377</v>
      </c>
      <c r="G259">
        <v>25.982098842414814</v>
      </c>
      <c r="H259">
        <v>25.396096730982055</v>
      </c>
      <c r="I259">
        <v>21.987624691410748</v>
      </c>
      <c r="J259">
        <v>21.111606158978436</v>
      </c>
      <c r="K259">
        <v>19.913775973877243</v>
      </c>
      <c r="L259">
        <v>19.697986179862212</v>
      </c>
      <c r="M259">
        <v>19.265941868237885</v>
      </c>
      <c r="N259">
        <v>20.561176520815561</v>
      </c>
      <c r="O259">
        <v>19.591871382721322</v>
      </c>
      <c r="P259">
        <v>17.532494953065516</v>
      </c>
      <c r="Q259">
        <v>17.168901834883481</v>
      </c>
      <c r="R259">
        <v>16.808849582662166</v>
      </c>
      <c r="S259">
        <v>16.965525369891051</v>
      </c>
      <c r="T259">
        <v>18.108297606080693</v>
      </c>
      <c r="U259">
        <v>18.094335502077342</v>
      </c>
      <c r="V259">
        <v>17.644133128165006</v>
      </c>
      <c r="W259">
        <v>17.297161643540946</v>
      </c>
      <c r="X259">
        <v>19.799844504492551</v>
      </c>
      <c r="Y259">
        <v>22.147967238792337</v>
      </c>
      <c r="Z259">
        <v>21.163062204194841</v>
      </c>
      <c r="AA259">
        <v>19.874356089172711</v>
      </c>
      <c r="AB259">
        <v>19.936029899859768</v>
      </c>
      <c r="AC259">
        <v>18.569803548739436</v>
      </c>
      <c r="AD259" t="s">
        <v>73</v>
      </c>
    </row>
    <row r="260" spans="1:30" x14ac:dyDescent="0.3">
      <c r="A260" t="s">
        <v>566</v>
      </c>
      <c r="B260" s="5" t="s">
        <v>567</v>
      </c>
      <c r="C260" t="s">
        <v>541</v>
      </c>
      <c r="D260" s="5" t="s">
        <v>542</v>
      </c>
      <c r="E260">
        <v>5.0259742959362868</v>
      </c>
      <c r="F260">
        <v>4.8639616651569124</v>
      </c>
      <c r="G260">
        <v>4.8695192992017384</v>
      </c>
      <c r="H260">
        <v>4.6440382237272955</v>
      </c>
      <c r="I260">
        <v>4.3515326820183136</v>
      </c>
      <c r="J260">
        <v>4.0074101698960574</v>
      </c>
      <c r="K260">
        <v>4.2226033490662829</v>
      </c>
      <c r="L260">
        <v>4.0232772130092123</v>
      </c>
      <c r="M260">
        <v>3.8568013748103649</v>
      </c>
      <c r="N260">
        <v>4.1051615048773531</v>
      </c>
      <c r="O260">
        <v>4.2246522015578183</v>
      </c>
      <c r="P260">
        <v>4.1304463999693555</v>
      </c>
      <c r="Q260">
        <v>4.213372185074661</v>
      </c>
      <c r="R260">
        <v>4.1794335679678341</v>
      </c>
      <c r="S260">
        <v>4.081186547472381</v>
      </c>
      <c r="T260">
        <v>4.222389489565705</v>
      </c>
      <c r="U260">
        <v>4.0688981019142032</v>
      </c>
      <c r="V260">
        <v>4.0544964146421956</v>
      </c>
      <c r="W260">
        <v>3.8431055628198649</v>
      </c>
      <c r="X260">
        <v>3.8057572621354154</v>
      </c>
      <c r="Y260">
        <v>4.1841853210564786</v>
      </c>
      <c r="Z260">
        <v>3.8955483483509514</v>
      </c>
      <c r="AA260">
        <v>3.7681741593605316</v>
      </c>
      <c r="AB260">
        <v>3.6411442443329056</v>
      </c>
      <c r="AC260">
        <v>3.5935498795271172</v>
      </c>
      <c r="AD260" t="s">
        <v>73</v>
      </c>
    </row>
    <row r="261" spans="1:30" x14ac:dyDescent="0.3">
      <c r="A261" t="s">
        <v>566</v>
      </c>
      <c r="B261" s="5" t="s">
        <v>567</v>
      </c>
      <c r="C261" t="s">
        <v>543</v>
      </c>
      <c r="D261" s="5" t="s">
        <v>544</v>
      </c>
      <c r="E261">
        <v>21.82012758997573</v>
      </c>
      <c r="F261">
        <v>21.717825969947476</v>
      </c>
      <c r="G261">
        <v>19.634026994160976</v>
      </c>
      <c r="H261">
        <v>19.558137188096168</v>
      </c>
      <c r="I261">
        <v>17.932131513174689</v>
      </c>
      <c r="J261">
        <v>17.668977812779225</v>
      </c>
      <c r="K261">
        <v>16.864878306083661</v>
      </c>
      <c r="L261">
        <v>16.785086441847998</v>
      </c>
      <c r="M261">
        <v>16.849448668348977</v>
      </c>
      <c r="N261">
        <v>16.760013437275465</v>
      </c>
      <c r="O261">
        <v>16.893015890507428</v>
      </c>
      <c r="P261">
        <v>17.03664602429528</v>
      </c>
      <c r="Q261">
        <v>16.614383972129957</v>
      </c>
      <c r="R261">
        <v>16.791760398671762</v>
      </c>
      <c r="S261">
        <v>16.457137845114651</v>
      </c>
      <c r="T261">
        <v>15.863985403747142</v>
      </c>
      <c r="U261">
        <v>15.840158325655027</v>
      </c>
      <c r="V261">
        <v>15.980952425976067</v>
      </c>
      <c r="W261">
        <v>15.463530067756523</v>
      </c>
      <c r="X261">
        <v>16.020286279937523</v>
      </c>
      <c r="Y261">
        <v>17.627294712922058</v>
      </c>
      <c r="Z261">
        <v>16.553251763930401</v>
      </c>
      <c r="AA261">
        <v>15.795939950266025</v>
      </c>
      <c r="AB261">
        <v>15.52504042644785</v>
      </c>
      <c r="AC261">
        <v>15.631560837767559</v>
      </c>
      <c r="AD261" t="s">
        <v>73</v>
      </c>
    </row>
    <row r="262" spans="1:30" x14ac:dyDescent="0.3">
      <c r="A262" t="s">
        <v>566</v>
      </c>
      <c r="B262" s="5" t="s">
        <v>567</v>
      </c>
      <c r="C262" t="s">
        <v>545</v>
      </c>
      <c r="D262" s="5" t="s">
        <v>546</v>
      </c>
      <c r="E262">
        <v>21.82012758997573</v>
      </c>
      <c r="F262">
        <v>21.717825969947476</v>
      </c>
      <c r="G262">
        <v>19.634026994160976</v>
      </c>
      <c r="H262">
        <v>19.558137188096168</v>
      </c>
      <c r="I262">
        <v>17.932131513174689</v>
      </c>
      <c r="J262">
        <v>17.668977812779225</v>
      </c>
      <c r="K262">
        <v>16.864878306083661</v>
      </c>
      <c r="L262">
        <v>16.785086441847998</v>
      </c>
      <c r="M262">
        <v>16.849448668348977</v>
      </c>
      <c r="N262">
        <v>16.760013437275465</v>
      </c>
      <c r="O262">
        <v>16.893015890507428</v>
      </c>
      <c r="P262">
        <v>17.03664602429528</v>
      </c>
      <c r="Q262">
        <v>16.614383972129957</v>
      </c>
      <c r="R262">
        <v>16.791760398671762</v>
      </c>
      <c r="S262">
        <v>16.457137845114651</v>
      </c>
      <c r="T262">
        <v>15.863985403747142</v>
      </c>
      <c r="U262">
        <v>15.840158325655027</v>
      </c>
      <c r="V262">
        <v>15.980952425976067</v>
      </c>
      <c r="W262">
        <v>15.463530067756523</v>
      </c>
      <c r="X262">
        <v>16.020286279937523</v>
      </c>
      <c r="Y262">
        <v>17.627294712922058</v>
      </c>
      <c r="Z262">
        <v>16.553251763930401</v>
      </c>
      <c r="AA262">
        <v>15.795939950266025</v>
      </c>
      <c r="AB262">
        <v>15.52504042644785</v>
      </c>
      <c r="AC262">
        <v>15.631560837767559</v>
      </c>
      <c r="AD262" t="s">
        <v>73</v>
      </c>
    </row>
    <row r="263" spans="1:30" x14ac:dyDescent="0.3">
      <c r="A263" t="s">
        <v>566</v>
      </c>
      <c r="B263" s="5" t="s">
        <v>567</v>
      </c>
      <c r="C263" t="s">
        <v>547</v>
      </c>
      <c r="D263" s="5" t="s">
        <v>548</v>
      </c>
      <c r="E263">
        <v>15.405903779108035</v>
      </c>
      <c r="F263">
        <v>16.420121257657431</v>
      </c>
      <c r="G263">
        <v>19.659819474248199</v>
      </c>
      <c r="H263">
        <v>17.208974846747758</v>
      </c>
      <c r="I263">
        <v>15.133522433803606</v>
      </c>
      <c r="J263">
        <v>15.050314378019641</v>
      </c>
      <c r="K263">
        <v>15.186964019782126</v>
      </c>
      <c r="L263">
        <v>15.654449417460079</v>
      </c>
      <c r="M263">
        <v>16.90370273077189</v>
      </c>
      <c r="N263">
        <v>17.245389129427693</v>
      </c>
      <c r="O263">
        <v>15.891630760805883</v>
      </c>
      <c r="P263">
        <v>14.637861521226583</v>
      </c>
      <c r="Q263">
        <v>15.15294906443394</v>
      </c>
      <c r="R263">
        <v>15.255530085110763</v>
      </c>
      <c r="S263">
        <v>15.567480929438894</v>
      </c>
      <c r="T263">
        <v>16.319481083029132</v>
      </c>
      <c r="U263">
        <v>16.412914276229433</v>
      </c>
      <c r="V263">
        <v>15.737113236178047</v>
      </c>
      <c r="W263">
        <v>15.69439122491011</v>
      </c>
      <c r="X263">
        <v>18.246258571764653</v>
      </c>
      <c r="Y263">
        <v>20.152402799285831</v>
      </c>
      <c r="Z263">
        <v>19.446781614270854</v>
      </c>
      <c r="AA263">
        <v>19.383443639401559</v>
      </c>
      <c r="AB263">
        <v>19.236971400115245</v>
      </c>
      <c r="AC263">
        <v>17.954777216030905</v>
      </c>
      <c r="AD263" t="s">
        <v>73</v>
      </c>
    </row>
    <row r="264" spans="1:30" x14ac:dyDescent="0.3">
      <c r="A264" t="s">
        <v>566</v>
      </c>
      <c r="B264" s="5" t="s">
        <v>567</v>
      </c>
      <c r="C264" t="s">
        <v>549</v>
      </c>
      <c r="D264" s="5" t="s">
        <v>550</v>
      </c>
      <c r="E264">
        <v>14.846772038071732</v>
      </c>
      <c r="F264">
        <v>15.909461069530128</v>
      </c>
      <c r="G264">
        <v>19.356498338360289</v>
      </c>
      <c r="H264">
        <v>16.923681502798075</v>
      </c>
      <c r="I264">
        <v>14.808426140042263</v>
      </c>
      <c r="J264">
        <v>14.674983583804547</v>
      </c>
      <c r="K264">
        <v>14.774640966264535</v>
      </c>
      <c r="L264">
        <v>15.203861754006523</v>
      </c>
      <c r="M264">
        <v>16.316100778619067</v>
      </c>
      <c r="N264">
        <v>16.488411141492168</v>
      </c>
      <c r="O264">
        <v>15.371320546760114</v>
      </c>
      <c r="P264">
        <v>14.122262587450599</v>
      </c>
      <c r="Q264">
        <v>14.406698226314832</v>
      </c>
      <c r="R264">
        <v>14.568832098954818</v>
      </c>
      <c r="S264">
        <v>14.886632148454535</v>
      </c>
      <c r="T264">
        <v>15.577596156829168</v>
      </c>
      <c r="U264">
        <v>15.571114008586711</v>
      </c>
      <c r="V264">
        <v>14.885970439380058</v>
      </c>
      <c r="W264">
        <v>14.95290580900199</v>
      </c>
      <c r="X264">
        <v>17.537765292780978</v>
      </c>
      <c r="Y264">
        <v>19.322063449870601</v>
      </c>
      <c r="Z264">
        <v>18.483687976342388</v>
      </c>
      <c r="AA264">
        <v>18.35978412726865</v>
      </c>
      <c r="AB264">
        <v>18.115658553332107</v>
      </c>
      <c r="AC264">
        <v>16.588176010903762</v>
      </c>
      <c r="AD264" t="s">
        <v>73</v>
      </c>
    </row>
    <row r="265" spans="1:30" x14ac:dyDescent="0.3">
      <c r="A265" t="s">
        <v>566</v>
      </c>
      <c r="B265" s="5" t="s">
        <v>567</v>
      </c>
      <c r="C265" t="s">
        <v>551</v>
      </c>
      <c r="D265" s="5" t="s">
        <v>552</v>
      </c>
      <c r="E265">
        <v>15.405903779108032</v>
      </c>
      <c r="F265">
        <v>16.420121257657428</v>
      </c>
      <c r="G265">
        <v>19.659819474248195</v>
      </c>
      <c r="H265">
        <v>17.208974846747761</v>
      </c>
      <c r="I265">
        <v>15.133522433803599</v>
      </c>
      <c r="J265">
        <v>15.050314378019639</v>
      </c>
      <c r="K265">
        <v>15.186964019782124</v>
      </c>
      <c r="L265">
        <v>15.654449417460075</v>
      </c>
      <c r="M265">
        <v>16.90370273077189</v>
      </c>
      <c r="N265">
        <v>17.245389129427682</v>
      </c>
      <c r="O265">
        <v>15.891630760805883</v>
      </c>
      <c r="P265">
        <v>14.637861521226572</v>
      </c>
      <c r="Q265">
        <v>15.15294906443394</v>
      </c>
      <c r="R265">
        <v>15.255530085110752</v>
      </c>
      <c r="S265">
        <v>15.567480929438894</v>
      </c>
      <c r="T265">
        <v>16.319481083029132</v>
      </c>
      <c r="U265">
        <v>16.412914276229433</v>
      </c>
      <c r="V265">
        <v>15.737113236178049</v>
      </c>
      <c r="W265">
        <v>15.69439122491012</v>
      </c>
      <c r="X265">
        <v>18.246258571764663</v>
      </c>
      <c r="Y265">
        <v>20.152402799285849</v>
      </c>
      <c r="Z265">
        <v>19.446781614270865</v>
      </c>
      <c r="AA265">
        <v>19.38344363940157</v>
      </c>
      <c r="AB265">
        <v>19.236971400115266</v>
      </c>
      <c r="AC265">
        <v>17.954777216030912</v>
      </c>
      <c r="AD265" t="s">
        <v>73</v>
      </c>
    </row>
    <row r="266" spans="1:30" x14ac:dyDescent="0.3">
      <c r="A266" t="s">
        <v>566</v>
      </c>
      <c r="B266" s="5" t="s">
        <v>567</v>
      </c>
      <c r="C266" t="s">
        <v>553</v>
      </c>
      <c r="D266" s="5" t="s">
        <v>554</v>
      </c>
      <c r="E266">
        <v>8.710286958284005</v>
      </c>
      <c r="F266">
        <v>8.6323352377908211</v>
      </c>
      <c r="G266">
        <v>9.0878501784567973</v>
      </c>
      <c r="H266">
        <v>8.8997376860263415</v>
      </c>
      <c r="I266">
        <v>8.8474646447437184</v>
      </c>
      <c r="J266">
        <v>8.0174531694886841</v>
      </c>
      <c r="K266">
        <v>7.5450140840151878</v>
      </c>
      <c r="L266">
        <v>7.5565225777930527</v>
      </c>
      <c r="M266">
        <v>7.6682017230221113</v>
      </c>
      <c r="N266">
        <v>7.7454946176076938</v>
      </c>
      <c r="O266">
        <v>7.5753471759163515</v>
      </c>
      <c r="P266">
        <v>7.502626665053505</v>
      </c>
      <c r="Q266">
        <v>7.4951514761512819</v>
      </c>
      <c r="R266">
        <v>7.5497722898386757</v>
      </c>
      <c r="S266">
        <v>7.4441911616717995</v>
      </c>
      <c r="T266">
        <v>7.4617206633034687</v>
      </c>
      <c r="U266">
        <v>7.390726206529413</v>
      </c>
      <c r="V266">
        <v>6.9501172735243015</v>
      </c>
      <c r="W266">
        <v>6.6726838268611814</v>
      </c>
      <c r="X266">
        <v>6.7912198843858933</v>
      </c>
      <c r="Y266">
        <v>7.4951768734555699</v>
      </c>
      <c r="Z266">
        <v>7.1732069998305006</v>
      </c>
      <c r="AA266">
        <v>7.0996404229173322</v>
      </c>
      <c r="AB266">
        <v>6.9042469216859264</v>
      </c>
      <c r="AC266">
        <v>6.813978891451371</v>
      </c>
      <c r="AD266" t="s">
        <v>73</v>
      </c>
    </row>
    <row r="267" spans="1:30" x14ac:dyDescent="0.3">
      <c r="A267" t="s">
        <v>566</v>
      </c>
      <c r="B267" s="5" t="s">
        <v>567</v>
      </c>
      <c r="C267" t="s">
        <v>555</v>
      </c>
      <c r="D267" s="5" t="s">
        <v>556</v>
      </c>
      <c r="E267">
        <v>3.384463125795413</v>
      </c>
      <c r="F267">
        <v>3.3621943427614069</v>
      </c>
      <c r="G267">
        <v>3.3207397498342117</v>
      </c>
      <c r="H267">
        <v>3.3096270075336713</v>
      </c>
      <c r="I267">
        <v>3.3518560855877171</v>
      </c>
      <c r="J267">
        <v>3.2258501662715857</v>
      </c>
      <c r="K267">
        <v>3.1990402675685163</v>
      </c>
      <c r="L267">
        <v>3.3776687308620184</v>
      </c>
      <c r="M267">
        <v>3.5402020194478077</v>
      </c>
      <c r="N267">
        <v>3.6544337345643911</v>
      </c>
      <c r="O267">
        <v>3.864414936261352</v>
      </c>
      <c r="P267">
        <v>4.0050164734060383</v>
      </c>
      <c r="Q267">
        <v>4.0396433210340366</v>
      </c>
      <c r="R267">
        <v>4.1816617478962916</v>
      </c>
      <c r="S267">
        <v>4.1646517232091709</v>
      </c>
      <c r="T267">
        <v>4.1975266807731941</v>
      </c>
      <c r="U267">
        <v>4.1373012008257737</v>
      </c>
      <c r="V267">
        <v>4.101902893871948</v>
      </c>
      <c r="W267">
        <v>3.9337525774109019</v>
      </c>
      <c r="X267">
        <v>4.0680931077764431</v>
      </c>
      <c r="Y267">
        <v>4.410588763019085</v>
      </c>
      <c r="Z267">
        <v>4.3294616943432835</v>
      </c>
      <c r="AA267">
        <v>4.2902142538299932</v>
      </c>
      <c r="AB267">
        <v>4.126613764714385</v>
      </c>
      <c r="AC267">
        <v>4.04871859432627</v>
      </c>
      <c r="AD267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7AAB-3025-40FB-81F2-64D4EFF21E76}">
  <dimension ref="A1:AB267"/>
  <sheetViews>
    <sheetView workbookViewId="0">
      <selection activeCell="C14" sqref="C14"/>
    </sheetView>
  </sheetViews>
  <sheetFormatPr defaultRowHeight="14.4" x14ac:dyDescent="0.3"/>
  <cols>
    <col min="1" max="1" width="27.109375" bestFit="1" customWidth="1"/>
    <col min="3" max="3" width="60.109375" bestFit="1" customWidth="1"/>
  </cols>
  <sheetData>
    <row r="1" spans="1:28" x14ac:dyDescent="0.3">
      <c r="A1" t="s">
        <v>59</v>
      </c>
      <c r="B1" s="5" t="s">
        <v>60</v>
      </c>
      <c r="C1" t="s">
        <v>61</v>
      </c>
      <c r="D1" s="5" t="s">
        <v>62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</row>
    <row r="2" spans="1:28" x14ac:dyDescent="0.3">
      <c r="A2" t="s">
        <v>558</v>
      </c>
      <c r="B2" s="5" t="s">
        <v>559</v>
      </c>
      <c r="C2" t="s">
        <v>65</v>
      </c>
      <c r="D2" s="5" t="s">
        <v>66</v>
      </c>
      <c r="E2">
        <v>57.94581665976726</v>
      </c>
      <c r="F2">
        <v>57.947349861245264</v>
      </c>
      <c r="G2">
        <v>57.939683853855243</v>
      </c>
      <c r="H2">
        <v>58.083804792787816</v>
      </c>
      <c r="I2">
        <v>58.151265657820097</v>
      </c>
      <c r="J2">
        <v>58.134400441562029</v>
      </c>
      <c r="K2">
        <v>58.123668031215978</v>
      </c>
      <c r="L2">
        <v>58.129800837128009</v>
      </c>
      <c r="M2">
        <v>58.132867240084018</v>
      </c>
      <c r="N2">
        <v>58.132867240084018</v>
      </c>
      <c r="O2">
        <v>58.134400441562029</v>
      </c>
      <c r="P2">
        <v>58.131334038606006</v>
      </c>
      <c r="Q2">
        <v>58.129800837128009</v>
      </c>
      <c r="R2">
        <v>58.123668031215978</v>
      </c>
      <c r="S2">
        <v>58.123668031215978</v>
      </c>
      <c r="T2">
        <v>58.123668031215978</v>
      </c>
      <c r="U2">
        <v>58.123668031215978</v>
      </c>
      <c r="V2">
        <v>58.123668031215978</v>
      </c>
      <c r="W2">
        <v>58.276988179016612</v>
      </c>
      <c r="X2">
        <v>58.276988179016612</v>
      </c>
      <c r="Y2">
        <v>58.741548226852494</v>
      </c>
      <c r="Z2">
        <v>58.741548226852494</v>
      </c>
      <c r="AA2">
        <v>58.741548226852494</v>
      </c>
      <c r="AB2">
        <v>58.439507535685266</v>
      </c>
    </row>
    <row r="3" spans="1:28" x14ac:dyDescent="0.3">
      <c r="A3" t="s">
        <v>558</v>
      </c>
      <c r="B3" s="5" t="s">
        <v>559</v>
      </c>
      <c r="C3" t="s">
        <v>67</v>
      </c>
      <c r="D3" s="5" t="s">
        <v>68</v>
      </c>
      <c r="E3">
        <v>41.751824817518248</v>
      </c>
      <c r="F3">
        <v>41.569343065693431</v>
      </c>
      <c r="G3">
        <v>41.605839416058394</v>
      </c>
      <c r="H3">
        <v>40.912408759124084</v>
      </c>
      <c r="I3">
        <v>40.948905109489054</v>
      </c>
      <c r="J3">
        <v>39.306569343065696</v>
      </c>
      <c r="K3">
        <v>40.875912408759127</v>
      </c>
      <c r="L3">
        <v>40.839416058394164</v>
      </c>
      <c r="M3">
        <v>43.102189781021899</v>
      </c>
      <c r="N3">
        <v>43.843065693430653</v>
      </c>
      <c r="O3">
        <v>43.843065693430653</v>
      </c>
      <c r="P3">
        <v>43.832116788321166</v>
      </c>
      <c r="Q3">
        <v>43.843065693430653</v>
      </c>
      <c r="R3">
        <v>43.332116788321166</v>
      </c>
      <c r="S3">
        <v>42.857299270072993</v>
      </c>
      <c r="T3">
        <v>42.857664233576642</v>
      </c>
      <c r="U3">
        <v>43.127737226277375</v>
      </c>
      <c r="V3">
        <v>42.856970802919712</v>
      </c>
      <c r="W3">
        <v>42.84967153284672</v>
      </c>
      <c r="X3">
        <v>42.846715328467155</v>
      </c>
      <c r="Y3">
        <v>42.538503649635032</v>
      </c>
      <c r="Z3">
        <v>41.471897810218977</v>
      </c>
      <c r="AA3">
        <v>41.445255474452551</v>
      </c>
      <c r="AB3">
        <v>38.124087591240873</v>
      </c>
    </row>
    <row r="4" spans="1:28" x14ac:dyDescent="0.3">
      <c r="A4" t="s">
        <v>558</v>
      </c>
      <c r="B4" s="5" t="s">
        <v>559</v>
      </c>
      <c r="C4" t="s">
        <v>69</v>
      </c>
      <c r="D4" s="5" t="s">
        <v>70</v>
      </c>
      <c r="E4">
        <v>16.803261481102052</v>
      </c>
      <c r="F4">
        <v>16.840209258777197</v>
      </c>
      <c r="G4">
        <v>16.733564536851208</v>
      </c>
      <c r="H4">
        <v>16.754851495125411</v>
      </c>
      <c r="I4">
        <v>17.275185368680042</v>
      </c>
      <c r="J4">
        <v>17.302896201936399</v>
      </c>
      <c r="K4">
        <v>17.290300368638054</v>
      </c>
      <c r="L4">
        <v>17.320110507444138</v>
      </c>
      <c r="M4">
        <v>17.344042590710991</v>
      </c>
      <c r="N4">
        <v>17.373852729517075</v>
      </c>
      <c r="O4">
        <v>17.371333562857409</v>
      </c>
      <c r="P4">
        <v>17.377211618396636</v>
      </c>
      <c r="Q4">
        <v>17.381490003106972</v>
      </c>
      <c r="R4">
        <v>17.395532257929077</v>
      </c>
      <c r="S4">
        <v>17.395265646124262</v>
      </c>
      <c r="T4">
        <v>17.405922810246789</v>
      </c>
      <c r="U4">
        <v>17.365532188428549</v>
      </c>
      <c r="V4">
        <v>17.355010809319733</v>
      </c>
      <c r="W4">
        <v>17.356567989550502</v>
      </c>
      <c r="X4">
        <v>17.346981618480605</v>
      </c>
      <c r="Y4">
        <v>17.335225507402154</v>
      </c>
      <c r="Z4">
        <v>17.330607035192756</v>
      </c>
      <c r="AA4">
        <v>17.351348174024032</v>
      </c>
      <c r="AB4">
        <v>17.359031632336023</v>
      </c>
    </row>
    <row r="5" spans="1:28" x14ac:dyDescent="0.3">
      <c r="A5" t="s">
        <v>558</v>
      </c>
      <c r="B5" s="5" t="s">
        <v>559</v>
      </c>
      <c r="C5" t="s">
        <v>71</v>
      </c>
      <c r="D5" s="5" t="s">
        <v>72</v>
      </c>
      <c r="E5">
        <v>11.35</v>
      </c>
      <c r="F5">
        <v>11.5</v>
      </c>
      <c r="G5">
        <v>11.65</v>
      </c>
      <c r="H5">
        <v>11.799999999999999</v>
      </c>
      <c r="I5">
        <v>11.95</v>
      </c>
      <c r="J5">
        <v>12.1</v>
      </c>
      <c r="K5">
        <v>12.25</v>
      </c>
      <c r="L5">
        <v>12.4</v>
      </c>
      <c r="M5">
        <v>12.55</v>
      </c>
      <c r="N5">
        <v>12.7</v>
      </c>
      <c r="O5">
        <v>12.85</v>
      </c>
      <c r="P5">
        <v>13</v>
      </c>
      <c r="Q5">
        <v>13.15</v>
      </c>
      <c r="R5">
        <v>13.3</v>
      </c>
      <c r="S5">
        <v>13.450000000000001</v>
      </c>
      <c r="T5">
        <v>13.600000000000001</v>
      </c>
      <c r="U5">
        <v>13.750000000000002</v>
      </c>
      <c r="V5">
        <v>13.900000000000002</v>
      </c>
      <c r="W5">
        <v>14.05</v>
      </c>
      <c r="X5">
        <v>14.2</v>
      </c>
      <c r="Y5">
        <v>14.35</v>
      </c>
      <c r="Z5">
        <v>14.499999999999998</v>
      </c>
      <c r="AA5">
        <v>14.499999999999998</v>
      </c>
      <c r="AB5">
        <v>14.799999999999999</v>
      </c>
    </row>
    <row r="6" spans="1:28" x14ac:dyDescent="0.3">
      <c r="A6" t="s">
        <v>558</v>
      </c>
      <c r="B6" s="5" t="s">
        <v>559</v>
      </c>
      <c r="C6" t="s">
        <v>74</v>
      </c>
      <c r="D6" s="5" t="s">
        <v>75</v>
      </c>
      <c r="E6">
        <v>48.936170212765958</v>
      </c>
      <c r="F6">
        <v>48.404255319148938</v>
      </c>
      <c r="G6">
        <v>48.617021276595743</v>
      </c>
      <c r="H6">
        <v>48.638297872340424</v>
      </c>
      <c r="I6">
        <v>48.531914893617021</v>
      </c>
      <c r="J6">
        <v>46.382978723404257</v>
      </c>
      <c r="K6">
        <v>46.340425531914889</v>
      </c>
      <c r="L6">
        <v>44.191489361702132</v>
      </c>
      <c r="M6">
        <v>44.170212765957444</v>
      </c>
      <c r="N6">
        <v>44.191489361702132</v>
      </c>
      <c r="O6">
        <v>42.063829787234042</v>
      </c>
      <c r="P6">
        <v>42.063829787234042</v>
      </c>
      <c r="Q6">
        <v>39.914893617021278</v>
      </c>
      <c r="R6">
        <v>40.021276595744681</v>
      </c>
      <c r="S6">
        <v>40</v>
      </c>
      <c r="T6">
        <v>40.021276595744681</v>
      </c>
      <c r="U6">
        <v>40.042553191489361</v>
      </c>
      <c r="V6">
        <v>40.042553191489361</v>
      </c>
      <c r="W6">
        <v>40.07234042553192</v>
      </c>
      <c r="X6">
        <v>40.000212765957443</v>
      </c>
      <c r="Y6">
        <v>39.951702127659573</v>
      </c>
      <c r="Z6">
        <v>39.906808510638299</v>
      </c>
      <c r="AA6">
        <v>39.906808510638299</v>
      </c>
      <c r="AB6">
        <v>39.874042553191487</v>
      </c>
    </row>
    <row r="7" spans="1:28" x14ac:dyDescent="0.3">
      <c r="A7" t="s">
        <v>558</v>
      </c>
      <c r="B7" s="5" t="s">
        <v>559</v>
      </c>
      <c r="C7" t="s">
        <v>76</v>
      </c>
      <c r="D7" s="5" t="s">
        <v>77</v>
      </c>
      <c r="E7">
        <v>35.712681479104837</v>
      </c>
      <c r="F7">
        <v>35.626052779337449</v>
      </c>
      <c r="G7">
        <v>35.644501483917537</v>
      </c>
      <c r="H7">
        <v>35.693430656934304</v>
      </c>
      <c r="I7">
        <v>35.541830432341385</v>
      </c>
      <c r="J7">
        <v>35.439961498355657</v>
      </c>
      <c r="K7">
        <v>35.403064089195475</v>
      </c>
      <c r="L7">
        <v>35.489692788962863</v>
      </c>
      <c r="M7">
        <v>35.449586909440924</v>
      </c>
      <c r="N7">
        <v>35.798508061281787</v>
      </c>
      <c r="O7">
        <v>35.974973931178312</v>
      </c>
      <c r="P7">
        <v>36.348760728322773</v>
      </c>
      <c r="Q7">
        <v>36.338333199647067</v>
      </c>
      <c r="R7">
        <v>36.486724953878245</v>
      </c>
      <c r="S7">
        <v>36.635918825699846</v>
      </c>
      <c r="T7">
        <v>36.728162348600307</v>
      </c>
      <c r="U7">
        <v>36.756236464265662</v>
      </c>
      <c r="V7">
        <v>36.70891152642978</v>
      </c>
      <c r="W7">
        <v>36.719339055105479</v>
      </c>
      <c r="X7">
        <v>36.7819042271597</v>
      </c>
      <c r="Y7">
        <v>36.788321167883211</v>
      </c>
      <c r="Z7">
        <v>36.830833400176466</v>
      </c>
      <c r="AA7">
        <v>36.947140450790087</v>
      </c>
      <c r="AB7">
        <v>36.947942568380526</v>
      </c>
    </row>
    <row r="8" spans="1:28" x14ac:dyDescent="0.3">
      <c r="A8" t="s">
        <v>558</v>
      </c>
      <c r="B8" s="5" t="s">
        <v>559</v>
      </c>
      <c r="C8" t="s">
        <v>78</v>
      </c>
      <c r="D8" s="5" t="s">
        <v>79</v>
      </c>
      <c r="E8">
        <v>20.454545454545457</v>
      </c>
      <c r="F8">
        <v>20.454545454545457</v>
      </c>
      <c r="G8">
        <v>20.454545454545457</v>
      </c>
      <c r="H8">
        <v>20.454545454545457</v>
      </c>
      <c r="I8">
        <v>20.454545454545457</v>
      </c>
      <c r="J8">
        <v>20.454545454545457</v>
      </c>
      <c r="K8">
        <v>20.454545454545457</v>
      </c>
      <c r="L8">
        <v>20.454545454545457</v>
      </c>
      <c r="M8">
        <v>20.454545454545457</v>
      </c>
      <c r="N8">
        <v>20.454545454545457</v>
      </c>
      <c r="O8">
        <v>20.454545454545457</v>
      </c>
      <c r="P8">
        <v>20.454545454545457</v>
      </c>
      <c r="Q8">
        <v>20.454545454545457</v>
      </c>
      <c r="R8">
        <v>20.454545454545457</v>
      </c>
      <c r="S8">
        <v>20.454545454545457</v>
      </c>
      <c r="T8">
        <v>20.454545454545457</v>
      </c>
      <c r="U8">
        <v>20.454545454545457</v>
      </c>
      <c r="V8">
        <v>20.454545454545457</v>
      </c>
      <c r="W8">
        <v>20.454545454545457</v>
      </c>
      <c r="X8">
        <v>20.454545454545457</v>
      </c>
      <c r="Y8">
        <v>20.454545454545457</v>
      </c>
      <c r="Z8">
        <v>20.454545454545457</v>
      </c>
      <c r="AA8">
        <v>20.454545454545457</v>
      </c>
      <c r="AB8">
        <v>20.454545454545457</v>
      </c>
    </row>
    <row r="9" spans="1:28" x14ac:dyDescent="0.3">
      <c r="A9" t="s">
        <v>558</v>
      </c>
      <c r="B9" s="5" t="s">
        <v>559</v>
      </c>
      <c r="C9" t="s">
        <v>80</v>
      </c>
      <c r="D9" s="5" t="s">
        <v>81</v>
      </c>
      <c r="E9">
        <v>46.958186714607791</v>
      </c>
      <c r="F9">
        <v>46.993265587260524</v>
      </c>
      <c r="G9">
        <v>47.031267699300983</v>
      </c>
      <c r="H9">
        <v>47.174981455700134</v>
      </c>
      <c r="I9">
        <v>47.318695212099286</v>
      </c>
      <c r="J9">
        <v>47.473736521125886</v>
      </c>
      <c r="K9">
        <v>47.553394794441459</v>
      </c>
      <c r="L9">
        <v>47.491093254990517</v>
      </c>
      <c r="M9">
        <v>46.423562771084775</v>
      </c>
      <c r="N9">
        <v>45.430209486642624</v>
      </c>
      <c r="O9">
        <v>46.138912335704809</v>
      </c>
      <c r="P9">
        <v>45.791960360873901</v>
      </c>
      <c r="Q9">
        <v>45.581304422495791</v>
      </c>
      <c r="R9">
        <v>44.9219312381015</v>
      </c>
      <c r="S9">
        <v>44.195917732735531</v>
      </c>
      <c r="T9">
        <v>44.123936068754588</v>
      </c>
      <c r="U9">
        <v>43.432423657776361</v>
      </c>
      <c r="V9">
        <v>42.982576104710432</v>
      </c>
      <c r="W9">
        <v>42.36139277740628</v>
      </c>
      <c r="X9">
        <v>42.605848671204996</v>
      </c>
      <c r="Y9">
        <v>43.000485988548206</v>
      </c>
      <c r="Z9">
        <v>43.109742060664523</v>
      </c>
      <c r="AA9">
        <v>43.427644344079894</v>
      </c>
      <c r="AB9">
        <v>42.436791562069502</v>
      </c>
    </row>
    <row r="10" spans="1:28" x14ac:dyDescent="0.3">
      <c r="A10" t="s">
        <v>558</v>
      </c>
      <c r="B10" s="5" t="s">
        <v>559</v>
      </c>
      <c r="C10" t="s">
        <v>82</v>
      </c>
      <c r="D10" s="5" t="s">
        <v>83</v>
      </c>
      <c r="E10">
        <v>46.469968387776603</v>
      </c>
      <c r="F10">
        <v>46.645591851071302</v>
      </c>
      <c r="G10">
        <v>48.858447488584474</v>
      </c>
      <c r="H10">
        <v>50.720056199508257</v>
      </c>
      <c r="I10">
        <v>52.862662451703542</v>
      </c>
      <c r="J10">
        <v>56.375131717597469</v>
      </c>
      <c r="K10">
        <v>61.693010186160869</v>
      </c>
      <c r="L10">
        <v>61.53494906919564</v>
      </c>
      <c r="M10">
        <v>61.426062521952929</v>
      </c>
      <c r="N10">
        <v>61.33825079030558</v>
      </c>
      <c r="O10">
        <v>60.941341763259572</v>
      </c>
      <c r="P10">
        <v>59.645240604144711</v>
      </c>
      <c r="Q10">
        <v>59.11485774499473</v>
      </c>
      <c r="R10">
        <v>59.11485774499473</v>
      </c>
      <c r="S10">
        <v>59.034070951879173</v>
      </c>
      <c r="T10">
        <v>58.893572181243414</v>
      </c>
      <c r="U10">
        <v>58.897084650509314</v>
      </c>
      <c r="V10">
        <v>58.872497365648044</v>
      </c>
      <c r="W10">
        <v>58.914646996838783</v>
      </c>
      <c r="X10">
        <v>58.904109589041099</v>
      </c>
      <c r="Y10">
        <v>59.438083143097188</v>
      </c>
      <c r="Z10">
        <v>59.396909397388178</v>
      </c>
      <c r="AA10">
        <v>58.613420941389414</v>
      </c>
      <c r="AB10">
        <v>58.593362137687841</v>
      </c>
    </row>
    <row r="11" spans="1:28" x14ac:dyDescent="0.3">
      <c r="A11" t="s">
        <v>558</v>
      </c>
      <c r="B11" s="5" t="s">
        <v>559</v>
      </c>
      <c r="C11" t="s">
        <v>84</v>
      </c>
      <c r="D11" s="5" t="s">
        <v>85</v>
      </c>
      <c r="E11">
        <v>11.111111111111111</v>
      </c>
      <c r="F11">
        <v>11.111111111111111</v>
      </c>
      <c r="G11">
        <v>11.111111111111111</v>
      </c>
      <c r="H11">
        <v>11.111111111111111</v>
      </c>
      <c r="I11">
        <v>11.111111111111111</v>
      </c>
      <c r="J11">
        <v>11.111111111111111</v>
      </c>
      <c r="K11">
        <v>11.111111111111111</v>
      </c>
      <c r="L11">
        <v>11.111111111111111</v>
      </c>
      <c r="M11">
        <v>11.111111111111111</v>
      </c>
      <c r="N11">
        <v>11.111111111111111</v>
      </c>
      <c r="O11">
        <v>11.111111111111111</v>
      </c>
      <c r="P11">
        <v>11.111111111111111</v>
      </c>
      <c r="Q11">
        <v>11.111111111111111</v>
      </c>
      <c r="R11">
        <v>11.111111111111111</v>
      </c>
      <c r="S11">
        <v>11.111111111111111</v>
      </c>
      <c r="T11">
        <v>11.111111111111111</v>
      </c>
      <c r="U11">
        <v>11.111111111111111</v>
      </c>
      <c r="V11">
        <v>11.111111111111111</v>
      </c>
      <c r="W11">
        <v>11.111111111111111</v>
      </c>
      <c r="X11">
        <v>11.111111111111111</v>
      </c>
      <c r="Y11">
        <v>11.111111111111111</v>
      </c>
      <c r="Z11">
        <v>11.111111111111111</v>
      </c>
      <c r="AA11">
        <v>11.111111111111111</v>
      </c>
      <c r="AB11">
        <v>11.111111111111111</v>
      </c>
    </row>
    <row r="12" spans="1:28" x14ac:dyDescent="0.3">
      <c r="A12" t="s">
        <v>558</v>
      </c>
      <c r="B12" s="5" t="s">
        <v>559</v>
      </c>
      <c r="C12" t="s">
        <v>5</v>
      </c>
      <c r="D12" s="5" t="s">
        <v>86</v>
      </c>
      <c r="E12">
        <v>59.288103823073826</v>
      </c>
      <c r="F12">
        <v>59.318172942998835</v>
      </c>
      <c r="G12">
        <v>58.185699595173325</v>
      </c>
      <c r="H12">
        <v>57.209429467737529</v>
      </c>
      <c r="I12">
        <v>51.404657459354617</v>
      </c>
      <c r="J12">
        <v>53.399372583731427</v>
      </c>
      <c r="K12">
        <v>53.278575426630049</v>
      </c>
      <c r="L12">
        <v>51.853676633299926</v>
      </c>
      <c r="M12">
        <v>50.673366049230054</v>
      </c>
      <c r="N12">
        <v>50.018484047746114</v>
      </c>
      <c r="O12">
        <v>48.992098720435287</v>
      </c>
      <c r="P12">
        <v>51.562813219999214</v>
      </c>
      <c r="Q12">
        <v>50.385431446311642</v>
      </c>
      <c r="R12">
        <v>48.393710216992311</v>
      </c>
      <c r="S12">
        <v>48.738398656652308</v>
      </c>
      <c r="T12">
        <v>45.314424065709488</v>
      </c>
      <c r="U12">
        <v>44.539925793224668</v>
      </c>
      <c r="V12">
        <v>48.340617939110928</v>
      </c>
      <c r="W12">
        <v>46.658095012753478</v>
      </c>
      <c r="X12">
        <v>47.123772429088852</v>
      </c>
      <c r="Y12">
        <v>46.252479842746119</v>
      </c>
      <c r="Z12">
        <v>47.259237495482331</v>
      </c>
      <c r="AA12">
        <v>47.259237495482331</v>
      </c>
      <c r="AB12">
        <v>47.22344432281767</v>
      </c>
    </row>
    <row r="13" spans="1:28" x14ac:dyDescent="0.3">
      <c r="A13" t="s">
        <v>558</v>
      </c>
      <c r="B13" s="5" t="s">
        <v>559</v>
      </c>
      <c r="C13" t="s">
        <v>6</v>
      </c>
      <c r="D13" s="5" t="s">
        <v>87</v>
      </c>
      <c r="E13">
        <v>35.630150266602037</v>
      </c>
      <c r="F13">
        <v>35.338099854580705</v>
      </c>
      <c r="G13">
        <v>35.169655841008243</v>
      </c>
      <c r="H13">
        <v>34.964008725157534</v>
      </c>
      <c r="I13">
        <v>34.747939893359188</v>
      </c>
      <c r="J13">
        <v>34.619486185167233</v>
      </c>
      <c r="K13">
        <v>34.455889481337856</v>
      </c>
      <c r="L13">
        <v>34.295928259815803</v>
      </c>
      <c r="M13">
        <v>34.045079980610758</v>
      </c>
      <c r="N13">
        <v>33.870576829859431</v>
      </c>
      <c r="O13">
        <v>33.679108095007273</v>
      </c>
      <c r="P13">
        <v>33.413717886572954</v>
      </c>
      <c r="Q13">
        <v>33.145904023267086</v>
      </c>
      <c r="R13">
        <v>32.918080465341738</v>
      </c>
      <c r="S13">
        <v>32.891420261754725</v>
      </c>
      <c r="T13">
        <v>32.942922927775086</v>
      </c>
      <c r="U13">
        <v>32.357852641783808</v>
      </c>
      <c r="V13">
        <v>32.169413475521083</v>
      </c>
      <c r="W13">
        <v>32.147721764420744</v>
      </c>
      <c r="X13">
        <v>32.128090159961218</v>
      </c>
      <c r="Y13">
        <v>31.539812166747456</v>
      </c>
      <c r="Z13">
        <v>31.537668444013573</v>
      </c>
      <c r="AA13">
        <v>31.476583858458557</v>
      </c>
      <c r="AB13">
        <v>31.474345613184685</v>
      </c>
    </row>
    <row r="14" spans="1:28" x14ac:dyDescent="0.3">
      <c r="A14" t="s">
        <v>558</v>
      </c>
      <c r="B14" s="5" t="s">
        <v>559</v>
      </c>
      <c r="C14" t="s">
        <v>88</v>
      </c>
      <c r="D14" s="5" t="s">
        <v>89</v>
      </c>
      <c r="E14">
        <v>57.386356758065496</v>
      </c>
      <c r="F14">
        <v>57.450002421190263</v>
      </c>
      <c r="G14">
        <v>57.431794524195702</v>
      </c>
      <c r="H14">
        <v>57.525528722837926</v>
      </c>
      <c r="I14">
        <v>57.515240952196635</v>
      </c>
      <c r="J14">
        <v>57.568352286474713</v>
      </c>
      <c r="K14">
        <v>57.552912133789945</v>
      </c>
      <c r="L14">
        <v>57.564535453654287</v>
      </c>
      <c r="M14">
        <v>57.568349328911864</v>
      </c>
      <c r="N14">
        <v>57.579095156253778</v>
      </c>
      <c r="O14">
        <v>57.670344560588461</v>
      </c>
      <c r="P14">
        <v>57.691935444845022</v>
      </c>
      <c r="Q14">
        <v>57.687096227830338</v>
      </c>
      <c r="R14">
        <v>57.704545179593268</v>
      </c>
      <c r="S14">
        <v>57.700543169253471</v>
      </c>
      <c r="T14">
        <v>57.701752900330263</v>
      </c>
      <c r="U14">
        <v>57.735575178420227</v>
      </c>
      <c r="V14">
        <v>57.795601364593161</v>
      </c>
      <c r="W14">
        <v>57.825392600479105</v>
      </c>
      <c r="X14">
        <v>57.827812326082217</v>
      </c>
      <c r="Y14">
        <v>57.838249885051908</v>
      </c>
      <c r="Z14">
        <v>57.841500302480341</v>
      </c>
      <c r="AA14">
        <v>57.840290381125229</v>
      </c>
      <c r="AB14">
        <v>57.829401088929224</v>
      </c>
    </row>
    <row r="15" spans="1:28" x14ac:dyDescent="0.3">
      <c r="A15" t="s">
        <v>558</v>
      </c>
      <c r="B15" s="5" t="s">
        <v>559</v>
      </c>
      <c r="C15" t="s">
        <v>90</v>
      </c>
      <c r="D15" s="5" t="s">
        <v>91</v>
      </c>
      <c r="E15">
        <v>1.098901098901099</v>
      </c>
      <c r="F15">
        <v>1.098901098901099</v>
      </c>
      <c r="G15">
        <v>1.098901098901099</v>
      </c>
      <c r="H15">
        <v>1.098901098901099</v>
      </c>
      <c r="I15">
        <v>1.098901098901099</v>
      </c>
      <c r="J15">
        <v>1.098901098901099</v>
      </c>
      <c r="K15">
        <v>1.098901098901099</v>
      </c>
      <c r="L15">
        <v>1.098901098901099</v>
      </c>
      <c r="M15">
        <v>1.098901098901099</v>
      </c>
      <c r="N15">
        <v>1.098901098901099</v>
      </c>
      <c r="O15">
        <v>1.1988011988011988</v>
      </c>
      <c r="P15">
        <v>1.2987012987012987</v>
      </c>
      <c r="Q15">
        <v>1.2987012987012987</v>
      </c>
      <c r="R15">
        <v>1.2987012987012987</v>
      </c>
      <c r="S15">
        <v>1.2987012987012987</v>
      </c>
      <c r="T15">
        <v>1.2987012987012987</v>
      </c>
      <c r="U15">
        <v>1.2987012987012987</v>
      </c>
      <c r="V15">
        <v>1.2987012987012987</v>
      </c>
      <c r="W15">
        <v>1.2987012987012987</v>
      </c>
      <c r="X15">
        <v>1.2987012987012987</v>
      </c>
      <c r="Y15">
        <v>1.2987012987012987</v>
      </c>
      <c r="Z15">
        <v>1.2987012987012987</v>
      </c>
      <c r="AA15">
        <v>1.2987012987012987</v>
      </c>
      <c r="AB15">
        <v>1.2987012987012987</v>
      </c>
    </row>
    <row r="16" spans="1:28" x14ac:dyDescent="0.3">
      <c r="A16" t="s">
        <v>558</v>
      </c>
      <c r="B16" s="5" t="s">
        <v>559</v>
      </c>
      <c r="C16" t="s">
        <v>92</v>
      </c>
      <c r="D16" s="5" t="s">
        <v>93</v>
      </c>
      <c r="E16">
        <v>13.943661971830986</v>
      </c>
      <c r="F16">
        <v>13.788732394366196</v>
      </c>
      <c r="G16">
        <v>13.64788732394366</v>
      </c>
      <c r="H16">
        <v>13.305555555555557</v>
      </c>
      <c r="I16">
        <v>12.986301369863012</v>
      </c>
      <c r="J16">
        <v>12.662162162162163</v>
      </c>
      <c r="K16">
        <v>12.527027027027026</v>
      </c>
      <c r="L16">
        <v>12.213333333333333</v>
      </c>
      <c r="M16">
        <v>11.921052631578947</v>
      </c>
      <c r="N16">
        <v>11.776315789473685</v>
      </c>
      <c r="O16">
        <v>11.614173228346457</v>
      </c>
      <c r="P16">
        <v>11.395045632333769</v>
      </c>
      <c r="Q16">
        <v>11.220779220779221</v>
      </c>
      <c r="R16">
        <v>11.077922077922079</v>
      </c>
      <c r="S16">
        <v>10.933852140077821</v>
      </c>
      <c r="T16">
        <v>10.694087403598971</v>
      </c>
      <c r="U16">
        <v>10.551989730423621</v>
      </c>
      <c r="V16">
        <v>10.397435897435898</v>
      </c>
      <c r="W16">
        <v>10.411311053984576</v>
      </c>
      <c r="X16">
        <v>10.384615384615385</v>
      </c>
      <c r="Y16">
        <v>10.318471337579618</v>
      </c>
      <c r="Z16">
        <v>10.253164556962027</v>
      </c>
      <c r="AA16">
        <v>10.253164556962027</v>
      </c>
      <c r="AB16">
        <v>10.125</v>
      </c>
    </row>
    <row r="17" spans="1:28" x14ac:dyDescent="0.3">
      <c r="A17" t="s">
        <v>558</v>
      </c>
      <c r="B17" s="5" t="s">
        <v>559</v>
      </c>
      <c r="C17" t="s">
        <v>94</v>
      </c>
      <c r="D17" s="5" t="s">
        <v>95</v>
      </c>
      <c r="E17">
        <v>72.213259583621408</v>
      </c>
      <c r="F17">
        <v>72.23630636859491</v>
      </c>
      <c r="G17">
        <v>71.852193285703308</v>
      </c>
      <c r="H17">
        <v>71.660136744257514</v>
      </c>
      <c r="I17">
        <v>71.621725435968358</v>
      </c>
      <c r="J17">
        <v>71.529538296074364</v>
      </c>
      <c r="K17">
        <v>71.291388184681566</v>
      </c>
      <c r="L17">
        <v>71.183836521471918</v>
      </c>
      <c r="M17">
        <v>71.083967119920104</v>
      </c>
      <c r="N17">
        <v>71.03019128831528</v>
      </c>
      <c r="O17">
        <v>70.991779980026109</v>
      </c>
      <c r="P17">
        <v>70.123684412691105</v>
      </c>
      <c r="Q17">
        <v>70.062226319428447</v>
      </c>
      <c r="R17">
        <v>69.970039179534467</v>
      </c>
      <c r="S17">
        <v>69.900898824613961</v>
      </c>
      <c r="T17">
        <v>70.386725051855265</v>
      </c>
      <c r="U17">
        <v>70.632326957056151</v>
      </c>
      <c r="V17">
        <v>70.579472996850271</v>
      </c>
      <c r="W17">
        <v>70.69447645386802</v>
      </c>
      <c r="X17">
        <v>72.19021279864792</v>
      </c>
      <c r="Y17">
        <v>72.443727433356372</v>
      </c>
      <c r="Z17">
        <v>72.351540293462392</v>
      </c>
      <c r="AA17">
        <v>72.370643328727155</v>
      </c>
      <c r="AB17">
        <v>72.311124788428998</v>
      </c>
    </row>
    <row r="18" spans="1:28" x14ac:dyDescent="0.3">
      <c r="A18" t="s">
        <v>558</v>
      </c>
      <c r="B18" s="5" t="s">
        <v>559</v>
      </c>
      <c r="C18" t="s">
        <v>96</v>
      </c>
      <c r="D18" s="5" t="s">
        <v>97</v>
      </c>
      <c r="E18">
        <v>41.860465116279073</v>
      </c>
      <c r="F18">
        <v>41.860465116279073</v>
      </c>
      <c r="G18">
        <v>39.534883720930232</v>
      </c>
      <c r="H18">
        <v>39.534883720930232</v>
      </c>
      <c r="I18">
        <v>37.209302325581397</v>
      </c>
      <c r="J18">
        <v>37.209302325581397</v>
      </c>
      <c r="K18">
        <v>37.209302325581397</v>
      </c>
      <c r="L18">
        <v>37.209302325581397</v>
      </c>
      <c r="M18">
        <v>37.209302325581397</v>
      </c>
      <c r="N18">
        <v>37.209302325581397</v>
      </c>
      <c r="O18">
        <v>34.883720930232556</v>
      </c>
      <c r="P18">
        <v>32.558139534883722</v>
      </c>
      <c r="Q18">
        <v>30.232558139534881</v>
      </c>
      <c r="R18">
        <v>29.069767441860467</v>
      </c>
      <c r="S18">
        <v>27.906976744186046</v>
      </c>
      <c r="T18">
        <v>25.581395348837212</v>
      </c>
      <c r="U18">
        <v>23.255813953488371</v>
      </c>
      <c r="V18">
        <v>23.255813953488371</v>
      </c>
      <c r="W18">
        <v>23.255813953488371</v>
      </c>
      <c r="X18">
        <v>23.255813953488371</v>
      </c>
      <c r="Y18">
        <v>23.255813953488371</v>
      </c>
      <c r="Z18">
        <v>23.255813953488371</v>
      </c>
      <c r="AA18">
        <v>23.255813953488371</v>
      </c>
      <c r="AB18">
        <v>23.255813953488371</v>
      </c>
    </row>
    <row r="19" spans="1:28" x14ac:dyDescent="0.3">
      <c r="A19" t="s">
        <v>558</v>
      </c>
      <c r="B19" s="5" t="s">
        <v>559</v>
      </c>
      <c r="C19" t="s">
        <v>98</v>
      </c>
      <c r="D19" s="5" t="s">
        <v>99</v>
      </c>
      <c r="E19">
        <v>45.610506389020351</v>
      </c>
      <c r="F19">
        <v>45.000098597937331</v>
      </c>
      <c r="G19">
        <v>44.495609602177204</v>
      </c>
      <c r="H19">
        <v>44.303984696242097</v>
      </c>
      <c r="I19">
        <v>44.163400142987456</v>
      </c>
      <c r="J19">
        <v>44.12003963852036</v>
      </c>
      <c r="K19">
        <v>44.148957142293895</v>
      </c>
      <c r="L19">
        <v>43.942612407035938</v>
      </c>
      <c r="M19">
        <v>43.947324324057917</v>
      </c>
      <c r="N19">
        <v>43.997476564579244</v>
      </c>
      <c r="O19">
        <v>43.853683058816571</v>
      </c>
      <c r="P19">
        <v>43.738603321669707</v>
      </c>
      <c r="Q19">
        <v>43.35161829284521</v>
      </c>
      <c r="R19">
        <v>42.931772034616671</v>
      </c>
      <c r="S19">
        <v>42.487917112128216</v>
      </c>
      <c r="T19">
        <v>42.242016376158993</v>
      </c>
      <c r="U19">
        <v>42.035489782647254</v>
      </c>
      <c r="V19">
        <v>41.844838118509472</v>
      </c>
      <c r="W19">
        <v>41.644496994777811</v>
      </c>
      <c r="X19">
        <v>41.322395486906608</v>
      </c>
      <c r="Y19">
        <v>40.797122869248206</v>
      </c>
      <c r="Z19">
        <v>40.275930032027588</v>
      </c>
      <c r="AA19">
        <v>39.873885413074532</v>
      </c>
      <c r="AB19">
        <v>39.579669233384074</v>
      </c>
    </row>
    <row r="20" spans="1:28" x14ac:dyDescent="0.3">
      <c r="A20" t="s">
        <v>558</v>
      </c>
      <c r="B20" s="5" t="s">
        <v>559</v>
      </c>
      <c r="C20" t="s">
        <v>7</v>
      </c>
      <c r="D20" s="5" t="s">
        <v>100</v>
      </c>
      <c r="E20">
        <v>45.811492433982792</v>
      </c>
      <c r="F20">
        <v>45.719183727293704</v>
      </c>
      <c r="G20">
        <v>45.79500873635974</v>
      </c>
      <c r="H20">
        <v>45.897207661622659</v>
      </c>
      <c r="I20">
        <v>45.867537005901163</v>
      </c>
      <c r="J20">
        <v>45.593907625358518</v>
      </c>
      <c r="K20">
        <v>45.495005439620215</v>
      </c>
      <c r="L20">
        <v>45.063132561896282</v>
      </c>
      <c r="M20">
        <v>45.010384729502526</v>
      </c>
      <c r="N20">
        <v>44.954340157584149</v>
      </c>
      <c r="O20">
        <v>44.693897735139949</v>
      </c>
      <c r="P20">
        <v>44.034549830217919</v>
      </c>
      <c r="Q20">
        <v>43.912570467807335</v>
      </c>
      <c r="R20">
        <v>44.060923746414801</v>
      </c>
      <c r="S20">
        <v>43.889493291135068</v>
      </c>
      <c r="T20">
        <v>43.780700886822935</v>
      </c>
      <c r="U20">
        <v>44.532357498434052</v>
      </c>
      <c r="V20">
        <v>43.747733491576831</v>
      </c>
      <c r="W20">
        <v>44.403633620831009</v>
      </c>
      <c r="X20">
        <v>44.467764150324655</v>
      </c>
      <c r="Y20">
        <v>44.750091821341904</v>
      </c>
      <c r="Z20">
        <v>44.784875713255069</v>
      </c>
      <c r="AA20">
        <v>44.566144159506784</v>
      </c>
      <c r="AB20">
        <v>44.379222142060733</v>
      </c>
    </row>
    <row r="21" spans="1:28" x14ac:dyDescent="0.3">
      <c r="A21" t="s">
        <v>558</v>
      </c>
      <c r="B21" s="5" t="s">
        <v>559</v>
      </c>
      <c r="C21" t="s">
        <v>101</v>
      </c>
      <c r="D21" s="5" t="s">
        <v>102</v>
      </c>
      <c r="E21">
        <v>6.5322227093380096</v>
      </c>
      <c r="F21">
        <v>6.5322227093380096</v>
      </c>
      <c r="G21">
        <v>6.6637439719421305</v>
      </c>
      <c r="H21">
        <v>6.6637439719421305</v>
      </c>
      <c r="I21">
        <v>6.6637439719421305</v>
      </c>
      <c r="J21">
        <v>6.6637439719421305</v>
      </c>
      <c r="K21">
        <v>6.6637439719421305</v>
      </c>
      <c r="L21">
        <v>6.6637439719421305</v>
      </c>
      <c r="M21">
        <v>6.6637439719421305</v>
      </c>
      <c r="N21">
        <v>6.7952652345462523</v>
      </c>
      <c r="O21">
        <v>6.8829460762823329</v>
      </c>
      <c r="P21">
        <v>6.8829460762823329</v>
      </c>
      <c r="Q21">
        <v>7.0144673388864529</v>
      </c>
      <c r="R21">
        <v>7.0144673388864529</v>
      </c>
      <c r="S21">
        <v>7.0144673388864529</v>
      </c>
      <c r="T21">
        <v>7.4528715475668568</v>
      </c>
      <c r="U21">
        <v>7.4528715475668568</v>
      </c>
      <c r="V21">
        <v>7.5405523893029374</v>
      </c>
      <c r="W21">
        <v>7.5405523893029374</v>
      </c>
      <c r="X21">
        <v>7.628233231039018</v>
      </c>
      <c r="Y21">
        <v>7.8912757562472597</v>
      </c>
      <c r="Z21">
        <v>7.9789565979833403</v>
      </c>
      <c r="AA21">
        <v>7.9789565979833403</v>
      </c>
      <c r="AB21">
        <v>7.9789565979833403</v>
      </c>
    </row>
    <row r="22" spans="1:28" x14ac:dyDescent="0.3">
      <c r="A22" t="s">
        <v>558</v>
      </c>
      <c r="B22" s="5" t="s">
        <v>559</v>
      </c>
      <c r="C22" t="s">
        <v>103</v>
      </c>
      <c r="D22" s="5" t="s">
        <v>104</v>
      </c>
      <c r="E22">
        <v>28.306810925860233</v>
      </c>
      <c r="F22">
        <v>28.906784320681094</v>
      </c>
      <c r="G22">
        <v>29.862885775097553</v>
      </c>
      <c r="H22">
        <v>30.782165661582123</v>
      </c>
      <c r="I22">
        <v>30.677944306491661</v>
      </c>
      <c r="J22">
        <v>30.804824405817666</v>
      </c>
      <c r="K22">
        <v>29.614455480666901</v>
      </c>
      <c r="L22">
        <v>29.967222419297624</v>
      </c>
      <c r="M22">
        <v>31.783362894643492</v>
      </c>
      <c r="N22">
        <v>33.170672224192977</v>
      </c>
      <c r="O22">
        <v>30.925363604114935</v>
      </c>
      <c r="P22">
        <v>32.097951401206103</v>
      </c>
      <c r="Q22">
        <v>33.391238027669381</v>
      </c>
      <c r="R22">
        <v>35.301028733593469</v>
      </c>
      <c r="S22">
        <v>35.45496630010642</v>
      </c>
      <c r="T22">
        <v>36.122942532813049</v>
      </c>
      <c r="U22">
        <v>34.380498403689252</v>
      </c>
      <c r="V22">
        <v>36.301701844625754</v>
      </c>
      <c r="W22">
        <v>39.560203973040082</v>
      </c>
      <c r="X22">
        <v>41.071385242993976</v>
      </c>
      <c r="Y22">
        <v>39.314017382050373</v>
      </c>
      <c r="Z22">
        <v>41.002345689960976</v>
      </c>
      <c r="AA22">
        <v>43.062365200425681</v>
      </c>
      <c r="AB22">
        <v>41.83001330258957</v>
      </c>
    </row>
    <row r="23" spans="1:28" x14ac:dyDescent="0.3">
      <c r="A23" t="s">
        <v>558</v>
      </c>
      <c r="B23" s="5" t="s">
        <v>559</v>
      </c>
      <c r="C23" t="s">
        <v>105</v>
      </c>
      <c r="D23" s="5" t="s">
        <v>106</v>
      </c>
      <c r="E23">
        <v>7.4074074074074066</v>
      </c>
      <c r="F23">
        <v>7.4074074074074066</v>
      </c>
      <c r="G23">
        <v>7.4074074074074066</v>
      </c>
      <c r="H23">
        <v>7.4074074074074066</v>
      </c>
      <c r="I23">
        <v>7.4074074074074066</v>
      </c>
      <c r="J23">
        <v>7.4074074074074066</v>
      </c>
      <c r="K23">
        <v>7.4074074074074066</v>
      </c>
      <c r="L23">
        <v>7.4074074074074066</v>
      </c>
      <c r="M23">
        <v>5.5555555555555554</v>
      </c>
      <c r="N23">
        <v>5.5555555555555554</v>
      </c>
      <c r="O23">
        <v>5.5555555555555554</v>
      </c>
      <c r="P23">
        <v>5.5555555555555554</v>
      </c>
      <c r="Q23">
        <v>5.5555555555555554</v>
      </c>
      <c r="R23">
        <v>5.5555555555555554</v>
      </c>
      <c r="S23">
        <v>5.5555555555555554</v>
      </c>
      <c r="T23">
        <v>5.5555555555555554</v>
      </c>
      <c r="U23">
        <v>5.5555555555555554</v>
      </c>
      <c r="V23">
        <v>5.5555555555555554</v>
      </c>
      <c r="W23">
        <v>5.5555555555555554</v>
      </c>
      <c r="X23">
        <v>5.5555555555555554</v>
      </c>
      <c r="Y23">
        <v>5.5555555555555554</v>
      </c>
      <c r="Z23">
        <v>5.5555555555555554</v>
      </c>
      <c r="AA23">
        <v>5.5555555555555554</v>
      </c>
      <c r="AB23">
        <v>5.5555555555555554</v>
      </c>
    </row>
    <row r="24" spans="1:28" x14ac:dyDescent="0.3">
      <c r="A24" t="s">
        <v>558</v>
      </c>
      <c r="B24" s="5" t="s">
        <v>559</v>
      </c>
      <c r="C24" t="s">
        <v>107</v>
      </c>
      <c r="D24" s="5" t="s">
        <v>108</v>
      </c>
      <c r="E24">
        <v>14.522613065326635</v>
      </c>
      <c r="F24">
        <v>14.547738693467338</v>
      </c>
      <c r="G24">
        <v>14.572864321608039</v>
      </c>
      <c r="H24">
        <v>14.648241206030152</v>
      </c>
      <c r="I24">
        <v>15.321247737230106</v>
      </c>
      <c r="J24">
        <v>15.557362856468243</v>
      </c>
      <c r="K24">
        <v>15.137602644489334</v>
      </c>
      <c r="L24">
        <v>14.770312459007792</v>
      </c>
      <c r="M24">
        <v>13.676312406537766</v>
      </c>
      <c r="N24">
        <v>13.64220688931448</v>
      </c>
      <c r="O24">
        <v>13.64220688931448</v>
      </c>
      <c r="P24">
        <v>13.631712884015007</v>
      </c>
      <c r="Q24">
        <v>13.631712884015007</v>
      </c>
      <c r="R24">
        <v>13.631712884015007</v>
      </c>
      <c r="S24">
        <v>13.789122963507097</v>
      </c>
      <c r="T24">
        <v>13.789122963507097</v>
      </c>
      <c r="U24">
        <v>13.60633389261745</v>
      </c>
      <c r="V24">
        <v>13.449035234899329</v>
      </c>
      <c r="W24">
        <v>13.450445726271631</v>
      </c>
      <c r="X24">
        <v>13.450445726271631</v>
      </c>
      <c r="Y24">
        <v>13.542212899842685</v>
      </c>
      <c r="Z24">
        <v>13.63398007341374</v>
      </c>
      <c r="AA24">
        <v>13.725747246984794</v>
      </c>
      <c r="AB24">
        <v>13.817514420555845</v>
      </c>
    </row>
    <row r="25" spans="1:28" x14ac:dyDescent="0.3">
      <c r="A25" t="s">
        <v>558</v>
      </c>
      <c r="B25" s="5" t="s">
        <v>559</v>
      </c>
      <c r="C25" t="s">
        <v>109</v>
      </c>
      <c r="D25" s="5" t="s">
        <v>110</v>
      </c>
      <c r="E25">
        <v>34.286901135419548</v>
      </c>
      <c r="F25">
        <v>34.298901504661686</v>
      </c>
      <c r="G25">
        <v>34.441982830240931</v>
      </c>
      <c r="H25">
        <v>33.829040893565953</v>
      </c>
      <c r="I25">
        <v>33.801347733776424</v>
      </c>
      <c r="J25">
        <v>34.119819071356041</v>
      </c>
      <c r="K25">
        <v>34.285772916089726</v>
      </c>
      <c r="L25">
        <v>34.41572565309702</v>
      </c>
      <c r="M25">
        <v>34.534601033877962</v>
      </c>
      <c r="N25">
        <v>34.653476506969447</v>
      </c>
      <c r="O25">
        <v>34.772351980060925</v>
      </c>
      <c r="P25">
        <v>34.896766085110315</v>
      </c>
      <c r="Q25">
        <v>35.025795624480757</v>
      </c>
      <c r="R25">
        <v>35.155748361488051</v>
      </c>
      <c r="S25">
        <v>35.282931782516386</v>
      </c>
      <c r="T25">
        <v>35.282008677190071</v>
      </c>
      <c r="U25">
        <v>35.154620142158223</v>
      </c>
      <c r="V25">
        <v>35.022616080494785</v>
      </c>
      <c r="W25">
        <v>35.263130250161545</v>
      </c>
      <c r="X25">
        <v>35.544415120465246</v>
      </c>
      <c r="Y25">
        <v>35.564590972029904</v>
      </c>
      <c r="Z25">
        <v>35.682787962706549</v>
      </c>
      <c r="AA25">
        <v>35.83070146773747</v>
      </c>
      <c r="AB25">
        <v>35.83070146773747</v>
      </c>
    </row>
    <row r="26" spans="1:28" x14ac:dyDescent="0.3">
      <c r="A26" t="s">
        <v>558</v>
      </c>
      <c r="B26" s="5" t="s">
        <v>559</v>
      </c>
      <c r="C26" t="s">
        <v>111</v>
      </c>
      <c r="D26" s="5" t="s">
        <v>112</v>
      </c>
      <c r="E26">
        <v>41.6015625</v>
      </c>
      <c r="F26">
        <v>41.5234375</v>
      </c>
      <c r="G26">
        <v>41.46484375</v>
      </c>
      <c r="H26">
        <v>42.36328125</v>
      </c>
      <c r="I26">
        <v>42.37109375</v>
      </c>
      <c r="J26">
        <v>42.12890625</v>
      </c>
      <c r="K26">
        <v>42.16796875</v>
      </c>
      <c r="L26">
        <v>41.97265625</v>
      </c>
      <c r="M26">
        <v>41.6015625</v>
      </c>
      <c r="N26">
        <v>41.5625</v>
      </c>
      <c r="O26">
        <v>41.875</v>
      </c>
      <c r="P26">
        <v>42.01171875</v>
      </c>
      <c r="Q26">
        <v>42.109375</v>
      </c>
      <c r="R26">
        <v>42.20703125</v>
      </c>
      <c r="S26">
        <v>42.12890625</v>
      </c>
      <c r="T26">
        <v>42.5</v>
      </c>
      <c r="U26">
        <v>43.14453125</v>
      </c>
      <c r="V26">
        <v>43.515625</v>
      </c>
      <c r="W26">
        <v>43.18359375</v>
      </c>
      <c r="X26">
        <v>43.28125</v>
      </c>
      <c r="Y26">
        <v>43.7890625</v>
      </c>
      <c r="Z26">
        <v>44.19921875</v>
      </c>
      <c r="AA26">
        <v>21.81640625</v>
      </c>
      <c r="AB26">
        <v>21.73828125</v>
      </c>
    </row>
    <row r="27" spans="1:28" x14ac:dyDescent="0.3">
      <c r="A27" t="s">
        <v>558</v>
      </c>
      <c r="B27" s="5" t="s">
        <v>559</v>
      </c>
      <c r="C27" t="s">
        <v>113</v>
      </c>
      <c r="D27" s="5" t="s">
        <v>114</v>
      </c>
      <c r="E27">
        <v>45.790764561607823</v>
      </c>
      <c r="F27">
        <v>45.526088260723803</v>
      </c>
      <c r="G27">
        <v>45.60549115098901</v>
      </c>
      <c r="H27">
        <v>45.517265717360999</v>
      </c>
      <c r="I27">
        <v>45.571965486210367</v>
      </c>
      <c r="J27">
        <v>45.550791382139643</v>
      </c>
      <c r="K27">
        <v>45.529617278068926</v>
      </c>
      <c r="L27">
        <v>45.496091613290282</v>
      </c>
      <c r="M27">
        <v>45.66724895452861</v>
      </c>
      <c r="N27">
        <v>45.732535775413332</v>
      </c>
      <c r="O27">
        <v>45.631958781077408</v>
      </c>
      <c r="P27">
        <v>45.746651844793817</v>
      </c>
      <c r="Q27">
        <v>45.677836006563972</v>
      </c>
      <c r="R27">
        <v>45.669013463201168</v>
      </c>
      <c r="S27">
        <v>45.884283521253508</v>
      </c>
      <c r="T27">
        <v>45.633017486280949</v>
      </c>
      <c r="U27">
        <v>45.633017486280949</v>
      </c>
      <c r="V27">
        <v>45.633017486280949</v>
      </c>
      <c r="W27">
        <v>45.633017486280949</v>
      </c>
      <c r="X27">
        <v>45.633723289749966</v>
      </c>
      <c r="Y27">
        <v>45.633723289749966</v>
      </c>
      <c r="Z27">
        <v>45.633723289749966</v>
      </c>
      <c r="AA27">
        <v>45.633723289749966</v>
      </c>
      <c r="AB27">
        <v>45.633723289749966</v>
      </c>
    </row>
    <row r="28" spans="1:28" x14ac:dyDescent="0.3">
      <c r="A28" t="s">
        <v>558</v>
      </c>
      <c r="B28" s="5" t="s">
        <v>559</v>
      </c>
      <c r="C28" t="s">
        <v>8</v>
      </c>
      <c r="D28" s="5" t="s">
        <v>115</v>
      </c>
      <c r="E28">
        <v>27.317501262242555</v>
      </c>
      <c r="F28">
        <v>27.329908328886571</v>
      </c>
      <c r="G28">
        <v>27.342315395530587</v>
      </c>
      <c r="H28">
        <v>27.354722462174596</v>
      </c>
      <c r="I28">
        <v>27.367129528818612</v>
      </c>
      <c r="J28">
        <v>27.379536595462628</v>
      </c>
      <c r="K28">
        <v>27.392577774480927</v>
      </c>
      <c r="L28">
        <v>27.47881705738358</v>
      </c>
      <c r="M28">
        <v>27.565056340286237</v>
      </c>
      <c r="N28">
        <v>27.651295623188894</v>
      </c>
      <c r="O28">
        <v>27.73753490609155</v>
      </c>
      <c r="P28">
        <v>27.823774188994204</v>
      </c>
      <c r="Q28">
        <v>27.910013471896853</v>
      </c>
      <c r="R28">
        <v>27.99625275479951</v>
      </c>
      <c r="S28">
        <v>28.082492037702167</v>
      </c>
      <c r="T28">
        <v>28.168707391835984</v>
      </c>
      <c r="U28">
        <v>28.254970603507481</v>
      </c>
      <c r="V28">
        <v>28.34111417133477</v>
      </c>
      <c r="W28">
        <v>28.338218790305021</v>
      </c>
      <c r="X28">
        <v>28.335347338044109</v>
      </c>
      <c r="Y28">
        <v>28.332475885783197</v>
      </c>
      <c r="Z28">
        <v>28.329604433522292</v>
      </c>
      <c r="AA28">
        <v>28.326732981261383</v>
      </c>
      <c r="AB28">
        <v>28.326732981261383</v>
      </c>
    </row>
    <row r="29" spans="1:28" x14ac:dyDescent="0.3">
      <c r="A29" t="s">
        <v>558</v>
      </c>
      <c r="B29" s="5" t="s">
        <v>559</v>
      </c>
      <c r="C29" t="s">
        <v>116</v>
      </c>
      <c r="D29" s="5" t="s">
        <v>117</v>
      </c>
      <c r="E29">
        <v>46.666666666666664</v>
      </c>
      <c r="F29">
        <v>46.666666666666664</v>
      </c>
      <c r="G29">
        <v>46.666666666666664</v>
      </c>
      <c r="H29">
        <v>46.666666666666664</v>
      </c>
      <c r="I29">
        <v>46.666666666666664</v>
      </c>
      <c r="J29">
        <v>46.666666666666664</v>
      </c>
      <c r="K29">
        <v>46.666666666666664</v>
      </c>
      <c r="L29">
        <v>46.666666666666664</v>
      </c>
      <c r="M29">
        <v>46.666666666666664</v>
      </c>
      <c r="N29">
        <v>46.666666666666664</v>
      </c>
      <c r="O29">
        <v>46.666666666666664</v>
      </c>
      <c r="P29">
        <v>46.666666666666664</v>
      </c>
      <c r="Q29">
        <v>46.666666666666664</v>
      </c>
      <c r="R29">
        <v>46.666666666666664</v>
      </c>
      <c r="S29">
        <v>46.666666666666664</v>
      </c>
      <c r="T29">
        <v>46.666666666666664</v>
      </c>
      <c r="U29">
        <v>46.666666666666664</v>
      </c>
      <c r="V29">
        <v>46.666666666666664</v>
      </c>
      <c r="W29">
        <v>46.666666666666664</v>
      </c>
      <c r="X29">
        <v>46.666666666666664</v>
      </c>
      <c r="Y29">
        <v>46.666666666666664</v>
      </c>
      <c r="Z29">
        <v>46.666666666666664</v>
      </c>
      <c r="AA29">
        <v>46.666666666666664</v>
      </c>
      <c r="AB29">
        <v>46.666666666666664</v>
      </c>
    </row>
    <row r="30" spans="1:28" x14ac:dyDescent="0.3">
      <c r="A30" t="s">
        <v>558</v>
      </c>
      <c r="B30" s="5" t="s">
        <v>559</v>
      </c>
      <c r="C30" t="s">
        <v>118</v>
      </c>
      <c r="D30" s="5" t="s">
        <v>119</v>
      </c>
      <c r="E30">
        <v>2.2770398481973433</v>
      </c>
      <c r="F30">
        <v>2.4667931688804554</v>
      </c>
      <c r="G30">
        <v>2.4667931688804554</v>
      </c>
      <c r="H30">
        <v>2.4667931688804554</v>
      </c>
      <c r="I30">
        <v>2.4667931688804554</v>
      </c>
      <c r="J30">
        <v>2.4667931688804554</v>
      </c>
      <c r="K30">
        <v>2.3339658444022771</v>
      </c>
      <c r="L30">
        <v>2.3529411764705883</v>
      </c>
      <c r="M30">
        <v>2.3529411764705883</v>
      </c>
      <c r="N30">
        <v>2.5426944971537004</v>
      </c>
      <c r="O30">
        <v>2.5426944971537004</v>
      </c>
      <c r="P30">
        <v>2.5426944971537004</v>
      </c>
      <c r="Q30">
        <v>2.5426944971537004</v>
      </c>
      <c r="R30">
        <v>2.5426944971537004</v>
      </c>
      <c r="S30">
        <v>2.5426944971537004</v>
      </c>
      <c r="T30">
        <v>2.5426944971537004</v>
      </c>
      <c r="U30">
        <v>2.5426944971537004</v>
      </c>
      <c r="V30">
        <v>2.5426944971537004</v>
      </c>
      <c r="W30">
        <v>2.5426944971537004</v>
      </c>
      <c r="X30">
        <v>2.5426944971537004</v>
      </c>
      <c r="Y30">
        <v>2.5426944971537004</v>
      </c>
      <c r="Z30">
        <v>2.5426944971537004</v>
      </c>
      <c r="AA30">
        <v>2.5426944971537004</v>
      </c>
      <c r="AB30">
        <v>2.5426944971537004</v>
      </c>
    </row>
    <row r="31" spans="1:28" x14ac:dyDescent="0.3">
      <c r="A31" t="s">
        <v>558</v>
      </c>
      <c r="B31" s="5" t="s">
        <v>559</v>
      </c>
      <c r="C31" t="s">
        <v>120</v>
      </c>
      <c r="D31" s="5" t="s">
        <v>121</v>
      </c>
      <c r="E31">
        <v>50.456476543433062</v>
      </c>
      <c r="F31">
        <v>49.697188827623613</v>
      </c>
      <c r="G31">
        <v>48.943014705882355</v>
      </c>
      <c r="H31">
        <v>48.965707456100027</v>
      </c>
      <c r="I31">
        <v>49.006987863184989</v>
      </c>
      <c r="J31">
        <v>48.462812960235638</v>
      </c>
      <c r="K31">
        <v>47.776857221761944</v>
      </c>
      <c r="L31">
        <v>47.104318202743762</v>
      </c>
      <c r="M31">
        <v>46.966209372985915</v>
      </c>
      <c r="N31">
        <v>46.333824613117173</v>
      </c>
      <c r="O31">
        <v>46.536477523949884</v>
      </c>
      <c r="P31">
        <v>46.868091378039793</v>
      </c>
      <c r="Q31">
        <v>47.190493736182752</v>
      </c>
      <c r="R31">
        <v>46.011422254974207</v>
      </c>
      <c r="S31">
        <v>45.845615327929259</v>
      </c>
      <c r="T31">
        <v>46.167096536477523</v>
      </c>
      <c r="U31">
        <v>46.250921149594696</v>
      </c>
      <c r="V31">
        <v>46.329403095062638</v>
      </c>
      <c r="W31">
        <v>46.333824613117173</v>
      </c>
      <c r="X31">
        <v>46.398305084745758</v>
      </c>
      <c r="Y31">
        <v>46.490420044215178</v>
      </c>
      <c r="Z31">
        <v>46.490420044215178</v>
      </c>
      <c r="AA31">
        <v>46.260132645541638</v>
      </c>
      <c r="AB31">
        <v>46.085022107590277</v>
      </c>
    </row>
    <row r="32" spans="1:28" x14ac:dyDescent="0.3">
      <c r="A32" t="s">
        <v>558</v>
      </c>
      <c r="B32" s="5" t="s">
        <v>559</v>
      </c>
      <c r="C32" t="s">
        <v>122</v>
      </c>
      <c r="D32" s="5" t="s">
        <v>123</v>
      </c>
      <c r="E32">
        <v>40.976308845029237</v>
      </c>
      <c r="F32">
        <v>41.450835526315785</v>
      </c>
      <c r="G32">
        <v>41.918052266081865</v>
      </c>
      <c r="H32">
        <v>42.385269005847952</v>
      </c>
      <c r="I32">
        <v>42.907309941520467</v>
      </c>
      <c r="J32">
        <v>43.425696271929823</v>
      </c>
      <c r="K32">
        <v>43.929462719298243</v>
      </c>
      <c r="L32">
        <v>44.407644371345029</v>
      </c>
      <c r="M32">
        <v>44.913238304093568</v>
      </c>
      <c r="N32">
        <v>45.437106725146201</v>
      </c>
      <c r="O32">
        <v>46.021282529239762</v>
      </c>
      <c r="P32">
        <v>46.75896710526316</v>
      </c>
      <c r="Q32">
        <v>47.328523026315786</v>
      </c>
      <c r="R32">
        <v>48.11737682748538</v>
      </c>
      <c r="S32">
        <v>48.686932748538013</v>
      </c>
      <c r="T32">
        <v>49.293038377192985</v>
      </c>
      <c r="U32">
        <v>49.826044590643278</v>
      </c>
      <c r="V32">
        <v>50.359050804093577</v>
      </c>
      <c r="W32">
        <v>51.196150584795319</v>
      </c>
      <c r="X32">
        <v>51.676890350877194</v>
      </c>
      <c r="Y32">
        <v>52.159457967836254</v>
      </c>
      <c r="Z32">
        <v>52.670899853801167</v>
      </c>
      <c r="AA32">
        <v>53.349739400584795</v>
      </c>
      <c r="AB32">
        <v>53.40200548245614</v>
      </c>
    </row>
    <row r="33" spans="1:28" x14ac:dyDescent="0.3">
      <c r="A33" t="s">
        <v>558</v>
      </c>
      <c r="B33" s="5" t="s">
        <v>559</v>
      </c>
      <c r="C33" t="s">
        <v>124</v>
      </c>
      <c r="D33" s="5" t="s">
        <v>125</v>
      </c>
      <c r="E33">
        <v>72.702492211838006</v>
      </c>
      <c r="F33">
        <v>72.079439252336456</v>
      </c>
      <c r="G33">
        <v>71.417445482866043</v>
      </c>
      <c r="H33">
        <v>71.378504672897193</v>
      </c>
      <c r="I33">
        <v>71.962616822429908</v>
      </c>
      <c r="J33">
        <v>70.833333333333343</v>
      </c>
      <c r="K33">
        <v>70.950155763239877</v>
      </c>
      <c r="L33">
        <v>71.066978193146412</v>
      </c>
      <c r="M33">
        <v>71.18380062305296</v>
      </c>
      <c r="N33">
        <v>71.300623052959494</v>
      </c>
      <c r="O33">
        <v>71.378504672897193</v>
      </c>
      <c r="P33">
        <v>71.690031152647975</v>
      </c>
      <c r="Q33">
        <v>72.429906542056074</v>
      </c>
      <c r="R33">
        <v>73.481308411214954</v>
      </c>
      <c r="S33">
        <v>74.532710280373834</v>
      </c>
      <c r="T33">
        <v>75.584112149532714</v>
      </c>
      <c r="U33">
        <v>76.63551401869158</v>
      </c>
      <c r="V33">
        <v>77.686915887850475</v>
      </c>
      <c r="W33">
        <v>78.738317757009341</v>
      </c>
      <c r="X33">
        <v>79.789719626168221</v>
      </c>
      <c r="Y33">
        <v>80.841121495327101</v>
      </c>
      <c r="Z33">
        <v>81.892523364485982</v>
      </c>
      <c r="AA33">
        <v>82.807963395638623</v>
      </c>
      <c r="AB33">
        <v>83.886557632398748</v>
      </c>
    </row>
    <row r="34" spans="1:28" x14ac:dyDescent="0.3">
      <c r="A34" t="s">
        <v>558</v>
      </c>
      <c r="B34" s="5" t="s">
        <v>559</v>
      </c>
      <c r="C34" t="s">
        <v>126</v>
      </c>
      <c r="D34" s="5" t="s">
        <v>127</v>
      </c>
      <c r="E34">
        <v>17.866004962779154</v>
      </c>
      <c r="F34">
        <v>18.362282878411911</v>
      </c>
      <c r="G34">
        <v>18.610421836228287</v>
      </c>
      <c r="H34">
        <v>18.610421836228287</v>
      </c>
      <c r="I34">
        <v>18.858560794044664</v>
      </c>
      <c r="J34">
        <v>18.858560794044664</v>
      </c>
      <c r="K34">
        <v>18.858560794044664</v>
      </c>
      <c r="L34">
        <v>18.858560794044664</v>
      </c>
      <c r="M34">
        <v>19.35483870967742</v>
      </c>
      <c r="N34">
        <v>19.35483870967742</v>
      </c>
      <c r="O34">
        <v>19.35483870967742</v>
      </c>
      <c r="P34">
        <v>19.602977667493796</v>
      </c>
      <c r="Q34">
        <v>19.602977667493796</v>
      </c>
      <c r="R34">
        <v>19.602977667493796</v>
      </c>
      <c r="S34">
        <v>19.602977667493796</v>
      </c>
      <c r="T34">
        <v>19.602977667493796</v>
      </c>
      <c r="U34">
        <v>19.602977667493796</v>
      </c>
      <c r="V34">
        <v>19.602977667493796</v>
      </c>
      <c r="W34">
        <v>19.602977667493796</v>
      </c>
      <c r="X34">
        <v>19.602977667493796</v>
      </c>
      <c r="Y34">
        <v>19.602977667493796</v>
      </c>
      <c r="Z34">
        <v>19.602977667493796</v>
      </c>
      <c r="AA34">
        <v>19.602977667493796</v>
      </c>
      <c r="AB34">
        <v>19.602977667493796</v>
      </c>
    </row>
    <row r="35" spans="1:28" x14ac:dyDescent="0.3">
      <c r="A35" t="s">
        <v>558</v>
      </c>
      <c r="B35" s="5" t="s">
        <v>559</v>
      </c>
      <c r="C35" t="s">
        <v>128</v>
      </c>
      <c r="D35" s="5" t="s">
        <v>129</v>
      </c>
      <c r="E35">
        <v>27.022433718558801</v>
      </c>
      <c r="F35">
        <v>27.702243371855879</v>
      </c>
      <c r="G35">
        <v>28.325402220711531</v>
      </c>
      <c r="H35">
        <v>28.891910265125766</v>
      </c>
      <c r="I35">
        <v>29.628370722864268</v>
      </c>
      <c r="J35">
        <v>30.342170858826194</v>
      </c>
      <c r="K35">
        <v>30.336505778382055</v>
      </c>
      <c r="L35">
        <v>30.336505778382055</v>
      </c>
      <c r="M35">
        <v>30.336505778382055</v>
      </c>
      <c r="N35">
        <v>30.187695445275324</v>
      </c>
      <c r="O35">
        <v>30.486126217992293</v>
      </c>
      <c r="P35">
        <v>30.779491275776117</v>
      </c>
      <c r="Q35">
        <v>31.150901880806707</v>
      </c>
      <c r="R35">
        <v>31.452442782687516</v>
      </c>
      <c r="S35">
        <v>31.682608769544522</v>
      </c>
      <c r="T35">
        <v>31.996057104010877</v>
      </c>
      <c r="U35">
        <v>32.290981191932929</v>
      </c>
      <c r="V35">
        <v>32.770359732608206</v>
      </c>
      <c r="W35">
        <v>33.188107863131656</v>
      </c>
      <c r="X35">
        <v>33.716280308180373</v>
      </c>
      <c r="Y35">
        <v>34.301391910265124</v>
      </c>
      <c r="Z35">
        <v>34.699975640154094</v>
      </c>
      <c r="AA35">
        <v>34.8115777249037</v>
      </c>
      <c r="AB35">
        <v>34.86482948107863</v>
      </c>
    </row>
    <row r="36" spans="1:28" x14ac:dyDescent="0.3">
      <c r="A36" t="s">
        <v>558</v>
      </c>
      <c r="B36" s="5" t="s">
        <v>559</v>
      </c>
      <c r="C36" t="s">
        <v>130</v>
      </c>
      <c r="D36" s="5" t="s">
        <v>131</v>
      </c>
      <c r="E36">
        <v>19.377631105751941</v>
      </c>
      <c r="F36">
        <v>19.377631105751941</v>
      </c>
      <c r="G36">
        <v>19.377631105751941</v>
      </c>
      <c r="H36">
        <v>19.377631105751941</v>
      </c>
      <c r="I36">
        <v>19.483404201307355</v>
      </c>
      <c r="J36">
        <v>19.489750587040682</v>
      </c>
      <c r="K36">
        <v>19.489750587040682</v>
      </c>
      <c r="L36">
        <v>19.489750587040682</v>
      </c>
      <c r="M36">
        <v>19.595523682596095</v>
      </c>
      <c r="N36">
        <v>19.701296778151509</v>
      </c>
      <c r="O36">
        <v>20.519980537750417</v>
      </c>
      <c r="P36">
        <v>20.625753633305834</v>
      </c>
      <c r="Q36">
        <v>20.625753633305834</v>
      </c>
      <c r="R36">
        <v>20.625753633305834</v>
      </c>
      <c r="S36">
        <v>20.625753633305834</v>
      </c>
      <c r="T36">
        <v>20.625753633305834</v>
      </c>
      <c r="U36">
        <v>20.625753633305834</v>
      </c>
      <c r="V36">
        <v>20.670148082333775</v>
      </c>
      <c r="W36">
        <v>20.714542531361722</v>
      </c>
      <c r="X36">
        <v>20.758936980389667</v>
      </c>
      <c r="Y36">
        <v>20.803331640963805</v>
      </c>
      <c r="Z36">
        <v>20.847726089991749</v>
      </c>
      <c r="AA36">
        <v>20.892120539019697</v>
      </c>
      <c r="AB36">
        <v>20.936514988047641</v>
      </c>
    </row>
    <row r="37" spans="1:28" x14ac:dyDescent="0.3">
      <c r="A37" t="s">
        <v>558</v>
      </c>
      <c r="B37" s="5" t="s">
        <v>559</v>
      </c>
      <c r="C37" t="s">
        <v>9</v>
      </c>
      <c r="D37" s="5" t="s">
        <v>132</v>
      </c>
      <c r="E37">
        <v>6.8358022171435451</v>
      </c>
      <c r="F37">
        <v>6.838162441066344</v>
      </c>
      <c r="G37">
        <v>6.9254784124636526</v>
      </c>
      <c r="H37">
        <v>6.9093054667902498</v>
      </c>
      <c r="I37">
        <v>6.893132521116847</v>
      </c>
      <c r="J37">
        <v>6.8769595754434452</v>
      </c>
      <c r="K37">
        <v>6.7573913150166369</v>
      </c>
      <c r="L37">
        <v>6.6931456825484998</v>
      </c>
      <c r="M37">
        <v>6.6289000500803619</v>
      </c>
      <c r="N37">
        <v>6.5646544176122257</v>
      </c>
      <c r="O37">
        <v>6.5004087851440895</v>
      </c>
      <c r="P37">
        <v>6.4356835411835691</v>
      </c>
      <c r="Q37">
        <v>6.4436361689526294</v>
      </c>
      <c r="R37">
        <v>6.4515553354547786</v>
      </c>
      <c r="S37">
        <v>6.459474501956926</v>
      </c>
      <c r="T37">
        <v>6.467505206015443</v>
      </c>
      <c r="U37">
        <v>6.4747551471793825</v>
      </c>
      <c r="V37">
        <v>6.4544106968978054</v>
      </c>
      <c r="W37">
        <v>6.4568199081153601</v>
      </c>
      <c r="X37">
        <v>6.4343562442627871</v>
      </c>
      <c r="Y37">
        <v>6.3707352221103131</v>
      </c>
      <c r="Z37">
        <v>6.4845767861003338</v>
      </c>
      <c r="AA37">
        <v>6.4943620785781739</v>
      </c>
      <c r="AB37">
        <v>6.4713780195023149</v>
      </c>
    </row>
    <row r="38" spans="1:28" x14ac:dyDescent="0.3">
      <c r="A38" t="s">
        <v>558</v>
      </c>
      <c r="B38" s="5" t="s">
        <v>559</v>
      </c>
      <c r="C38" t="s">
        <v>133</v>
      </c>
      <c r="D38" s="5" t="s">
        <v>134</v>
      </c>
      <c r="E38">
        <v>11.25</v>
      </c>
      <c r="F38">
        <v>11.25</v>
      </c>
      <c r="G38">
        <v>11.25</v>
      </c>
      <c r="H38">
        <v>11.25</v>
      </c>
      <c r="I38">
        <v>11.25</v>
      </c>
      <c r="J38">
        <v>11.25</v>
      </c>
      <c r="K38">
        <v>11.25</v>
      </c>
      <c r="L38">
        <v>11.25</v>
      </c>
      <c r="M38">
        <v>11.25</v>
      </c>
      <c r="N38">
        <v>11.25</v>
      </c>
      <c r="O38">
        <v>11.25</v>
      </c>
      <c r="P38">
        <v>11.25</v>
      </c>
      <c r="Q38">
        <v>11.25</v>
      </c>
      <c r="R38">
        <v>11.25</v>
      </c>
      <c r="S38">
        <v>11.25</v>
      </c>
      <c r="T38">
        <v>11.25</v>
      </c>
      <c r="U38">
        <v>11.25</v>
      </c>
      <c r="V38">
        <v>11.25</v>
      </c>
      <c r="W38">
        <v>11.25</v>
      </c>
      <c r="X38">
        <v>11.25</v>
      </c>
      <c r="Y38">
        <v>11.25</v>
      </c>
      <c r="Z38">
        <v>11.25</v>
      </c>
      <c r="AA38">
        <v>11.25</v>
      </c>
      <c r="AB38">
        <v>11.25</v>
      </c>
    </row>
    <row r="39" spans="1:28" x14ac:dyDescent="0.3">
      <c r="A39" t="s">
        <v>558</v>
      </c>
      <c r="B39" s="5" t="s">
        <v>559</v>
      </c>
      <c r="C39" t="s">
        <v>135</v>
      </c>
      <c r="D39" s="5" t="s">
        <v>136</v>
      </c>
      <c r="E39">
        <v>7.9800314616841632</v>
      </c>
      <c r="F39">
        <v>7.9787473113101539</v>
      </c>
      <c r="G39">
        <v>7.9801919804809147</v>
      </c>
      <c r="H39">
        <v>7.9573983113422582</v>
      </c>
      <c r="I39">
        <v>7.9521011910494721</v>
      </c>
      <c r="J39">
        <v>7.9487302963176996</v>
      </c>
      <c r="K39">
        <v>7.9405438376833937</v>
      </c>
      <c r="L39">
        <v>7.9466435519599354</v>
      </c>
      <c r="M39">
        <v>7.947927702333943</v>
      </c>
      <c r="N39">
        <v>7.9381360557321257</v>
      </c>
      <c r="O39">
        <v>7.8968827249670941</v>
      </c>
      <c r="P39">
        <v>7.8480850107547599</v>
      </c>
      <c r="Q39">
        <v>7.8522584994702882</v>
      </c>
      <c r="R39">
        <v>7.8614080708851013</v>
      </c>
      <c r="S39">
        <v>7.8777809881537122</v>
      </c>
      <c r="T39">
        <v>7.8935118302353207</v>
      </c>
      <c r="U39">
        <v>7.892709236251565</v>
      </c>
      <c r="V39">
        <v>7.8939933866255734</v>
      </c>
      <c r="W39">
        <v>8.3020321679668694</v>
      </c>
      <c r="X39">
        <v>8.8189026935054091</v>
      </c>
      <c r="Y39">
        <v>8.968666730874185</v>
      </c>
      <c r="Z39">
        <v>9.0052650165334356</v>
      </c>
      <c r="AA39">
        <v>9.0421843397861892</v>
      </c>
      <c r="AB39">
        <v>9.0994895502263322</v>
      </c>
    </row>
    <row r="40" spans="1:28" x14ac:dyDescent="0.3">
      <c r="A40" t="s">
        <v>558</v>
      </c>
      <c r="B40" s="5" t="s">
        <v>559</v>
      </c>
      <c r="C40" t="s">
        <v>137</v>
      </c>
      <c r="D40" s="5" t="s">
        <v>138</v>
      </c>
      <c r="E40">
        <v>38.619758576874204</v>
      </c>
      <c r="F40">
        <v>38.699174078780182</v>
      </c>
      <c r="G40">
        <v>38.699174078780182</v>
      </c>
      <c r="H40">
        <v>38.778589580686152</v>
      </c>
      <c r="I40">
        <v>38.778589580686152</v>
      </c>
      <c r="J40">
        <v>38.858005082592122</v>
      </c>
      <c r="K40">
        <v>38.858005082592122</v>
      </c>
      <c r="L40">
        <v>38.85879923761118</v>
      </c>
      <c r="M40">
        <v>38.85879923761118</v>
      </c>
      <c r="N40">
        <v>38.941391359593389</v>
      </c>
      <c r="O40">
        <v>39.100222363405337</v>
      </c>
      <c r="P40">
        <v>39.179637865311307</v>
      </c>
      <c r="Q40">
        <v>39.457592121982209</v>
      </c>
      <c r="R40">
        <v>39.73634053367217</v>
      </c>
      <c r="S40">
        <v>39.895171537484117</v>
      </c>
      <c r="T40">
        <v>39.895965692503175</v>
      </c>
      <c r="U40">
        <v>39.976175349428203</v>
      </c>
      <c r="V40">
        <v>39.976175349428203</v>
      </c>
      <c r="W40">
        <v>39.976175349428203</v>
      </c>
      <c r="X40">
        <v>39.976175349428203</v>
      </c>
      <c r="Y40">
        <v>39.976175349428203</v>
      </c>
      <c r="Z40">
        <v>39.976175349428203</v>
      </c>
      <c r="AA40">
        <v>39.976175349428203</v>
      </c>
      <c r="AB40">
        <v>39.975619440914869</v>
      </c>
    </row>
    <row r="41" spans="1:28" x14ac:dyDescent="0.3">
      <c r="A41" t="s">
        <v>558</v>
      </c>
      <c r="B41" s="5" t="s">
        <v>559</v>
      </c>
      <c r="C41" t="s">
        <v>139</v>
      </c>
      <c r="D41" s="5" t="s">
        <v>140</v>
      </c>
      <c r="E41">
        <v>39.898989898989903</v>
      </c>
      <c r="F41">
        <v>37.878787878787875</v>
      </c>
      <c r="G41">
        <v>37.373737373737377</v>
      </c>
      <c r="H41">
        <v>37.373737373737377</v>
      </c>
      <c r="I41">
        <v>37.878787878787875</v>
      </c>
      <c r="J41">
        <v>38.383838383838381</v>
      </c>
      <c r="K41">
        <v>42.424242424242422</v>
      </c>
      <c r="L41">
        <v>41.414141414141412</v>
      </c>
      <c r="M41">
        <v>40.909090909090914</v>
      </c>
      <c r="N41">
        <v>44.444444444444443</v>
      </c>
      <c r="O41">
        <v>46.01010101010101</v>
      </c>
      <c r="P41">
        <v>48.535353535353536</v>
      </c>
      <c r="Q41">
        <v>48.282828282828284</v>
      </c>
      <c r="R41">
        <v>47.777777777777779</v>
      </c>
      <c r="S41">
        <v>48.080808080808083</v>
      </c>
      <c r="T41">
        <v>46.767676767676768</v>
      </c>
      <c r="U41">
        <v>46.919191919191924</v>
      </c>
      <c r="V41">
        <v>46.565656565656568</v>
      </c>
      <c r="W41">
        <v>43.282828282828284</v>
      </c>
      <c r="X41">
        <v>43.282828282828284</v>
      </c>
      <c r="Y41">
        <v>43.282828282828284</v>
      </c>
      <c r="Z41">
        <v>43.282828282828284</v>
      </c>
      <c r="AA41" t="s">
        <v>73</v>
      </c>
      <c r="AB41" t="s">
        <v>73</v>
      </c>
    </row>
    <row r="42" spans="1:28" x14ac:dyDescent="0.3">
      <c r="A42" t="s">
        <v>558</v>
      </c>
      <c r="B42" s="5" t="s">
        <v>559</v>
      </c>
      <c r="C42" t="s">
        <v>10</v>
      </c>
      <c r="D42" s="5" t="s">
        <v>141</v>
      </c>
      <c r="E42">
        <v>20.32192293001512</v>
      </c>
      <c r="F42">
        <v>20.375720211100532</v>
      </c>
      <c r="G42">
        <v>20.933867002361701</v>
      </c>
      <c r="H42">
        <v>20.745576518562753</v>
      </c>
      <c r="I42">
        <v>21.431491852401781</v>
      </c>
      <c r="J42">
        <v>21.364245251045013</v>
      </c>
      <c r="K42">
        <v>21.249926028738507</v>
      </c>
      <c r="L42">
        <v>21.158470650893303</v>
      </c>
      <c r="M42">
        <v>20.736127833099317</v>
      </c>
      <c r="N42">
        <v>20.313786360237351</v>
      </c>
      <c r="O42">
        <v>19.79527955757116</v>
      </c>
      <c r="P42">
        <v>19.391093456636703</v>
      </c>
      <c r="Q42">
        <v>18.879312659038209</v>
      </c>
      <c r="R42">
        <v>18.44822912799987</v>
      </c>
      <c r="S42">
        <v>18.000314986423575</v>
      </c>
      <c r="T42">
        <v>17.565187709095465</v>
      </c>
      <c r="U42">
        <v>17.025862754173332</v>
      </c>
      <c r="V42">
        <v>16.575463504158421</v>
      </c>
      <c r="W42">
        <v>16.016076724849569</v>
      </c>
      <c r="X42">
        <v>15.435346965026961</v>
      </c>
      <c r="Y42">
        <v>14.902628945638345</v>
      </c>
      <c r="Z42">
        <v>14.563187023105261</v>
      </c>
      <c r="AA42">
        <v>14.319932710459129</v>
      </c>
      <c r="AB42">
        <v>14.401024975188188</v>
      </c>
    </row>
    <row r="43" spans="1:28" x14ac:dyDescent="0.3">
      <c r="A43" t="s">
        <v>558</v>
      </c>
      <c r="B43" s="5" t="s">
        <v>559</v>
      </c>
      <c r="C43" t="s">
        <v>11</v>
      </c>
      <c r="D43" s="5" t="s">
        <v>142</v>
      </c>
      <c r="E43">
        <v>55.694583211727036</v>
      </c>
      <c r="F43">
        <v>55.757871864491534</v>
      </c>
      <c r="G43">
        <v>55.82113206589726</v>
      </c>
      <c r="H43">
        <v>55.884389293821599</v>
      </c>
      <c r="I43">
        <v>55.947644751330458</v>
      </c>
      <c r="J43">
        <v>56.010903183926885</v>
      </c>
      <c r="K43">
        <v>56.07415984476021</v>
      </c>
      <c r="L43">
        <v>56.137417696245173</v>
      </c>
      <c r="M43">
        <v>56.200671974685534</v>
      </c>
      <c r="N43">
        <v>56.26392504386618</v>
      </c>
      <c r="O43">
        <v>56.183473081293123</v>
      </c>
      <c r="P43">
        <v>56.103660218118236</v>
      </c>
      <c r="Q43">
        <v>56.023527805244257</v>
      </c>
      <c r="R43">
        <v>55.943395392370284</v>
      </c>
      <c r="S43">
        <v>55.863262979496312</v>
      </c>
      <c r="T43">
        <v>55.783130566622333</v>
      </c>
      <c r="U43">
        <v>55.703057345329945</v>
      </c>
      <c r="V43">
        <v>55.622850362316136</v>
      </c>
      <c r="W43">
        <v>55.54274989588005</v>
      </c>
      <c r="X43">
        <v>55.462649429443957</v>
      </c>
      <c r="Y43">
        <v>55.45263687113944</v>
      </c>
      <c r="Z43">
        <v>55.44262431283493</v>
      </c>
      <c r="AA43">
        <v>55.432611754530413</v>
      </c>
      <c r="AB43">
        <v>55.432611754530413</v>
      </c>
    </row>
    <row r="44" spans="1:28" x14ac:dyDescent="0.3">
      <c r="A44" t="s">
        <v>558</v>
      </c>
      <c r="B44" s="5" t="s">
        <v>559</v>
      </c>
      <c r="C44" t="s">
        <v>12</v>
      </c>
      <c r="D44" s="5" t="s">
        <v>143</v>
      </c>
      <c r="E44">
        <v>40.431726002703918</v>
      </c>
      <c r="F44">
        <v>37.625056331680938</v>
      </c>
      <c r="G44">
        <v>37.500675980171252</v>
      </c>
      <c r="H44">
        <v>37.900856241550244</v>
      </c>
      <c r="I44">
        <v>38.207300585849481</v>
      </c>
      <c r="J44">
        <v>38.356917530419111</v>
      </c>
      <c r="K44">
        <v>38.011716989634969</v>
      </c>
      <c r="L44">
        <v>38.247859396124376</v>
      </c>
      <c r="M44">
        <v>38.40829202343398</v>
      </c>
      <c r="N44">
        <v>38.341595313204145</v>
      </c>
      <c r="O44">
        <v>38.308246958089228</v>
      </c>
      <c r="P44">
        <v>37.60342496620099</v>
      </c>
      <c r="Q44">
        <v>38.411536728255975</v>
      </c>
      <c r="R44">
        <v>40.39260928346102</v>
      </c>
      <c r="S44">
        <v>40.378548895899051</v>
      </c>
      <c r="T44">
        <v>40.364488508337089</v>
      </c>
      <c r="U44">
        <v>40.350428120775121</v>
      </c>
      <c r="V44">
        <v>39.19513294276701</v>
      </c>
      <c r="W44">
        <v>39.700766110860748</v>
      </c>
      <c r="X44">
        <v>39.976566020730061</v>
      </c>
      <c r="Y44">
        <v>39.846727895448403</v>
      </c>
      <c r="Z44">
        <v>38.769115187021178</v>
      </c>
      <c r="AA44">
        <v>37.641279855790899</v>
      </c>
      <c r="AB44">
        <v>36.487607030193779</v>
      </c>
    </row>
    <row r="45" spans="1:28" x14ac:dyDescent="0.3">
      <c r="A45" t="s">
        <v>558</v>
      </c>
      <c r="B45" s="5" t="s">
        <v>559</v>
      </c>
      <c r="C45" t="s">
        <v>144</v>
      </c>
      <c r="D45" s="5" t="s">
        <v>145</v>
      </c>
      <c r="E45">
        <v>68.780225685115525</v>
      </c>
      <c r="F45">
        <v>69.854916711445455</v>
      </c>
      <c r="G45">
        <v>70.39226222461042</v>
      </c>
      <c r="H45">
        <v>70.929607737775385</v>
      </c>
      <c r="I45">
        <v>71.466953250940364</v>
      </c>
      <c r="J45">
        <v>71.466953250940364</v>
      </c>
      <c r="K45">
        <v>71.466953250940364</v>
      </c>
      <c r="L45">
        <v>71.466953250940364</v>
      </c>
      <c r="M45">
        <v>71.466953250940364</v>
      </c>
      <c r="N45">
        <v>71.466953250940364</v>
      </c>
      <c r="O45">
        <v>71.466953250940364</v>
      </c>
      <c r="P45">
        <v>71.466953250940364</v>
      </c>
      <c r="Q45">
        <v>71.466953250940364</v>
      </c>
      <c r="R45">
        <v>71.466953250940364</v>
      </c>
      <c r="S45">
        <v>71.466953250940364</v>
      </c>
      <c r="T45">
        <v>71.466953250940364</v>
      </c>
      <c r="U45">
        <v>71.466953250940364</v>
      </c>
      <c r="V45">
        <v>71.466953250940364</v>
      </c>
      <c r="W45">
        <v>71.466953250940364</v>
      </c>
      <c r="X45">
        <v>71.466953250940364</v>
      </c>
      <c r="Y45">
        <v>71.466953250940364</v>
      </c>
      <c r="Z45">
        <v>71.466953250940364</v>
      </c>
      <c r="AA45">
        <v>71.466953250940364</v>
      </c>
      <c r="AB45">
        <v>71.466953250940364</v>
      </c>
    </row>
    <row r="46" spans="1:28" x14ac:dyDescent="0.3">
      <c r="A46" t="s">
        <v>558</v>
      </c>
      <c r="B46" s="5" t="s">
        <v>559</v>
      </c>
      <c r="C46" t="s">
        <v>146</v>
      </c>
      <c r="D46" s="5" t="s">
        <v>147</v>
      </c>
      <c r="E46">
        <v>11.292207935422686</v>
      </c>
      <c r="F46">
        <v>11.270152841798813</v>
      </c>
      <c r="G46">
        <v>11.270152841798813</v>
      </c>
      <c r="H46">
        <v>11.270152841798813</v>
      </c>
      <c r="I46">
        <v>11.270152841798813</v>
      </c>
      <c r="J46">
        <v>11.270152841798813</v>
      </c>
      <c r="K46">
        <v>11.286032509208002</v>
      </c>
      <c r="L46">
        <v>11.314263029046558</v>
      </c>
      <c r="M46">
        <v>11.336318122670431</v>
      </c>
      <c r="N46">
        <v>11.859906045301162</v>
      </c>
      <c r="O46">
        <v>12.540085132661389</v>
      </c>
      <c r="P46">
        <v>13.072495092741669</v>
      </c>
      <c r="Q46">
        <v>13.62387243333848</v>
      </c>
      <c r="R46">
        <v>13.863831851966212</v>
      </c>
      <c r="S46">
        <v>14.225094285525241</v>
      </c>
      <c r="T46">
        <v>14.31375576189321</v>
      </c>
      <c r="U46">
        <v>14.411680377583203</v>
      </c>
      <c r="V46">
        <v>14.684149004212523</v>
      </c>
      <c r="W46">
        <v>14.827551222954941</v>
      </c>
      <c r="X46">
        <v>14.925519948832184</v>
      </c>
      <c r="Y46">
        <v>14.943428684854767</v>
      </c>
      <c r="Z46">
        <v>14.945053395381663</v>
      </c>
      <c r="AA46">
        <v>15.303625857391765</v>
      </c>
      <c r="AB46">
        <v>15.480763018019012</v>
      </c>
    </row>
    <row r="47" spans="1:28" x14ac:dyDescent="0.3">
      <c r="A47" t="s">
        <v>558</v>
      </c>
      <c r="B47" s="5" t="s">
        <v>559</v>
      </c>
      <c r="C47" t="s">
        <v>148</v>
      </c>
      <c r="D47" s="5" t="s">
        <v>149</v>
      </c>
      <c r="E47">
        <v>30.863666178623717</v>
      </c>
      <c r="F47">
        <v>30.864989751098097</v>
      </c>
      <c r="G47">
        <v>30.863335285505123</v>
      </c>
      <c r="H47">
        <v>30.864313323572475</v>
      </c>
      <c r="I47">
        <v>30.873443631039532</v>
      </c>
      <c r="J47">
        <v>30.880392386530016</v>
      </c>
      <c r="K47">
        <v>30.889519765739387</v>
      </c>
      <c r="L47">
        <v>30.891423133235723</v>
      </c>
      <c r="M47">
        <v>30.893048316251832</v>
      </c>
      <c r="N47">
        <v>30.931815519765738</v>
      </c>
      <c r="O47">
        <v>30.967508052708638</v>
      </c>
      <c r="P47">
        <v>31.029619326500736</v>
      </c>
      <c r="Q47">
        <v>31.045411420204978</v>
      </c>
      <c r="R47">
        <v>31.129733528550513</v>
      </c>
      <c r="S47">
        <v>31.131525622254756</v>
      </c>
      <c r="T47">
        <v>31.108143484626648</v>
      </c>
      <c r="U47">
        <v>31.114076134699854</v>
      </c>
      <c r="V47">
        <v>31.117475841874086</v>
      </c>
      <c r="W47">
        <v>31.131762811127377</v>
      </c>
      <c r="X47">
        <v>31.208784773060028</v>
      </c>
      <c r="Y47">
        <v>31.164568081991217</v>
      </c>
      <c r="Z47">
        <v>31.25212298682284</v>
      </c>
      <c r="AA47">
        <v>31.189751098096636</v>
      </c>
      <c r="AB47">
        <v>31.1900439238653</v>
      </c>
    </row>
    <row r="48" spans="1:28" x14ac:dyDescent="0.3">
      <c r="A48" t="s">
        <v>558</v>
      </c>
      <c r="B48" s="5" t="s">
        <v>559</v>
      </c>
      <c r="C48" t="s">
        <v>13</v>
      </c>
      <c r="D48" s="5" t="s">
        <v>150</v>
      </c>
      <c r="E48">
        <v>36.036036036036037</v>
      </c>
      <c r="F48">
        <v>35.89894242068155</v>
      </c>
      <c r="G48">
        <v>35.76184880532707</v>
      </c>
      <c r="H48">
        <v>35.82060321190756</v>
      </c>
      <c r="I48">
        <v>35.683509596553073</v>
      </c>
      <c r="J48">
        <v>35.350567959263614</v>
      </c>
      <c r="K48">
        <v>35.546415981198592</v>
      </c>
      <c r="L48">
        <v>35.252643948296118</v>
      </c>
      <c r="M48">
        <v>35.115550332941638</v>
      </c>
      <c r="N48">
        <v>35.566000783392084</v>
      </c>
      <c r="O48">
        <v>35.624755189972582</v>
      </c>
      <c r="P48">
        <v>35.624755189972582</v>
      </c>
      <c r="Q48">
        <v>35.487661574618095</v>
      </c>
      <c r="R48">
        <v>35.272228750489617</v>
      </c>
      <c r="S48">
        <v>34.958871915393651</v>
      </c>
      <c r="T48">
        <v>34.453366627497061</v>
      </c>
      <c r="U48">
        <v>34.13107716412064</v>
      </c>
      <c r="V48">
        <v>33.808787700744219</v>
      </c>
      <c r="W48">
        <v>33.71964943204074</v>
      </c>
      <c r="X48">
        <v>33.630513121817465</v>
      </c>
      <c r="Y48">
        <v>33.541374853113986</v>
      </c>
      <c r="Z48">
        <v>33.342687034860951</v>
      </c>
      <c r="AA48">
        <v>33.143999216607916</v>
      </c>
      <c r="AB48">
        <v>33.143999216607916</v>
      </c>
    </row>
    <row r="49" spans="1:28" x14ac:dyDescent="0.3">
      <c r="A49" t="s">
        <v>558</v>
      </c>
      <c r="B49" s="5" t="s">
        <v>559</v>
      </c>
      <c r="C49" t="s">
        <v>151</v>
      </c>
      <c r="D49" s="5" t="s">
        <v>152</v>
      </c>
      <c r="E49">
        <v>62.124572327044028</v>
      </c>
      <c r="F49">
        <v>60.584169811320756</v>
      </c>
      <c r="G49">
        <v>60.959943396226414</v>
      </c>
      <c r="H49">
        <v>61.084908805031446</v>
      </c>
      <c r="I49">
        <v>63.403606918238999</v>
      </c>
      <c r="J49">
        <v>64.165588050314469</v>
      </c>
      <c r="K49">
        <v>65.036402515723267</v>
      </c>
      <c r="L49">
        <v>66.060600628930814</v>
      </c>
      <c r="M49">
        <v>65.795512578616353</v>
      </c>
      <c r="N49">
        <v>65.698125786163516</v>
      </c>
      <c r="O49">
        <v>65.735808176100633</v>
      </c>
      <c r="P49">
        <v>66.200179245283024</v>
      </c>
      <c r="Q49">
        <v>68.963858490566025</v>
      </c>
      <c r="R49">
        <v>70.886880503144653</v>
      </c>
      <c r="S49">
        <v>72.591720125786168</v>
      </c>
      <c r="T49">
        <v>76.936811949685534</v>
      </c>
      <c r="U49">
        <v>75.426636477987415</v>
      </c>
      <c r="V49">
        <v>77.704480817610062</v>
      </c>
      <c r="W49">
        <v>81.342073899371073</v>
      </c>
      <c r="X49">
        <v>81.524799999999999</v>
      </c>
      <c r="Y49">
        <v>82.62582295597484</v>
      </c>
      <c r="Z49">
        <v>84.392867295597483</v>
      </c>
      <c r="AA49">
        <v>84.156812578616353</v>
      </c>
      <c r="AB49">
        <v>86.475816352201264</v>
      </c>
    </row>
    <row r="50" spans="1:28" x14ac:dyDescent="0.3">
      <c r="A50" t="s">
        <v>558</v>
      </c>
      <c r="B50" s="5" t="s">
        <v>559</v>
      </c>
      <c r="C50" t="s">
        <v>153</v>
      </c>
      <c r="D50" s="5" t="s">
        <v>154</v>
      </c>
      <c r="E50">
        <v>20.907855201030191</v>
      </c>
      <c r="F50">
        <v>21.068822435255402</v>
      </c>
      <c r="G50">
        <v>21.122478179997138</v>
      </c>
      <c r="H50">
        <v>21.370881280823387</v>
      </c>
      <c r="I50">
        <v>21.0135086841541</v>
      </c>
      <c r="J50">
        <v>21.638910728325353</v>
      </c>
      <c r="K50">
        <v>21.978414695161174</v>
      </c>
      <c r="L50">
        <v>21.478093059824172</v>
      </c>
      <c r="M50">
        <v>23.034450718318919</v>
      </c>
      <c r="N50">
        <v>23.222071331570294</v>
      </c>
      <c r="O50">
        <v>23.833178471874778</v>
      </c>
      <c r="P50">
        <v>23.695590022157102</v>
      </c>
      <c r="Q50">
        <v>23.783146308341077</v>
      </c>
      <c r="R50">
        <v>28.005503537988709</v>
      </c>
      <c r="S50">
        <v>26.954828103781004</v>
      </c>
      <c r="T50">
        <v>27.467657780001431</v>
      </c>
      <c r="U50">
        <v>27.624901722535917</v>
      </c>
      <c r="V50">
        <v>26.74933886069616</v>
      </c>
      <c r="W50">
        <v>26.517046672861127</v>
      </c>
      <c r="X50">
        <v>26.874419269530414</v>
      </c>
      <c r="Y50">
        <v>26.894210150107217</v>
      </c>
      <c r="Z50">
        <v>26.375982844889208</v>
      </c>
      <c r="AA50">
        <v>25.875625446747673</v>
      </c>
      <c r="AB50">
        <v>26.554681915654037</v>
      </c>
    </row>
    <row r="51" spans="1:28" x14ac:dyDescent="0.3">
      <c r="A51" t="s">
        <v>558</v>
      </c>
      <c r="B51" s="5" t="s">
        <v>559</v>
      </c>
      <c r="C51" t="s">
        <v>155</v>
      </c>
      <c r="D51" s="5" t="s">
        <v>156</v>
      </c>
      <c r="E51">
        <v>61.024208566108008</v>
      </c>
      <c r="F51">
        <v>61.973929236499067</v>
      </c>
      <c r="G51">
        <v>62.543472130839362</v>
      </c>
      <c r="H51">
        <v>62.387218045112782</v>
      </c>
      <c r="I51">
        <v>61.347617705102905</v>
      </c>
      <c r="J51">
        <v>62.354378053363405</v>
      </c>
      <c r="K51">
        <v>62.294465846096024</v>
      </c>
      <c r="L51">
        <v>62.194663660278096</v>
      </c>
      <c r="M51">
        <v>61.696730552423908</v>
      </c>
      <c r="N51">
        <v>61.196918451709884</v>
      </c>
      <c r="O51">
        <v>60.702743329575348</v>
      </c>
      <c r="P51">
        <v>59.962756052141529</v>
      </c>
      <c r="Q51">
        <v>60.06244784292398</v>
      </c>
      <c r="R51">
        <v>60.854922279792746</v>
      </c>
      <c r="S51">
        <v>60.362238031147854</v>
      </c>
      <c r="T51">
        <v>59.945244956772335</v>
      </c>
      <c r="U51">
        <v>59.849096501345635</v>
      </c>
      <c r="V51">
        <v>60.693641618497111</v>
      </c>
      <c r="W51">
        <v>60.693641618497111</v>
      </c>
      <c r="X51">
        <v>61.666666666666671</v>
      </c>
      <c r="Y51">
        <v>61.666666666666671</v>
      </c>
      <c r="Z51">
        <v>61.666666666666671</v>
      </c>
      <c r="AA51">
        <v>61.666666666666671</v>
      </c>
      <c r="AB51">
        <v>61.666666666666671</v>
      </c>
    </row>
    <row r="52" spans="1:28" x14ac:dyDescent="0.3">
      <c r="A52" t="s">
        <v>558</v>
      </c>
      <c r="B52" s="5" t="s">
        <v>559</v>
      </c>
      <c r="C52" t="s">
        <v>157</v>
      </c>
      <c r="D52" s="5" t="s">
        <v>158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  <c r="J52" t="s">
        <v>73</v>
      </c>
      <c r="K52" t="s">
        <v>73</v>
      </c>
      <c r="L52" t="s">
        <v>73</v>
      </c>
      <c r="M52" t="s">
        <v>73</v>
      </c>
      <c r="N52" t="s">
        <v>73</v>
      </c>
      <c r="O52" t="s">
        <v>73</v>
      </c>
      <c r="P52" t="s">
        <v>73</v>
      </c>
      <c r="Q52" t="s">
        <v>73</v>
      </c>
      <c r="R52" t="s">
        <v>73</v>
      </c>
      <c r="S52" t="s">
        <v>73</v>
      </c>
      <c r="T52" t="s">
        <v>73</v>
      </c>
      <c r="U52" t="s">
        <v>73</v>
      </c>
      <c r="V52" t="s">
        <v>73</v>
      </c>
      <c r="W52" t="s">
        <v>73</v>
      </c>
      <c r="X52" t="s">
        <v>73</v>
      </c>
      <c r="Y52" t="s">
        <v>73</v>
      </c>
      <c r="Z52" t="s">
        <v>73</v>
      </c>
      <c r="AA52" t="s">
        <v>73</v>
      </c>
      <c r="AB52" t="s">
        <v>73</v>
      </c>
    </row>
    <row r="53" spans="1:28" x14ac:dyDescent="0.3">
      <c r="A53" t="s">
        <v>558</v>
      </c>
      <c r="B53" s="5" t="s">
        <v>559</v>
      </c>
      <c r="C53" t="s">
        <v>159</v>
      </c>
      <c r="D53" s="5" t="s">
        <v>160</v>
      </c>
      <c r="E53">
        <v>15.313852813852813</v>
      </c>
      <c r="F53">
        <v>15.151515151515152</v>
      </c>
      <c r="G53">
        <v>15.151515151515152</v>
      </c>
      <c r="H53">
        <v>16.666666666666664</v>
      </c>
      <c r="I53">
        <v>16.883116883116884</v>
      </c>
      <c r="J53">
        <v>18.073593073593074</v>
      </c>
      <c r="K53">
        <v>16.99134199134199</v>
      </c>
      <c r="L53">
        <v>15.930735930735931</v>
      </c>
      <c r="M53">
        <v>12.510822510822511</v>
      </c>
      <c r="N53">
        <v>13.80952380952381</v>
      </c>
      <c r="O53">
        <v>12.391774891774892</v>
      </c>
      <c r="P53">
        <v>12.586580086580087</v>
      </c>
      <c r="Q53">
        <v>12.651515151515152</v>
      </c>
      <c r="R53">
        <v>11.778138528138529</v>
      </c>
      <c r="S53">
        <v>11.794372294372295</v>
      </c>
      <c r="T53">
        <v>13.70995670995671</v>
      </c>
      <c r="U53">
        <v>11.838744588744589</v>
      </c>
      <c r="V53">
        <v>13.140692640692642</v>
      </c>
      <c r="W53">
        <v>14.334080086580087</v>
      </c>
      <c r="X53">
        <v>13.563679653679653</v>
      </c>
      <c r="Y53">
        <v>13.814718614718617</v>
      </c>
      <c r="Z53">
        <v>13.16085497835498</v>
      </c>
      <c r="AA53">
        <v>13.316049783549783</v>
      </c>
      <c r="AB53">
        <v>13.960638528138528</v>
      </c>
    </row>
    <row r="54" spans="1:28" x14ac:dyDescent="0.3">
      <c r="A54" t="s">
        <v>558</v>
      </c>
      <c r="B54" s="5" t="s">
        <v>559</v>
      </c>
      <c r="C54" t="s">
        <v>161</v>
      </c>
      <c r="D54" s="5" t="s">
        <v>162</v>
      </c>
      <c r="E54">
        <v>55.390190242008543</v>
      </c>
      <c r="F54">
        <v>55.364306975540309</v>
      </c>
      <c r="G54">
        <v>47.263621068978907</v>
      </c>
      <c r="H54">
        <v>47.475346188689009</v>
      </c>
      <c r="I54">
        <v>47.00220036241263</v>
      </c>
      <c r="J54">
        <v>46.666968677193893</v>
      </c>
      <c r="K54">
        <v>46.161165048543687</v>
      </c>
      <c r="L54">
        <v>46.559223300970878</v>
      </c>
      <c r="M54">
        <v>46.240419471776285</v>
      </c>
      <c r="N54">
        <v>45.907172449508025</v>
      </c>
      <c r="O54">
        <v>45.628900686261815</v>
      </c>
      <c r="P54">
        <v>45.371487763822351</v>
      </c>
      <c r="Q54">
        <v>45.65440890845526</v>
      </c>
      <c r="R54">
        <v>45.596995596995598</v>
      </c>
      <c r="S54">
        <v>45.532245532245533</v>
      </c>
      <c r="T54">
        <v>45.253205543323404</v>
      </c>
      <c r="U54">
        <v>45.175495402149977</v>
      </c>
      <c r="V54">
        <v>45.602901178603808</v>
      </c>
      <c r="W54">
        <v>45.62880455899495</v>
      </c>
      <c r="X54">
        <v>45.639999740951097</v>
      </c>
      <c r="Y54">
        <v>45.646866591889768</v>
      </c>
      <c r="Z54">
        <v>45.730560511424031</v>
      </c>
      <c r="AA54">
        <v>45.747620274937468</v>
      </c>
      <c r="AB54">
        <v>45.801959404830875</v>
      </c>
    </row>
    <row r="55" spans="1:28" x14ac:dyDescent="0.3">
      <c r="A55" t="s">
        <v>558</v>
      </c>
      <c r="B55" s="5" t="s">
        <v>559</v>
      </c>
      <c r="C55" t="s">
        <v>14</v>
      </c>
      <c r="D55" s="5" t="s">
        <v>163</v>
      </c>
      <c r="E55">
        <v>66.174999999999997</v>
      </c>
      <c r="F55">
        <v>66.900000000000006</v>
      </c>
      <c r="G55">
        <v>66.625</v>
      </c>
      <c r="H55">
        <v>66.45</v>
      </c>
      <c r="I55">
        <v>66.149999999999991</v>
      </c>
      <c r="J55">
        <v>67.674999999999997</v>
      </c>
      <c r="K55">
        <v>67.75</v>
      </c>
      <c r="L55">
        <v>66.574999999999989</v>
      </c>
      <c r="M55">
        <v>66.7</v>
      </c>
      <c r="N55">
        <v>65.849999999999994</v>
      </c>
      <c r="O55">
        <v>65.649999999999991</v>
      </c>
      <c r="P55">
        <v>67.25</v>
      </c>
      <c r="Q55">
        <v>65.600000000000009</v>
      </c>
      <c r="R55">
        <v>65.7</v>
      </c>
      <c r="S55">
        <v>66.315775000000002</v>
      </c>
      <c r="T55">
        <v>65.847475000000003</v>
      </c>
      <c r="U55">
        <v>65.627500000000012</v>
      </c>
      <c r="V55">
        <v>65.782499999999999</v>
      </c>
      <c r="W55">
        <v>65.8125</v>
      </c>
      <c r="X55">
        <v>65.649124999999998</v>
      </c>
      <c r="Y55">
        <v>65.499674999999996</v>
      </c>
      <c r="Z55">
        <v>65.45</v>
      </c>
      <c r="AA55">
        <v>65.600000000000009</v>
      </c>
      <c r="AB55">
        <v>65.525000000000006</v>
      </c>
    </row>
    <row r="56" spans="1:28" x14ac:dyDescent="0.3">
      <c r="A56" t="s">
        <v>558</v>
      </c>
      <c r="B56" s="5" t="s">
        <v>559</v>
      </c>
      <c r="C56" t="s">
        <v>164</v>
      </c>
      <c r="D56" s="5" t="s">
        <v>165</v>
      </c>
      <c r="E56">
        <v>69.094046591889551</v>
      </c>
      <c r="F56">
        <v>72.545297670405517</v>
      </c>
      <c r="G56">
        <v>73.40811044003452</v>
      </c>
      <c r="H56">
        <v>73.412424503882661</v>
      </c>
      <c r="I56">
        <v>73.412424503882661</v>
      </c>
      <c r="J56">
        <v>73.412424503882661</v>
      </c>
      <c r="K56">
        <v>73.425366695427101</v>
      </c>
      <c r="L56">
        <v>73.433994823123385</v>
      </c>
      <c r="M56">
        <v>73.421052631578945</v>
      </c>
      <c r="N56">
        <v>73.425366695427101</v>
      </c>
      <c r="O56">
        <v>73.438308886971527</v>
      </c>
      <c r="P56">
        <v>73.45987920621225</v>
      </c>
      <c r="Q56">
        <v>73.45987920621225</v>
      </c>
      <c r="R56">
        <v>73.45987920621225</v>
      </c>
      <c r="S56">
        <v>73.45987920621225</v>
      </c>
      <c r="T56">
        <v>73.45987920621225</v>
      </c>
      <c r="U56">
        <v>73.45987920621225</v>
      </c>
      <c r="V56">
        <v>73.45987920621225</v>
      </c>
      <c r="W56">
        <v>73.45987920621225</v>
      </c>
      <c r="X56">
        <v>73.45987920621225</v>
      </c>
      <c r="Y56">
        <v>73.503019844693711</v>
      </c>
      <c r="Z56">
        <v>73.503019844693711</v>
      </c>
      <c r="AA56">
        <v>73.503019844693711</v>
      </c>
      <c r="AB56">
        <v>73.507333908541852</v>
      </c>
    </row>
    <row r="57" spans="1:28" x14ac:dyDescent="0.3">
      <c r="A57" t="s">
        <v>558</v>
      </c>
      <c r="B57" s="5" t="s">
        <v>559</v>
      </c>
      <c r="C57" t="s">
        <v>166</v>
      </c>
      <c r="D57" s="5" t="s">
        <v>167</v>
      </c>
      <c r="E57">
        <v>28.000000000000004</v>
      </c>
      <c r="F57">
        <v>29.333333333333332</v>
      </c>
      <c r="G57">
        <v>29.333333333333332</v>
      </c>
      <c r="H57">
        <v>29.333333333333332</v>
      </c>
      <c r="I57">
        <v>29.333333333333332</v>
      </c>
      <c r="J57">
        <v>29.333333333333332</v>
      </c>
      <c r="K57">
        <v>29.333333333333332</v>
      </c>
      <c r="L57">
        <v>29.333333333333332</v>
      </c>
      <c r="M57">
        <v>29.333333333333332</v>
      </c>
      <c r="N57">
        <v>30.666666666666664</v>
      </c>
      <c r="O57">
        <v>33.333333333333329</v>
      </c>
      <c r="P57">
        <v>33.333333333333329</v>
      </c>
      <c r="Q57">
        <v>33.333333333333329</v>
      </c>
      <c r="R57">
        <v>33.333333333333329</v>
      </c>
      <c r="S57">
        <v>33.333333333333329</v>
      </c>
      <c r="T57">
        <v>33.333333333333329</v>
      </c>
      <c r="U57">
        <v>33.333333333333329</v>
      </c>
      <c r="V57">
        <v>33.333333333333329</v>
      </c>
      <c r="W57">
        <v>33.333333333333329</v>
      </c>
      <c r="X57">
        <v>33.333333333333329</v>
      </c>
      <c r="Y57">
        <v>33.333333333333329</v>
      </c>
      <c r="Z57">
        <v>33.333333333333329</v>
      </c>
      <c r="AA57">
        <v>33.333333333333329</v>
      </c>
      <c r="AB57">
        <v>33.333333333333329</v>
      </c>
    </row>
    <row r="58" spans="1:28" x14ac:dyDescent="0.3">
      <c r="A58" t="s">
        <v>558</v>
      </c>
      <c r="B58" s="5" t="s">
        <v>559</v>
      </c>
      <c r="C58" t="s">
        <v>168</v>
      </c>
      <c r="D58" s="5" t="s">
        <v>169</v>
      </c>
      <c r="E58">
        <v>52.059614986545235</v>
      </c>
      <c r="F58">
        <v>52.059614986545235</v>
      </c>
      <c r="G58">
        <v>52.059614986545235</v>
      </c>
      <c r="H58">
        <v>49.030830055889048</v>
      </c>
      <c r="I58">
        <v>48.082823432001661</v>
      </c>
      <c r="J58">
        <v>48.29080521631132</v>
      </c>
      <c r="K58">
        <v>47.623065617884492</v>
      </c>
      <c r="L58">
        <v>47.89579176154006</v>
      </c>
      <c r="M58">
        <v>46.982993169116121</v>
      </c>
      <c r="N58">
        <v>48.122601945766917</v>
      </c>
      <c r="O58">
        <v>47.562933140136614</v>
      </c>
      <c r="P58">
        <v>48.016127095839373</v>
      </c>
      <c r="Q58">
        <v>47.674021941626989</v>
      </c>
      <c r="R58">
        <v>50.075210101428269</v>
      </c>
      <c r="S58">
        <v>50.270329124404888</v>
      </c>
      <c r="T58">
        <v>50.096485199751605</v>
      </c>
      <c r="U58">
        <v>51.82594493893604</v>
      </c>
      <c r="V58">
        <v>52.386408611053611</v>
      </c>
      <c r="W58">
        <v>53.366029807493277</v>
      </c>
      <c r="X58">
        <v>53.701218431794494</v>
      </c>
      <c r="Y58">
        <v>52.324392163827483</v>
      </c>
      <c r="Z58">
        <v>52.410729735370879</v>
      </c>
      <c r="AA58">
        <v>54.694124364444853</v>
      </c>
      <c r="AB58">
        <v>55.353080894194406</v>
      </c>
    </row>
    <row r="59" spans="1:28" x14ac:dyDescent="0.3">
      <c r="A59" t="s">
        <v>558</v>
      </c>
      <c r="B59" s="5" t="s">
        <v>559</v>
      </c>
      <c r="C59" t="s">
        <v>170</v>
      </c>
      <c r="D59" s="5" t="s">
        <v>171</v>
      </c>
      <c r="E59">
        <v>32.477049444354968</v>
      </c>
      <c r="F59">
        <v>31.345627315187631</v>
      </c>
      <c r="G59">
        <v>30.15783540022548</v>
      </c>
      <c r="H59">
        <v>29.191496215171526</v>
      </c>
      <c r="I59">
        <v>30.306812691254631</v>
      </c>
      <c r="J59">
        <v>30.198099532936062</v>
      </c>
      <c r="K59">
        <v>29.972620389756806</v>
      </c>
      <c r="L59">
        <v>29.843775165082942</v>
      </c>
      <c r="M59">
        <v>29.976646803027862</v>
      </c>
      <c r="N59">
        <v>30.33660814946046</v>
      </c>
      <c r="O59">
        <v>30.188838782412624</v>
      </c>
      <c r="P59">
        <v>29.578434530520216</v>
      </c>
      <c r="Q59">
        <v>30.225881784506363</v>
      </c>
      <c r="R59">
        <v>30.250442905459817</v>
      </c>
      <c r="S59">
        <v>22.044612659043324</v>
      </c>
      <c r="T59">
        <v>23.308906426155581</v>
      </c>
      <c r="U59">
        <v>22.209695603156707</v>
      </c>
      <c r="V59">
        <v>22.507650185215013</v>
      </c>
      <c r="W59">
        <v>21.935899500724755</v>
      </c>
      <c r="X59">
        <v>21.460782734739894</v>
      </c>
      <c r="Y59">
        <v>21.823159929135127</v>
      </c>
      <c r="Z59">
        <v>22.024480592688032</v>
      </c>
      <c r="AA59">
        <v>21.53325817361894</v>
      </c>
      <c r="AB59">
        <v>21.541311000161055</v>
      </c>
    </row>
    <row r="60" spans="1:28" x14ac:dyDescent="0.3">
      <c r="A60" t="s">
        <v>558</v>
      </c>
      <c r="B60" s="5" t="s">
        <v>559</v>
      </c>
      <c r="C60" t="s">
        <v>15</v>
      </c>
      <c r="D60" s="5" t="s">
        <v>172</v>
      </c>
      <c r="E60">
        <v>3.3060424933447186</v>
      </c>
      <c r="F60">
        <v>3.3532573208096843</v>
      </c>
      <c r="G60">
        <v>3.4396504093625997</v>
      </c>
      <c r="H60">
        <v>3.4245818474056957</v>
      </c>
      <c r="I60">
        <v>3.4938972324074538</v>
      </c>
      <c r="J60">
        <v>3.5391029182781657</v>
      </c>
      <c r="K60">
        <v>3.5491486262494347</v>
      </c>
      <c r="L60">
        <v>3.5541714802350697</v>
      </c>
      <c r="M60">
        <v>3.5581897634235777</v>
      </c>
      <c r="N60">
        <v>3.7058616706012355</v>
      </c>
      <c r="O60">
        <v>3.6877793962529508</v>
      </c>
      <c r="P60">
        <v>3.6365462855994775</v>
      </c>
      <c r="Q60">
        <v>3.7128936661811238</v>
      </c>
      <c r="R60">
        <v>3.7480235069566525</v>
      </c>
      <c r="S60">
        <v>3.7321713797779896</v>
      </c>
      <c r="T60">
        <v>3.8071998593600886</v>
      </c>
      <c r="U60">
        <v>3.7508316841629412</v>
      </c>
      <c r="V60">
        <v>3.8545068059671506</v>
      </c>
      <c r="W60">
        <v>3.880656989301321</v>
      </c>
      <c r="X60">
        <v>3.9399266663318095</v>
      </c>
      <c r="Y60">
        <v>3.9891506353910291</v>
      </c>
      <c r="Z60">
        <v>4.049424883218645</v>
      </c>
      <c r="AA60">
        <v>4.0765482947410714</v>
      </c>
      <c r="AB60">
        <v>4.0765482947410714</v>
      </c>
    </row>
    <row r="61" spans="1:28" x14ac:dyDescent="0.3">
      <c r="A61" t="s">
        <v>558</v>
      </c>
      <c r="B61" s="5" t="s">
        <v>559</v>
      </c>
      <c r="C61" t="s">
        <v>173</v>
      </c>
      <c r="D61" s="5" t="s">
        <v>174</v>
      </c>
      <c r="E61">
        <v>62.099420849420852</v>
      </c>
      <c r="F61">
        <v>61.665057915057922</v>
      </c>
      <c r="G61">
        <v>60.989382239382238</v>
      </c>
      <c r="H61">
        <v>60.555019305019307</v>
      </c>
      <c r="I61">
        <v>61.809845559845556</v>
      </c>
      <c r="J61">
        <v>58.812741312741309</v>
      </c>
      <c r="K61">
        <v>58.730694980694977</v>
      </c>
      <c r="L61">
        <v>59.908301158301157</v>
      </c>
      <c r="M61">
        <v>59.724903474903478</v>
      </c>
      <c r="N61">
        <v>59.541505791505791</v>
      </c>
      <c r="O61">
        <v>59.358108108108112</v>
      </c>
      <c r="P61">
        <v>59.16988416988417</v>
      </c>
      <c r="Q61">
        <v>58.986486486486491</v>
      </c>
      <c r="R61">
        <v>58.803088803088798</v>
      </c>
      <c r="S61">
        <v>58.600386100386103</v>
      </c>
      <c r="T61">
        <v>59.025096525096522</v>
      </c>
      <c r="U61">
        <v>58.595559845559841</v>
      </c>
      <c r="V61">
        <v>58.166023166023159</v>
      </c>
      <c r="W61">
        <v>57.70752895752895</v>
      </c>
      <c r="X61">
        <v>57.70752895752895</v>
      </c>
      <c r="Y61">
        <v>57.70752895752895</v>
      </c>
      <c r="Z61">
        <v>57.70752895752895</v>
      </c>
      <c r="AA61">
        <v>57.70752895752895</v>
      </c>
      <c r="AB61">
        <v>57.70752895752895</v>
      </c>
    </row>
    <row r="62" spans="1:28" x14ac:dyDescent="0.3">
      <c r="A62" t="s">
        <v>558</v>
      </c>
      <c r="B62" s="5" t="s">
        <v>559</v>
      </c>
      <c r="C62" t="s">
        <v>175</v>
      </c>
      <c r="D62" s="5" t="s">
        <v>176</v>
      </c>
      <c r="E62">
        <v>3.6666666666666665</v>
      </c>
      <c r="F62">
        <v>3.6666666666666665</v>
      </c>
      <c r="G62">
        <v>3.6666666666666665</v>
      </c>
      <c r="H62">
        <v>3.6666666666666665</v>
      </c>
      <c r="I62">
        <v>3.6666666666666665</v>
      </c>
      <c r="J62">
        <v>3.6713012477718361</v>
      </c>
      <c r="K62">
        <v>3.6759358288770057</v>
      </c>
      <c r="L62">
        <v>3.6805704099821748</v>
      </c>
      <c r="M62">
        <v>3.6852049910873439</v>
      </c>
      <c r="N62">
        <v>3.689839572192513</v>
      </c>
      <c r="O62">
        <v>3.6944741532976826</v>
      </c>
      <c r="P62">
        <v>3.6991087344028521</v>
      </c>
      <c r="Q62">
        <v>3.7037433155080213</v>
      </c>
      <c r="R62">
        <v>3.7083778966131908</v>
      </c>
      <c r="S62">
        <v>3.7130124777183604</v>
      </c>
      <c r="T62">
        <v>3.7176470588235295</v>
      </c>
      <c r="U62">
        <v>3.7222816399286982</v>
      </c>
      <c r="V62">
        <v>3.7269162210338678</v>
      </c>
      <c r="W62">
        <v>3.7315508021390373</v>
      </c>
      <c r="X62">
        <v>3.7361853832442069</v>
      </c>
      <c r="Y62">
        <v>3.7404634581105172</v>
      </c>
      <c r="Z62">
        <v>3.7404634581105172</v>
      </c>
      <c r="AA62">
        <v>3.7404634581105172</v>
      </c>
      <c r="AB62">
        <v>3.7333333333333338</v>
      </c>
    </row>
    <row r="63" spans="1:28" x14ac:dyDescent="0.3">
      <c r="A63" t="s">
        <v>558</v>
      </c>
      <c r="B63" s="5" t="s">
        <v>559</v>
      </c>
      <c r="C63" t="s">
        <v>177</v>
      </c>
      <c r="D63" s="5" t="s">
        <v>178</v>
      </c>
      <c r="E63">
        <v>74.554455445544548</v>
      </c>
      <c r="F63">
        <v>74.574257425742573</v>
      </c>
      <c r="G63">
        <v>74.574257425742573</v>
      </c>
      <c r="H63">
        <v>74.920792079207928</v>
      </c>
      <c r="I63">
        <v>61.992372871724342</v>
      </c>
      <c r="J63">
        <v>62.152280424346884</v>
      </c>
      <c r="K63">
        <v>62.576427722478115</v>
      </c>
      <c r="L63">
        <v>62.561653840618781</v>
      </c>
      <c r="M63">
        <v>62.548791898831148</v>
      </c>
      <c r="N63">
        <v>62.707735894575414</v>
      </c>
      <c r="O63">
        <v>62.71006104872351</v>
      </c>
      <c r="P63">
        <v>62.697690869315949</v>
      </c>
      <c r="Q63">
        <v>62.701247715187016</v>
      </c>
      <c r="R63">
        <v>62.7182592530622</v>
      </c>
      <c r="S63">
        <v>62.725043754477227</v>
      </c>
      <c r="T63">
        <v>62.697801674845586</v>
      </c>
      <c r="U63">
        <v>62.703661463526416</v>
      </c>
      <c r="V63">
        <v>62.70688595366002</v>
      </c>
      <c r="W63">
        <v>62.703529404263449</v>
      </c>
      <c r="X63">
        <v>62.702062807017732</v>
      </c>
      <c r="Y63">
        <v>62.722637168983695</v>
      </c>
      <c r="Z63">
        <v>62.651533031518866</v>
      </c>
      <c r="AA63">
        <v>62.651533031518866</v>
      </c>
      <c r="AB63">
        <v>62.651533031518866</v>
      </c>
    </row>
    <row r="64" spans="1:28" x14ac:dyDescent="0.3">
      <c r="A64" t="s">
        <v>558</v>
      </c>
      <c r="B64" s="5" t="s">
        <v>559</v>
      </c>
      <c r="C64" t="s">
        <v>16</v>
      </c>
      <c r="D64" s="5" t="s">
        <v>179</v>
      </c>
      <c r="E64">
        <v>23.260202878037273</v>
      </c>
      <c r="F64">
        <v>20.995517810804433</v>
      </c>
      <c r="G64">
        <v>16.470865770228826</v>
      </c>
      <c r="H64">
        <v>19.549422033498466</v>
      </c>
      <c r="I64">
        <v>18.174097664543524</v>
      </c>
      <c r="J64">
        <v>20.804435008256664</v>
      </c>
      <c r="K64">
        <v>21.196036801132344</v>
      </c>
      <c r="L64">
        <v>21.57584335928285</v>
      </c>
      <c r="M64">
        <v>21.391837697570182</v>
      </c>
      <c r="N64">
        <v>21.981599433828734</v>
      </c>
      <c r="O64">
        <v>22.382637414484549</v>
      </c>
      <c r="P64">
        <v>22.31658410002359</v>
      </c>
      <c r="Q64">
        <v>22.550129747581977</v>
      </c>
      <c r="R64">
        <v>22.199217851391765</v>
      </c>
      <c r="S64">
        <v>22.406257188865887</v>
      </c>
      <c r="T64">
        <v>22.843340234644582</v>
      </c>
      <c r="U64">
        <v>23.07338394294916</v>
      </c>
      <c r="V64">
        <v>22.970760233918128</v>
      </c>
      <c r="W64">
        <v>23.040935672514621</v>
      </c>
      <c r="X64">
        <v>23.120467836257312</v>
      </c>
      <c r="Y64">
        <v>23.040935672514621</v>
      </c>
      <c r="Z64">
        <v>23.087719298245617</v>
      </c>
      <c r="AA64">
        <v>23.07512286449801</v>
      </c>
      <c r="AB64">
        <v>23.12192838754973</v>
      </c>
    </row>
    <row r="65" spans="1:28" x14ac:dyDescent="0.3">
      <c r="A65" t="s">
        <v>558</v>
      </c>
      <c r="B65" s="5" t="s">
        <v>559</v>
      </c>
      <c r="C65" t="s">
        <v>180</v>
      </c>
      <c r="D65" s="5" t="s">
        <v>181</v>
      </c>
      <c r="E65">
        <v>71.104651162790702</v>
      </c>
      <c r="F65">
        <v>71.16279069767441</v>
      </c>
      <c r="G65">
        <v>71.16279069767441</v>
      </c>
      <c r="H65">
        <v>71.16279069767441</v>
      </c>
      <c r="I65">
        <v>71.16279069767441</v>
      </c>
      <c r="J65">
        <v>71.16279069767441</v>
      </c>
      <c r="K65">
        <v>71.104651162790702</v>
      </c>
      <c r="L65">
        <v>71.104651162790702</v>
      </c>
      <c r="M65">
        <v>71.104651162790702</v>
      </c>
      <c r="N65">
        <v>71.16279069767441</v>
      </c>
      <c r="O65">
        <v>70.990889534883735</v>
      </c>
      <c r="P65">
        <v>70.988372093023258</v>
      </c>
      <c r="Q65">
        <v>70.930232558139537</v>
      </c>
      <c r="R65">
        <v>70.857354651162794</v>
      </c>
      <c r="S65">
        <v>70.697674418604649</v>
      </c>
      <c r="T65">
        <v>70.465116279069775</v>
      </c>
      <c r="U65">
        <v>70.232558139534888</v>
      </c>
      <c r="V65">
        <v>70</v>
      </c>
      <c r="W65">
        <v>69.825581395348834</v>
      </c>
      <c r="X65">
        <v>69.593023255813961</v>
      </c>
      <c r="Y65">
        <v>69.476744186046517</v>
      </c>
      <c r="Z65">
        <v>69.476744186046517</v>
      </c>
      <c r="AA65">
        <v>69.476744186046517</v>
      </c>
      <c r="AB65">
        <v>69.476744186046517</v>
      </c>
    </row>
    <row r="66" spans="1:28" x14ac:dyDescent="0.3">
      <c r="A66" t="s">
        <v>558</v>
      </c>
      <c r="B66" s="5" t="s">
        <v>559</v>
      </c>
      <c r="C66" t="s">
        <v>17</v>
      </c>
      <c r="D66" s="5" t="s">
        <v>182</v>
      </c>
      <c r="E66">
        <v>30.533999999999999</v>
      </c>
      <c r="F66">
        <v>30.558999999999997</v>
      </c>
      <c r="G66">
        <v>30.497999999999998</v>
      </c>
      <c r="H66">
        <v>31.607000000000003</v>
      </c>
      <c r="I66">
        <v>29.329327653007851</v>
      </c>
      <c r="J66">
        <v>29.76342898519032</v>
      </c>
      <c r="K66">
        <v>30.319510705705021</v>
      </c>
      <c r="L66">
        <v>31.079240056450679</v>
      </c>
      <c r="M66">
        <v>30.581224016304553</v>
      </c>
      <c r="N66">
        <v>30.998895434527689</v>
      </c>
      <c r="O66">
        <v>31.617860108048141</v>
      </c>
      <c r="P66">
        <v>32.186781367053015</v>
      </c>
      <c r="Q66">
        <v>32.330833529966498</v>
      </c>
      <c r="R66">
        <v>32.591401116508194</v>
      </c>
      <c r="S66">
        <v>32.746114154920576</v>
      </c>
      <c r="T66">
        <v>32.96711040837387</v>
      </c>
      <c r="U66">
        <v>33.108247379289594</v>
      </c>
      <c r="V66">
        <v>33.263928812192042</v>
      </c>
      <c r="W66">
        <v>33.585235149811076</v>
      </c>
      <c r="X66">
        <v>33.839256355094747</v>
      </c>
      <c r="Y66">
        <v>34.092747698550575</v>
      </c>
      <c r="Z66">
        <v>34.355470633021227</v>
      </c>
      <c r="AA66">
        <v>34.077956485199628</v>
      </c>
      <c r="AB66">
        <v>34.077956485199628</v>
      </c>
    </row>
    <row r="67" spans="1:28" x14ac:dyDescent="0.3">
      <c r="A67" t="s">
        <v>558</v>
      </c>
      <c r="B67" s="5" t="s">
        <v>559</v>
      </c>
      <c r="C67" t="s">
        <v>183</v>
      </c>
      <c r="D67" s="5" t="s">
        <v>184</v>
      </c>
      <c r="E67">
        <v>69.121060171919765</v>
      </c>
      <c r="F67">
        <v>69.121060171919765</v>
      </c>
      <c r="G67">
        <v>69.154011461318049</v>
      </c>
      <c r="H67">
        <v>69.154011461318049</v>
      </c>
      <c r="I67">
        <v>69.154011461318049</v>
      </c>
      <c r="J67">
        <v>69.154011461318049</v>
      </c>
      <c r="K67">
        <v>69.154011461318049</v>
      </c>
      <c r="L67">
        <v>69.154011461318049</v>
      </c>
      <c r="M67">
        <v>69.154011461318049</v>
      </c>
      <c r="N67">
        <v>69.061604584527231</v>
      </c>
      <c r="O67">
        <v>69.050859598853862</v>
      </c>
      <c r="P67">
        <v>69.056590257879662</v>
      </c>
      <c r="Q67">
        <v>69.056590257879662</v>
      </c>
      <c r="R67">
        <v>69.056590257879662</v>
      </c>
      <c r="S67">
        <v>69.067335243553003</v>
      </c>
      <c r="T67">
        <v>69.067335243553003</v>
      </c>
      <c r="U67">
        <v>69.01862464183381</v>
      </c>
      <c r="V67">
        <v>69.01862464183381</v>
      </c>
      <c r="W67">
        <v>69.007879656160455</v>
      </c>
      <c r="X67">
        <v>69.007879656160455</v>
      </c>
      <c r="Y67">
        <v>70.329428989751094</v>
      </c>
      <c r="Z67">
        <v>70.12408759124088</v>
      </c>
      <c r="AA67">
        <v>70.072992700729927</v>
      </c>
      <c r="AB67">
        <v>70.12408759124088</v>
      </c>
    </row>
    <row r="68" spans="1:28" x14ac:dyDescent="0.3">
      <c r="A68" t="s">
        <v>558</v>
      </c>
      <c r="B68" s="5" t="s">
        <v>559</v>
      </c>
      <c r="C68" t="s">
        <v>185</v>
      </c>
      <c r="D68" s="5" t="s">
        <v>186</v>
      </c>
      <c r="E68">
        <v>20.350301039956211</v>
      </c>
      <c r="F68">
        <v>20.032840722495894</v>
      </c>
      <c r="G68">
        <v>19.715380405035575</v>
      </c>
      <c r="H68">
        <v>19.397920087575258</v>
      </c>
      <c r="I68">
        <v>19.080459770114942</v>
      </c>
      <c r="J68">
        <v>18.762999452654626</v>
      </c>
      <c r="K68">
        <v>18.445539135194309</v>
      </c>
      <c r="L68">
        <v>18.128078817733989</v>
      </c>
      <c r="M68">
        <v>17.810618500273673</v>
      </c>
      <c r="N68">
        <v>17.504105090311985</v>
      </c>
      <c r="O68">
        <v>17.465790914066776</v>
      </c>
      <c r="P68">
        <v>17.427476737821564</v>
      </c>
      <c r="Q68">
        <v>17.389162561576356</v>
      </c>
      <c r="R68">
        <v>17.350848385331144</v>
      </c>
      <c r="S68">
        <v>17.312534209085932</v>
      </c>
      <c r="T68">
        <v>17.274220032840724</v>
      </c>
      <c r="U68">
        <v>17.235905856595512</v>
      </c>
      <c r="V68">
        <v>17.197591680350303</v>
      </c>
      <c r="W68">
        <v>17.159277504105091</v>
      </c>
      <c r="X68">
        <v>17.120963327859879</v>
      </c>
      <c r="Y68">
        <v>17.055281882868091</v>
      </c>
      <c r="Z68">
        <v>17.055281882868091</v>
      </c>
      <c r="AA68">
        <v>17.055281882868091</v>
      </c>
      <c r="AB68">
        <v>17.055281882868091</v>
      </c>
    </row>
    <row r="69" spans="1:28" x14ac:dyDescent="0.3">
      <c r="A69" t="s">
        <v>558</v>
      </c>
      <c r="B69" s="5" t="s">
        <v>559</v>
      </c>
      <c r="C69" t="s">
        <v>18</v>
      </c>
      <c r="D69" s="5" t="s">
        <v>187</v>
      </c>
      <c r="E69">
        <v>7.2819199579762959</v>
      </c>
      <c r="F69">
        <v>7.2950523654749011</v>
      </c>
      <c r="G69">
        <v>7.3410157917200163</v>
      </c>
      <c r="H69">
        <v>7.3738468104665289</v>
      </c>
      <c r="I69">
        <v>7.3968285235890869</v>
      </c>
      <c r="J69">
        <v>7.4651170425818316</v>
      </c>
      <c r="K69">
        <v>7.5656834697971131</v>
      </c>
      <c r="L69">
        <v>7.5467789141372617</v>
      </c>
      <c r="M69">
        <v>7.5564330371832842</v>
      </c>
      <c r="N69">
        <v>7.5567620927936829</v>
      </c>
      <c r="O69">
        <v>7.5416255347153669</v>
      </c>
      <c r="P69">
        <v>7.52443318305966</v>
      </c>
      <c r="Q69">
        <v>7.5194971864819511</v>
      </c>
      <c r="R69">
        <v>7.4319655138372438</v>
      </c>
      <c r="S69">
        <v>7.4602652275494421</v>
      </c>
      <c r="T69">
        <v>7.4805040966075484</v>
      </c>
      <c r="U69">
        <v>7.4857688131354685</v>
      </c>
      <c r="V69">
        <v>7.4690708081073964</v>
      </c>
      <c r="W69">
        <v>7.4756514872334829</v>
      </c>
      <c r="X69">
        <v>7.4819859836146492</v>
      </c>
      <c r="Y69">
        <v>7.4685793248667505</v>
      </c>
      <c r="Z69">
        <v>7.4618100416617734</v>
      </c>
      <c r="AA69">
        <v>7.4552299622599545</v>
      </c>
      <c r="AB69">
        <v>7.4417686537702323</v>
      </c>
    </row>
    <row r="70" spans="1:28" x14ac:dyDescent="0.3">
      <c r="A70" t="s">
        <v>558</v>
      </c>
      <c r="B70" s="5" t="s">
        <v>559</v>
      </c>
      <c r="C70" t="s">
        <v>19</v>
      </c>
      <c r="D70" s="5" t="s">
        <v>188</v>
      </c>
      <c r="E70">
        <v>55.30642916782633</v>
      </c>
      <c r="F70">
        <v>55.131830410984314</v>
      </c>
      <c r="G70">
        <v>54.941460246776138</v>
      </c>
      <c r="H70">
        <v>54.800259764356618</v>
      </c>
      <c r="I70">
        <v>54.658873735968086</v>
      </c>
      <c r="J70">
        <v>54.532702477038683</v>
      </c>
      <c r="K70">
        <v>54.388533259114944</v>
      </c>
      <c r="L70">
        <v>54.190741256146211</v>
      </c>
      <c r="M70">
        <v>54.012617125892938</v>
      </c>
      <c r="N70">
        <v>53.845254661842468</v>
      </c>
      <c r="O70">
        <v>53.671583634845533</v>
      </c>
      <c r="P70">
        <v>53.583078207625945</v>
      </c>
      <c r="Q70">
        <v>53.520363670099272</v>
      </c>
      <c r="R70">
        <v>53.388440486130442</v>
      </c>
      <c r="S70">
        <v>53.375081176361441</v>
      </c>
      <c r="T70">
        <v>53.301604972631964</v>
      </c>
      <c r="U70">
        <v>53.285130346043232</v>
      </c>
      <c r="V70">
        <v>53.247052602282217</v>
      </c>
      <c r="W70">
        <v>53.177660265330736</v>
      </c>
      <c r="X70">
        <v>52.915574914184994</v>
      </c>
      <c r="Y70">
        <v>52.729670655905004</v>
      </c>
      <c r="Z70">
        <v>52.741727247425551</v>
      </c>
      <c r="AA70">
        <v>52.673889229056506</v>
      </c>
      <c r="AB70">
        <v>52.50439743946562</v>
      </c>
    </row>
    <row r="71" spans="1:28" x14ac:dyDescent="0.3">
      <c r="A71" t="s">
        <v>558</v>
      </c>
      <c r="B71" s="5" t="s">
        <v>559</v>
      </c>
      <c r="C71" t="s">
        <v>189</v>
      </c>
      <c r="D71" s="5" t="s">
        <v>190</v>
      </c>
      <c r="E71">
        <v>9.5709593777009516</v>
      </c>
      <c r="F71">
        <v>9.4926822241428983</v>
      </c>
      <c r="G71">
        <v>9.9906367041198507</v>
      </c>
      <c r="H71">
        <v>9.9123595505617992</v>
      </c>
      <c r="I71">
        <v>9.8341112071449146</v>
      </c>
      <c r="J71">
        <v>9.7558340535868613</v>
      </c>
      <c r="K71">
        <v>9.6775857101699803</v>
      </c>
      <c r="L71">
        <v>9.5993085566119269</v>
      </c>
      <c r="M71">
        <v>9.5210602131950441</v>
      </c>
      <c r="N71">
        <v>9.2987323537885338</v>
      </c>
      <c r="O71">
        <v>9.220484010371651</v>
      </c>
      <c r="P71">
        <v>9.4303082685105153</v>
      </c>
      <c r="Q71">
        <v>9.3520599250936325</v>
      </c>
      <c r="R71">
        <v>9.210746182656294</v>
      </c>
      <c r="S71">
        <v>9.0694036300777885</v>
      </c>
      <c r="T71">
        <v>8.92808988764045</v>
      </c>
      <c r="U71">
        <v>8.7867473350619409</v>
      </c>
      <c r="V71">
        <v>8.93353500432152</v>
      </c>
      <c r="W71">
        <v>9.0802938634399304</v>
      </c>
      <c r="X71">
        <v>8.9389801210025936</v>
      </c>
      <c r="Y71">
        <v>9.0857389801210022</v>
      </c>
      <c r="Z71">
        <v>8.9444252376836655</v>
      </c>
      <c r="AA71">
        <v>8.8030826851051565</v>
      </c>
      <c r="AB71">
        <v>8.6617689426678197</v>
      </c>
    </row>
    <row r="72" spans="1:28" x14ac:dyDescent="0.3">
      <c r="A72" t="s">
        <v>558</v>
      </c>
      <c r="B72" s="5" t="s">
        <v>559</v>
      </c>
      <c r="C72" t="s">
        <v>191</v>
      </c>
      <c r="D72" s="5" t="s">
        <v>192</v>
      </c>
      <c r="E72">
        <v>8.0218884619862614</v>
      </c>
      <c r="F72">
        <v>8.0415221019132996</v>
      </c>
      <c r="G72">
        <v>8.0611557418403379</v>
      </c>
      <c r="H72">
        <v>8.0807893817673762</v>
      </c>
      <c r="I72">
        <v>8.1004230216944162</v>
      </c>
      <c r="J72">
        <v>8.1200566616214545</v>
      </c>
      <c r="K72">
        <v>8.1396903015484927</v>
      </c>
      <c r="L72">
        <v>8.159323941475531</v>
      </c>
      <c r="M72">
        <v>8.1789575814025692</v>
      </c>
      <c r="N72">
        <v>8.1985912213296075</v>
      </c>
      <c r="O72">
        <v>8.2182248612566458</v>
      </c>
      <c r="P72">
        <v>8.2643381068808939</v>
      </c>
      <c r="Q72">
        <v>8.310451352505142</v>
      </c>
      <c r="R72">
        <v>8.3565645981293901</v>
      </c>
      <c r="S72">
        <v>8.3565645981293901</v>
      </c>
      <c r="T72">
        <v>8.3565645981293901</v>
      </c>
      <c r="U72">
        <v>8.3565645981293901</v>
      </c>
      <c r="V72">
        <v>8.3565645981293901</v>
      </c>
      <c r="W72">
        <v>8.3565645981293901</v>
      </c>
      <c r="X72">
        <v>8.3565645981293901</v>
      </c>
      <c r="Y72">
        <v>8.3565645981293901</v>
      </c>
      <c r="Z72">
        <v>8.3565645981293901</v>
      </c>
      <c r="AA72">
        <v>8.3565645981293901</v>
      </c>
      <c r="AB72">
        <v>8.3565645981293901</v>
      </c>
    </row>
    <row r="73" spans="1:28" x14ac:dyDescent="0.3">
      <c r="A73" t="s">
        <v>558</v>
      </c>
      <c r="B73" s="5" t="s">
        <v>559</v>
      </c>
      <c r="C73" t="s">
        <v>193</v>
      </c>
      <c r="D73" s="5" t="s">
        <v>194</v>
      </c>
      <c r="E73">
        <v>50</v>
      </c>
      <c r="F73">
        <v>47.826086956521742</v>
      </c>
      <c r="G73">
        <v>48.51778656126482</v>
      </c>
      <c r="H73">
        <v>46.541501976284586</v>
      </c>
      <c r="I73">
        <v>47.233201581027664</v>
      </c>
      <c r="J73">
        <v>47.92490118577075</v>
      </c>
      <c r="K73">
        <v>49.011857707509883</v>
      </c>
      <c r="L73">
        <v>49.011857707509883</v>
      </c>
      <c r="M73">
        <v>55.928853754940711</v>
      </c>
      <c r="N73">
        <v>61.462450592885375</v>
      </c>
      <c r="O73">
        <v>63.636363636363633</v>
      </c>
      <c r="P73">
        <v>63.636363636363633</v>
      </c>
      <c r="Q73">
        <v>63.636363636363633</v>
      </c>
      <c r="R73">
        <v>63.636363636363633</v>
      </c>
      <c r="S73">
        <v>63.636363636363633</v>
      </c>
      <c r="T73">
        <v>63.636363636363633</v>
      </c>
      <c r="U73">
        <v>63.636363636363633</v>
      </c>
      <c r="V73">
        <v>62.648221343873523</v>
      </c>
      <c r="W73">
        <v>62.648221343873523</v>
      </c>
      <c r="X73">
        <v>62.648221343873523</v>
      </c>
      <c r="Y73">
        <v>62.648221343873523</v>
      </c>
      <c r="Z73">
        <v>62.648221343873523</v>
      </c>
      <c r="AA73">
        <v>62.648221343873523</v>
      </c>
      <c r="AB73">
        <v>62.648221343873523</v>
      </c>
    </row>
    <row r="74" spans="1:28" x14ac:dyDescent="0.3">
      <c r="A74" t="s">
        <v>558</v>
      </c>
      <c r="B74" s="5" t="s">
        <v>559</v>
      </c>
      <c r="C74" t="s">
        <v>195</v>
      </c>
      <c r="D74" s="5" t="s">
        <v>196</v>
      </c>
      <c r="E74">
        <v>43.171679378327816</v>
      </c>
      <c r="F74">
        <v>43.214851057706142</v>
      </c>
      <c r="G74">
        <v>43.229241617498921</v>
      </c>
      <c r="H74">
        <v>43.258022737084474</v>
      </c>
      <c r="I74">
        <v>35.86127500359764</v>
      </c>
      <c r="J74">
        <v>36.264210677795369</v>
      </c>
      <c r="K74">
        <v>36.235429558209816</v>
      </c>
      <c r="L74">
        <v>36.221038998417036</v>
      </c>
      <c r="M74">
        <v>36.177867319038711</v>
      </c>
      <c r="N74">
        <v>35.947618362354291</v>
      </c>
      <c r="O74">
        <v>35.400777090228807</v>
      </c>
      <c r="P74">
        <v>35.147503237875952</v>
      </c>
      <c r="Q74">
        <v>35.041013095409411</v>
      </c>
      <c r="R74">
        <v>35.776370700820259</v>
      </c>
      <c r="S74">
        <v>34.767592459346666</v>
      </c>
      <c r="T74">
        <v>34.797812634911494</v>
      </c>
      <c r="U74">
        <v>34.451000143905596</v>
      </c>
      <c r="V74">
        <v>34.318606993812061</v>
      </c>
      <c r="W74">
        <v>34.166067060008636</v>
      </c>
      <c r="X74">
        <v>34.143042164340194</v>
      </c>
      <c r="Y74">
        <v>34.219312131241907</v>
      </c>
      <c r="Z74">
        <v>34.248093250827452</v>
      </c>
      <c r="AA74">
        <v>34.305655489998557</v>
      </c>
      <c r="AB74">
        <v>34.132968772485249</v>
      </c>
    </row>
    <row r="75" spans="1:28" x14ac:dyDescent="0.3">
      <c r="A75" t="s">
        <v>558</v>
      </c>
      <c r="B75" s="5" t="s">
        <v>559</v>
      </c>
      <c r="C75" t="s">
        <v>20</v>
      </c>
      <c r="D75" s="5" t="s">
        <v>197</v>
      </c>
      <c r="E75">
        <v>48.912451640636192</v>
      </c>
      <c r="F75">
        <v>48.82201203783319</v>
      </c>
      <c r="G75">
        <v>48.635555810353722</v>
      </c>
      <c r="H75">
        <v>48.740001720134167</v>
      </c>
      <c r="I75">
        <v>48.779998279668554</v>
      </c>
      <c r="J75">
        <v>48.833008372519785</v>
      </c>
      <c r="K75">
        <v>48.594861206698788</v>
      </c>
      <c r="L75">
        <v>48.613301976080535</v>
      </c>
      <c r="M75">
        <v>48.535696870607808</v>
      </c>
      <c r="N75">
        <v>48.438082671179828</v>
      </c>
      <c r="O75">
        <v>47.910032418165649</v>
      </c>
      <c r="P75">
        <v>47.965916915308696</v>
      </c>
      <c r="Q75">
        <v>47.810868193033798</v>
      </c>
      <c r="R75">
        <v>47.858862646182068</v>
      </c>
      <c r="S75">
        <v>47.936371453138435</v>
      </c>
      <c r="T75">
        <v>47.959066674310613</v>
      </c>
      <c r="U75">
        <v>47.684337073505837</v>
      </c>
      <c r="V75">
        <v>47.763116466783067</v>
      </c>
      <c r="W75">
        <v>47.641536435972291</v>
      </c>
      <c r="X75">
        <v>47.700277626720855</v>
      </c>
      <c r="Y75">
        <v>47.497066315578579</v>
      </c>
      <c r="Z75">
        <v>47.485617791007186</v>
      </c>
      <c r="AA75">
        <v>47.501144950767113</v>
      </c>
      <c r="AB75">
        <v>47.465872993160289</v>
      </c>
    </row>
    <row r="76" spans="1:28" x14ac:dyDescent="0.3">
      <c r="A76" t="s">
        <v>558</v>
      </c>
      <c r="B76" s="5" t="s">
        <v>559</v>
      </c>
      <c r="C76" t="s">
        <v>198</v>
      </c>
      <c r="D76" s="5" t="s">
        <v>199</v>
      </c>
      <c r="E76">
        <v>56.102312120945761</v>
      </c>
      <c r="F76">
        <v>56.684674342972663</v>
      </c>
      <c r="G76">
        <v>57.354660718994467</v>
      </c>
      <c r="H76">
        <v>55.33589346928013</v>
      </c>
      <c r="I76">
        <v>52.164779379449769</v>
      </c>
      <c r="J76">
        <v>53.263512349477018</v>
      </c>
      <c r="K76">
        <v>52.930439922650962</v>
      </c>
      <c r="L76">
        <v>54.813448184934522</v>
      </c>
      <c r="M76">
        <v>52.758902610530015</v>
      </c>
      <c r="N76">
        <v>54.10242331018722</v>
      </c>
      <c r="O76">
        <v>54.497837742814447</v>
      </c>
      <c r="P76">
        <v>54.090910169640502</v>
      </c>
      <c r="Q76">
        <v>54.277658433681999</v>
      </c>
      <c r="R76">
        <v>54.773121648940851</v>
      </c>
      <c r="S76">
        <v>54.384524918695618</v>
      </c>
      <c r="T76">
        <v>54.564096422607008</v>
      </c>
      <c r="U76">
        <v>54.311075854794751</v>
      </c>
      <c r="V76">
        <v>53.106987342884771</v>
      </c>
      <c r="W76">
        <v>53.694038850312033</v>
      </c>
      <c r="X76">
        <v>54.849073760729219</v>
      </c>
      <c r="Y76">
        <v>55.393750274689047</v>
      </c>
      <c r="Z76">
        <v>55.393019913594955</v>
      </c>
      <c r="AA76">
        <v>55.393019913594955</v>
      </c>
      <c r="AB76">
        <v>55.393019913594955</v>
      </c>
    </row>
    <row r="77" spans="1:28" x14ac:dyDescent="0.3">
      <c r="A77" t="s">
        <v>558</v>
      </c>
      <c r="B77" s="5" t="s">
        <v>559</v>
      </c>
      <c r="C77" t="s">
        <v>200</v>
      </c>
      <c r="D77" s="5" t="s">
        <v>201</v>
      </c>
      <c r="E77" t="s">
        <v>73</v>
      </c>
      <c r="F77" t="s">
        <v>73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  <c r="L77" t="s">
        <v>73</v>
      </c>
      <c r="M77" t="s">
        <v>73</v>
      </c>
      <c r="N77" t="s">
        <v>73</v>
      </c>
      <c r="O77" t="s">
        <v>73</v>
      </c>
      <c r="P77" t="s">
        <v>73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73</v>
      </c>
      <c r="X77" t="s">
        <v>73</v>
      </c>
      <c r="Y77" t="s">
        <v>73</v>
      </c>
      <c r="Z77" t="s">
        <v>73</v>
      </c>
      <c r="AA77" t="s">
        <v>73</v>
      </c>
      <c r="AB77" t="s">
        <v>73</v>
      </c>
    </row>
    <row r="78" spans="1:28" x14ac:dyDescent="0.3">
      <c r="A78" t="s">
        <v>558</v>
      </c>
      <c r="B78" s="5" t="s">
        <v>559</v>
      </c>
      <c r="C78" t="s">
        <v>21</v>
      </c>
      <c r="D78" s="5" t="s">
        <v>202</v>
      </c>
      <c r="E78">
        <v>66.167571761055072</v>
      </c>
      <c r="F78">
        <v>65.461598138091546</v>
      </c>
      <c r="G78">
        <v>64.724592707525204</v>
      </c>
      <c r="H78">
        <v>64.018619084561678</v>
      </c>
      <c r="I78">
        <v>62.684251357641585</v>
      </c>
      <c r="J78">
        <v>62.102404965089221</v>
      </c>
      <c r="K78">
        <v>61.000775795190066</v>
      </c>
      <c r="L78">
        <v>60.147401086113263</v>
      </c>
      <c r="M78">
        <v>59.402637703646235</v>
      </c>
      <c r="N78">
        <v>58.650116369278514</v>
      </c>
      <c r="O78">
        <v>58.099301784328937</v>
      </c>
      <c r="P78">
        <v>57.377812257563996</v>
      </c>
      <c r="Q78">
        <v>56.501163692785106</v>
      </c>
      <c r="R78">
        <v>55.49262994569434</v>
      </c>
      <c r="S78">
        <v>48.107059736229637</v>
      </c>
      <c r="T78">
        <v>48.091543832428243</v>
      </c>
      <c r="U78">
        <v>47.602792862684254</v>
      </c>
      <c r="V78">
        <v>46.963078355314195</v>
      </c>
      <c r="W78">
        <v>46.110864235841746</v>
      </c>
      <c r="X78">
        <v>45.489264546159816</v>
      </c>
      <c r="Y78">
        <v>43.635845616757173</v>
      </c>
      <c r="Z78">
        <v>44.312867339022496</v>
      </c>
      <c r="AA78">
        <v>41.676017067494179</v>
      </c>
      <c r="AB78">
        <v>41.676017843289372</v>
      </c>
    </row>
    <row r="79" spans="1:28" x14ac:dyDescent="0.3">
      <c r="A79" t="s">
        <v>558</v>
      </c>
      <c r="B79" s="5" t="s">
        <v>559</v>
      </c>
      <c r="C79" t="s">
        <v>203</v>
      </c>
      <c r="D79" s="5" t="s">
        <v>204</v>
      </c>
      <c r="E79">
        <v>0.58423681325374588</v>
      </c>
      <c r="F79">
        <v>0.58496771835789985</v>
      </c>
      <c r="G79">
        <v>0.58569862346205381</v>
      </c>
      <c r="H79">
        <v>0.58642952856620789</v>
      </c>
      <c r="I79">
        <v>0.58716043367036175</v>
      </c>
      <c r="J79">
        <v>0.58789133877451571</v>
      </c>
      <c r="K79">
        <v>0.58862224387866979</v>
      </c>
      <c r="L79">
        <v>0.58935314898282376</v>
      </c>
      <c r="M79">
        <v>0.59008405408697773</v>
      </c>
      <c r="N79">
        <v>0.59081495919113169</v>
      </c>
      <c r="O79">
        <v>0.59154586429528566</v>
      </c>
      <c r="P79">
        <v>0.59227676939943963</v>
      </c>
      <c r="Q79">
        <v>0.5930076745035936</v>
      </c>
      <c r="R79">
        <v>0.59220367888902425</v>
      </c>
      <c r="S79">
        <v>0.59222804239249605</v>
      </c>
      <c r="T79">
        <v>0.59227676939943963</v>
      </c>
      <c r="U79">
        <v>0.59230113290291142</v>
      </c>
      <c r="V79">
        <v>0.59230113290291142</v>
      </c>
      <c r="W79">
        <v>0.59230113290291142</v>
      </c>
      <c r="X79">
        <v>0.59230113290291142</v>
      </c>
      <c r="Y79">
        <v>0.59230113290291142</v>
      </c>
      <c r="Z79">
        <v>0.59230113290291142</v>
      </c>
      <c r="AA79">
        <v>0.59230113290291142</v>
      </c>
      <c r="AB79">
        <v>0.59230113290291142</v>
      </c>
    </row>
    <row r="80" spans="1:28" x14ac:dyDescent="0.3">
      <c r="A80" t="s">
        <v>558</v>
      </c>
      <c r="B80" s="5" t="s">
        <v>559</v>
      </c>
      <c r="C80" t="s">
        <v>205</v>
      </c>
      <c r="D80" s="5" t="s">
        <v>206</v>
      </c>
      <c r="E80">
        <v>35.294117647058826</v>
      </c>
      <c r="F80">
        <v>38.235294117647058</v>
      </c>
      <c r="G80">
        <v>38.235294117647058</v>
      </c>
      <c r="H80">
        <v>35.294117647058826</v>
      </c>
      <c r="I80">
        <v>35.294117647058826</v>
      </c>
      <c r="J80">
        <v>26.47058823529412</v>
      </c>
      <c r="K80">
        <v>26.47058823529412</v>
      </c>
      <c r="L80">
        <v>26.47058823529412</v>
      </c>
      <c r="M80">
        <v>26.47058823529412</v>
      </c>
      <c r="N80">
        <v>29.411764705882355</v>
      </c>
      <c r="O80">
        <v>29.411764705882355</v>
      </c>
      <c r="P80">
        <v>29.411764705882355</v>
      </c>
      <c r="Q80">
        <v>23.52941176470588</v>
      </c>
      <c r="R80">
        <v>23.52941176470588</v>
      </c>
      <c r="S80">
        <v>23.52941176470588</v>
      </c>
      <c r="T80">
        <v>23.52941176470588</v>
      </c>
      <c r="U80">
        <v>23.52941176470588</v>
      </c>
      <c r="V80">
        <v>23.52941176470588</v>
      </c>
      <c r="W80">
        <v>23.52941176470588</v>
      </c>
      <c r="X80">
        <v>23.52941176470588</v>
      </c>
      <c r="Y80">
        <v>23.52941176470588</v>
      </c>
      <c r="Z80">
        <v>23.52941176470588</v>
      </c>
      <c r="AA80">
        <v>23.52941176470588</v>
      </c>
      <c r="AB80">
        <v>23.52941176470588</v>
      </c>
    </row>
    <row r="81" spans="1:28" x14ac:dyDescent="0.3">
      <c r="A81" t="s">
        <v>558</v>
      </c>
      <c r="B81" s="5" t="s">
        <v>559</v>
      </c>
      <c r="C81" t="s">
        <v>207</v>
      </c>
      <c r="D81" s="5" t="s">
        <v>208</v>
      </c>
      <c r="E81">
        <v>37.037037037037038</v>
      </c>
      <c r="F81">
        <v>37.037037037037038</v>
      </c>
      <c r="G81">
        <v>37.037037037037038</v>
      </c>
      <c r="H81">
        <v>37.037037037037038</v>
      </c>
      <c r="I81">
        <v>37.037037037037038</v>
      </c>
      <c r="J81">
        <v>37.037037037037038</v>
      </c>
      <c r="K81">
        <v>37.037037037037038</v>
      </c>
      <c r="L81">
        <v>35.185185185185183</v>
      </c>
      <c r="M81">
        <v>35.185185185185183</v>
      </c>
      <c r="N81">
        <v>33.333333333333329</v>
      </c>
      <c r="O81">
        <v>33.333333333333329</v>
      </c>
      <c r="P81">
        <v>33.333333333333329</v>
      </c>
      <c r="Q81">
        <v>33.333333333333329</v>
      </c>
      <c r="R81">
        <v>33.333333333333329</v>
      </c>
      <c r="S81">
        <v>33.333333333333329</v>
      </c>
      <c r="T81">
        <v>31.481481481481481</v>
      </c>
      <c r="U81">
        <v>31.481481481481481</v>
      </c>
      <c r="V81">
        <v>31.481481481481481</v>
      </c>
      <c r="W81">
        <v>29.629629629629626</v>
      </c>
      <c r="X81">
        <v>29.629629629629626</v>
      </c>
      <c r="Y81">
        <v>29.629629629629626</v>
      </c>
      <c r="Z81">
        <v>29.629629629629626</v>
      </c>
      <c r="AA81">
        <v>29.629629629629626</v>
      </c>
      <c r="AB81">
        <v>29.629629629629626</v>
      </c>
    </row>
    <row r="82" spans="1:28" x14ac:dyDescent="0.3">
      <c r="A82" t="s">
        <v>558</v>
      </c>
      <c r="B82" s="5" t="s">
        <v>559</v>
      </c>
      <c r="C82" t="s">
        <v>209</v>
      </c>
      <c r="D82" s="5" t="s">
        <v>210</v>
      </c>
      <c r="E82">
        <v>44.435610302351627</v>
      </c>
      <c r="F82">
        <v>45.018197088465847</v>
      </c>
      <c r="G82">
        <v>45.600783874580067</v>
      </c>
      <c r="H82">
        <v>46.183277342291902</v>
      </c>
      <c r="I82">
        <v>44.074281448301605</v>
      </c>
      <c r="J82">
        <v>42.571855169839488</v>
      </c>
      <c r="K82">
        <v>40.271101157148195</v>
      </c>
      <c r="L82">
        <v>41.508025382605453</v>
      </c>
      <c r="M82">
        <v>41.377379619260921</v>
      </c>
      <c r="N82">
        <v>40.77640910787607</v>
      </c>
      <c r="O82">
        <v>40.287420679357972</v>
      </c>
      <c r="P82">
        <v>40.078387458006723</v>
      </c>
      <c r="Q82">
        <v>39.776035834266516</v>
      </c>
      <c r="R82">
        <v>39.408361328854049</v>
      </c>
      <c r="S82">
        <v>39.986002239641657</v>
      </c>
      <c r="T82">
        <v>41.657334826427771</v>
      </c>
      <c r="U82">
        <v>41.935423665546843</v>
      </c>
      <c r="V82">
        <v>42.213512504665914</v>
      </c>
      <c r="W82">
        <v>42.491601343784993</v>
      </c>
      <c r="X82">
        <v>42.769690182904071</v>
      </c>
      <c r="Y82">
        <v>43.038447181784242</v>
      </c>
      <c r="Z82">
        <v>43.038447181784242</v>
      </c>
      <c r="AA82">
        <v>43.038447181784242</v>
      </c>
      <c r="AB82">
        <v>43.038447181784242</v>
      </c>
    </row>
    <row r="83" spans="1:28" x14ac:dyDescent="0.3">
      <c r="A83" t="s">
        <v>558</v>
      </c>
      <c r="B83" s="5" t="s">
        <v>559</v>
      </c>
      <c r="C83" t="s">
        <v>211</v>
      </c>
      <c r="D83" s="5" t="s">
        <v>212</v>
      </c>
      <c r="E83">
        <v>57.236110206739376</v>
      </c>
      <c r="F83">
        <v>57.229757447501214</v>
      </c>
      <c r="G83">
        <v>57.372696565196158</v>
      </c>
      <c r="H83">
        <v>57.441909490476959</v>
      </c>
      <c r="I83">
        <v>57.463539801399968</v>
      </c>
      <c r="J83">
        <v>57.502104020836718</v>
      </c>
      <c r="K83">
        <v>57.793022545987306</v>
      </c>
      <c r="L83">
        <v>58.318871479733026</v>
      </c>
      <c r="M83">
        <v>58.928926827283092</v>
      </c>
      <c r="N83">
        <v>58.462589532801566</v>
      </c>
      <c r="O83">
        <v>61.288977291225791</v>
      </c>
      <c r="P83">
        <v>61.491485023604099</v>
      </c>
      <c r="Q83">
        <v>63.331484616636821</v>
      </c>
      <c r="R83">
        <v>63.689924304085942</v>
      </c>
      <c r="S83">
        <v>65.225759400944156</v>
      </c>
      <c r="T83">
        <v>66.088698518639106</v>
      </c>
      <c r="U83">
        <v>66.509210483477119</v>
      </c>
      <c r="V83">
        <v>67.28474605241739</v>
      </c>
      <c r="W83">
        <v>67.978521487872385</v>
      </c>
      <c r="X83">
        <v>67.911849259319553</v>
      </c>
      <c r="Y83">
        <v>69.097064545010582</v>
      </c>
      <c r="Z83">
        <v>70.553321259970701</v>
      </c>
      <c r="AA83">
        <v>71.948919501872041</v>
      </c>
      <c r="AB83">
        <v>73.229248738401438</v>
      </c>
    </row>
    <row r="84" spans="1:28" x14ac:dyDescent="0.3">
      <c r="A84" t="s">
        <v>558</v>
      </c>
      <c r="B84" s="5" t="s">
        <v>559</v>
      </c>
      <c r="C84" t="s">
        <v>213</v>
      </c>
      <c r="D84" s="5" t="s">
        <v>214</v>
      </c>
      <c r="E84">
        <v>23.581792318634424</v>
      </c>
      <c r="F84">
        <v>23.882112375533428</v>
      </c>
      <c r="G84">
        <v>24.182432432432432</v>
      </c>
      <c r="H84">
        <v>24.482752489331435</v>
      </c>
      <c r="I84">
        <v>24.783072546230443</v>
      </c>
      <c r="J84">
        <v>25.083392603129447</v>
      </c>
      <c r="K84">
        <v>25.383712660028451</v>
      </c>
      <c r="L84">
        <v>25.684032716927451</v>
      </c>
      <c r="M84">
        <v>25.984352773826458</v>
      </c>
      <c r="N84">
        <v>26.284672830725462</v>
      </c>
      <c r="O84">
        <v>26.584992887624466</v>
      </c>
      <c r="P84">
        <v>26.885277382645807</v>
      </c>
      <c r="Q84">
        <v>27.185561877667141</v>
      </c>
      <c r="R84">
        <v>27.485846372688478</v>
      </c>
      <c r="S84">
        <v>27.786130867709812</v>
      </c>
      <c r="T84">
        <v>28.086415362731152</v>
      </c>
      <c r="U84">
        <v>28.266194879089618</v>
      </c>
      <c r="V84">
        <v>28.267571123755335</v>
      </c>
      <c r="W84">
        <v>28.826593172119491</v>
      </c>
      <c r="X84">
        <v>29.052389758179231</v>
      </c>
      <c r="Y84">
        <v>29.335398293029876</v>
      </c>
      <c r="Z84">
        <v>29.849032716927454</v>
      </c>
      <c r="AA84">
        <v>29.623911806543386</v>
      </c>
      <c r="AB84">
        <v>29.890842816500712</v>
      </c>
    </row>
    <row r="85" spans="1:28" x14ac:dyDescent="0.3">
      <c r="A85" t="s">
        <v>558</v>
      </c>
      <c r="B85" s="5" t="s">
        <v>559</v>
      </c>
      <c r="C85" t="s">
        <v>215</v>
      </c>
      <c r="D85" s="5" t="s">
        <v>216</v>
      </c>
      <c r="E85">
        <v>3.6336073152146304</v>
      </c>
      <c r="F85">
        <v>3.6437673355346707</v>
      </c>
      <c r="G85">
        <v>3.6459573279146555</v>
      </c>
      <c r="H85">
        <v>3.6481473202946408</v>
      </c>
      <c r="I85">
        <v>3.6503373126746257</v>
      </c>
      <c r="J85">
        <v>3.6525273050546101</v>
      </c>
      <c r="K85">
        <v>3.6525273050546101</v>
      </c>
      <c r="L85">
        <v>3.6525273050546101</v>
      </c>
      <c r="M85">
        <v>3.6525273050546101</v>
      </c>
      <c r="N85">
        <v>3.6525273050546101</v>
      </c>
      <c r="O85">
        <v>3.6525273050546101</v>
      </c>
      <c r="P85">
        <v>3.6525273050546101</v>
      </c>
      <c r="Q85">
        <v>3.6525273050546101</v>
      </c>
      <c r="R85">
        <v>3.6525273050546101</v>
      </c>
      <c r="S85">
        <v>3.6525273050546101</v>
      </c>
      <c r="T85">
        <v>3.6525273050546101</v>
      </c>
      <c r="U85">
        <v>3.6525273050546101</v>
      </c>
      <c r="V85">
        <v>3.6525273050546101</v>
      </c>
      <c r="W85">
        <v>3.6525273050546101</v>
      </c>
      <c r="X85">
        <v>3.6525273050546101</v>
      </c>
      <c r="Y85">
        <v>3.4053234820498246</v>
      </c>
      <c r="Z85">
        <v>3.4100596760443311</v>
      </c>
      <c r="AA85">
        <v>3.4100596760443311</v>
      </c>
      <c r="AB85">
        <v>3.4100596760443311</v>
      </c>
    </row>
    <row r="86" spans="1:28" x14ac:dyDescent="0.3">
      <c r="A86" t="s">
        <v>558</v>
      </c>
      <c r="B86" s="5" t="s">
        <v>559</v>
      </c>
      <c r="C86" t="s">
        <v>217</v>
      </c>
      <c r="D86" s="5" t="s">
        <v>218</v>
      </c>
      <c r="E86">
        <v>61.320754716981128</v>
      </c>
      <c r="F86">
        <v>60.595065312046451</v>
      </c>
      <c r="G86">
        <v>60.595065312046451</v>
      </c>
      <c r="H86">
        <v>60.595065312046451</v>
      </c>
      <c r="I86">
        <v>60.595065312046451</v>
      </c>
      <c r="J86">
        <v>64.223512336719878</v>
      </c>
      <c r="K86">
        <v>64.223512336719878</v>
      </c>
      <c r="L86">
        <v>64.223512336719878</v>
      </c>
      <c r="M86">
        <v>64.223512336719878</v>
      </c>
      <c r="N86">
        <v>65.904571843251091</v>
      </c>
      <c r="O86">
        <v>71.98838896952104</v>
      </c>
      <c r="P86">
        <v>72.895500725689402</v>
      </c>
      <c r="Q86">
        <v>73.439767779390422</v>
      </c>
      <c r="R86">
        <v>75.036284470246741</v>
      </c>
      <c r="S86">
        <v>75.036284470246741</v>
      </c>
      <c r="T86">
        <v>75.036284470246741</v>
      </c>
      <c r="U86">
        <v>75.036284470246741</v>
      </c>
      <c r="V86">
        <v>72.931785195936143</v>
      </c>
      <c r="W86">
        <v>72.387518142235123</v>
      </c>
      <c r="X86">
        <v>64.949201741654576</v>
      </c>
      <c r="Y86">
        <v>64.949201741654576</v>
      </c>
      <c r="Z86">
        <v>65.13062409288824</v>
      </c>
      <c r="AA86">
        <v>65.13062409288824</v>
      </c>
      <c r="AB86">
        <v>65.13062409288824</v>
      </c>
    </row>
    <row r="87" spans="1:28" x14ac:dyDescent="0.3">
      <c r="A87" t="s">
        <v>558</v>
      </c>
      <c r="B87" s="5" t="s">
        <v>559</v>
      </c>
      <c r="C87" t="s">
        <v>219</v>
      </c>
      <c r="D87" s="5" t="s">
        <v>220</v>
      </c>
      <c r="E87">
        <v>26.231119849852536</v>
      </c>
      <c r="F87">
        <v>26.240057199034766</v>
      </c>
      <c r="G87">
        <v>27.062293323800162</v>
      </c>
      <c r="H87">
        <v>28.179461971579229</v>
      </c>
      <c r="I87">
        <v>28.063276432210206</v>
      </c>
      <c r="J87">
        <v>28.152649924032531</v>
      </c>
      <c r="K87">
        <v>28.242023415854856</v>
      </c>
      <c r="L87">
        <v>28.242023415854856</v>
      </c>
      <c r="M87">
        <v>28.456519796228442</v>
      </c>
      <c r="N87">
        <v>28.581642684779695</v>
      </c>
      <c r="O87">
        <v>29.207257127535975</v>
      </c>
      <c r="P87">
        <v>29.591563142371974</v>
      </c>
      <c r="Q87">
        <v>30.011618553936902</v>
      </c>
      <c r="R87">
        <v>30.118866744123689</v>
      </c>
      <c r="S87">
        <v>30.163553490034857</v>
      </c>
      <c r="T87">
        <v>30.163553490034857</v>
      </c>
      <c r="U87">
        <v>30.601483599964251</v>
      </c>
      <c r="V87">
        <v>31.173473947627134</v>
      </c>
      <c r="W87">
        <v>31.361158280454017</v>
      </c>
      <c r="X87">
        <v>31.361158280454017</v>
      </c>
      <c r="Y87">
        <v>31.62034140673876</v>
      </c>
      <c r="Z87">
        <v>31.959960675663595</v>
      </c>
      <c r="AA87">
        <v>31.959960675663595</v>
      </c>
      <c r="AB87">
        <v>31.959960675663595</v>
      </c>
    </row>
    <row r="88" spans="1:28" x14ac:dyDescent="0.3">
      <c r="A88" t="s">
        <v>558</v>
      </c>
      <c r="B88" s="5" t="s">
        <v>559</v>
      </c>
      <c r="C88" t="s">
        <v>221</v>
      </c>
      <c r="D88" s="5" t="s">
        <v>222</v>
      </c>
      <c r="E88">
        <v>6.666666666666667</v>
      </c>
      <c r="F88">
        <v>6.666666666666667</v>
      </c>
      <c r="G88">
        <v>6.666666666666667</v>
      </c>
      <c r="H88">
        <v>6.666666666666667</v>
      </c>
      <c r="I88">
        <v>6.666666666666667</v>
      </c>
      <c r="J88">
        <v>6.666666666666667</v>
      </c>
      <c r="K88">
        <v>5.7142857142857144</v>
      </c>
      <c r="L88">
        <v>5.7142857142857144</v>
      </c>
      <c r="M88">
        <v>5.7142857142857144</v>
      </c>
      <c r="N88">
        <v>5.7142857142857144</v>
      </c>
      <c r="O88">
        <v>5.2380952380952381</v>
      </c>
      <c r="P88">
        <v>5.2380952380952381</v>
      </c>
      <c r="Q88">
        <v>4.8571428571428568</v>
      </c>
      <c r="R88">
        <v>4.8571428571428568</v>
      </c>
      <c r="S88">
        <v>4.8571428571428568</v>
      </c>
      <c r="T88">
        <v>4.8571428571428568</v>
      </c>
      <c r="U88">
        <v>4.7619047619047619</v>
      </c>
      <c r="V88">
        <v>4.8571428571428568</v>
      </c>
      <c r="W88">
        <v>4.7619047619047619</v>
      </c>
      <c r="X88">
        <v>4.7619047619047619</v>
      </c>
      <c r="Y88">
        <v>3.8095238095238098</v>
      </c>
      <c r="Z88">
        <v>3.8095238095238098</v>
      </c>
      <c r="AA88">
        <v>3.8095238095238098</v>
      </c>
      <c r="AB88">
        <v>3.8095238095238098</v>
      </c>
    </row>
    <row r="89" spans="1:28" x14ac:dyDescent="0.3">
      <c r="A89" t="s">
        <v>558</v>
      </c>
      <c r="B89" s="5" t="s">
        <v>559</v>
      </c>
      <c r="C89" t="s">
        <v>223</v>
      </c>
      <c r="D89" s="5" t="s">
        <v>224</v>
      </c>
      <c r="E89">
        <v>65.320241017629996</v>
      </c>
      <c r="F89">
        <v>65.442981477348809</v>
      </c>
      <c r="G89">
        <v>65.264449899575979</v>
      </c>
      <c r="H89">
        <v>65.442981477348809</v>
      </c>
      <c r="I89">
        <v>65.431823253738003</v>
      </c>
      <c r="J89">
        <v>65.427965628836077</v>
      </c>
      <c r="K89">
        <v>64.825354313134696</v>
      </c>
      <c r="L89">
        <v>64.803035375516131</v>
      </c>
      <c r="M89">
        <v>64.613324405758291</v>
      </c>
      <c r="N89">
        <v>63.879377002098749</v>
      </c>
      <c r="O89">
        <v>59.019109687396444</v>
      </c>
      <c r="P89">
        <v>58.952833314923225</v>
      </c>
      <c r="Q89">
        <v>58.963879377002101</v>
      </c>
      <c r="R89">
        <v>58.069148348613723</v>
      </c>
      <c r="S89">
        <v>57.681349989042296</v>
      </c>
      <c r="T89">
        <v>57.681349989042296</v>
      </c>
      <c r="U89">
        <v>57.87858864781942</v>
      </c>
      <c r="V89">
        <v>58.108700416392722</v>
      </c>
      <c r="W89">
        <v>58.031996493534955</v>
      </c>
      <c r="X89">
        <v>57.834757834757831</v>
      </c>
      <c r="Y89">
        <v>53.875439403900941</v>
      </c>
      <c r="Z89">
        <v>55.267243041858428</v>
      </c>
      <c r="AA89">
        <v>55.621433267587115</v>
      </c>
      <c r="AB89">
        <v>55.698509752355903</v>
      </c>
    </row>
    <row r="90" spans="1:28" x14ac:dyDescent="0.3">
      <c r="A90" t="s">
        <v>558</v>
      </c>
      <c r="B90" s="5" t="s">
        <v>559</v>
      </c>
      <c r="C90" t="s">
        <v>225</v>
      </c>
      <c r="D90" s="5" t="s">
        <v>226</v>
      </c>
      <c r="E90">
        <v>18.8428927680798</v>
      </c>
      <c r="F90">
        <v>18.8428927680798</v>
      </c>
      <c r="G90">
        <v>18.822942643391521</v>
      </c>
      <c r="H90">
        <v>18.802992518703242</v>
      </c>
      <c r="I90">
        <v>18.793017456359102</v>
      </c>
      <c r="J90">
        <v>18.773067331670823</v>
      </c>
      <c r="K90">
        <v>18.763092269326684</v>
      </c>
      <c r="L90">
        <v>18.713216957605987</v>
      </c>
      <c r="M90">
        <v>18.713216957605987</v>
      </c>
      <c r="N90">
        <v>18.703241895261847</v>
      </c>
      <c r="O90">
        <v>18.693266832917708</v>
      </c>
      <c r="P90">
        <v>18.685286783042393</v>
      </c>
      <c r="Q90">
        <v>18.675311720698254</v>
      </c>
      <c r="R90">
        <v>18.675311720698254</v>
      </c>
      <c r="S90">
        <v>18.675311720698254</v>
      </c>
      <c r="T90">
        <v>18.673316708229425</v>
      </c>
      <c r="U90">
        <v>18.673316708229425</v>
      </c>
      <c r="V90">
        <v>18.673316708229425</v>
      </c>
      <c r="W90">
        <v>18.565903005058018</v>
      </c>
      <c r="X90">
        <v>18.565903005058018</v>
      </c>
      <c r="Y90">
        <v>18.565903005058018</v>
      </c>
      <c r="Z90">
        <v>18.565903005058018</v>
      </c>
      <c r="AA90">
        <v>18.565903005058018</v>
      </c>
      <c r="AB90">
        <v>16.245165129425764</v>
      </c>
    </row>
    <row r="91" spans="1:28" x14ac:dyDescent="0.3">
      <c r="A91" t="s">
        <v>558</v>
      </c>
      <c r="B91" s="5" t="s">
        <v>559</v>
      </c>
      <c r="C91" t="s">
        <v>22</v>
      </c>
      <c r="D91" s="5" t="s">
        <v>227</v>
      </c>
      <c r="E91">
        <v>60.868965656416172</v>
      </c>
      <c r="F91">
        <v>60.704832183614229</v>
      </c>
      <c r="G91">
        <v>60.7293849367178</v>
      </c>
      <c r="H91">
        <v>60.624783481714928</v>
      </c>
      <c r="I91">
        <v>60.667162206249856</v>
      </c>
      <c r="J91">
        <v>60.583413774430831</v>
      </c>
      <c r="K91">
        <v>60.509419176036516</v>
      </c>
      <c r="L91">
        <v>60.413226198123901</v>
      </c>
      <c r="M91">
        <v>60.459304652578538</v>
      </c>
      <c r="N91">
        <v>60.563906107581424</v>
      </c>
      <c r="O91">
        <v>60.397418261194204</v>
      </c>
      <c r="P91">
        <v>60.430043152304421</v>
      </c>
      <c r="Q91">
        <v>60.420625657963335</v>
      </c>
      <c r="R91">
        <v>60.439460646645529</v>
      </c>
      <c r="S91">
        <v>60.449550819153842</v>
      </c>
      <c r="T91">
        <v>60.431724847722478</v>
      </c>
      <c r="U91">
        <v>60.399099956612254</v>
      </c>
      <c r="V91">
        <v>60.284071990017452</v>
      </c>
      <c r="W91">
        <v>60.243711299984191</v>
      </c>
      <c r="X91">
        <v>60.219831225047848</v>
      </c>
      <c r="Y91">
        <v>60.045943918821202</v>
      </c>
      <c r="Z91">
        <v>60.050764767808317</v>
      </c>
      <c r="AA91">
        <v>60.055585650429336</v>
      </c>
      <c r="AB91">
        <v>60.060406499416452</v>
      </c>
    </row>
    <row r="92" spans="1:28" x14ac:dyDescent="0.3">
      <c r="A92" t="s">
        <v>558</v>
      </c>
      <c r="B92" s="5" t="s">
        <v>559</v>
      </c>
      <c r="C92" t="s">
        <v>23</v>
      </c>
      <c r="D92" s="5" t="s">
        <v>228</v>
      </c>
      <c r="E92">
        <v>23.764340067930071</v>
      </c>
      <c r="F92">
        <v>24.202684500130225</v>
      </c>
      <c r="G92">
        <v>24.522255167590849</v>
      </c>
      <c r="H92">
        <v>24.788564057141365</v>
      </c>
      <c r="I92">
        <v>24.837368143811062</v>
      </c>
      <c r="J92">
        <v>24.939434008390862</v>
      </c>
      <c r="K92">
        <v>25.52085587416159</v>
      </c>
      <c r="L92">
        <v>26.049015962022221</v>
      </c>
      <c r="M92">
        <v>26.204343604512125</v>
      </c>
      <c r="N92">
        <v>26.572718358642444</v>
      </c>
      <c r="O92">
        <v>26.56826066740204</v>
      </c>
      <c r="P92">
        <v>27.096420755262663</v>
      </c>
      <c r="Q92">
        <v>27.091963064022256</v>
      </c>
      <c r="R92">
        <v>27.353814262332364</v>
      </c>
      <c r="S92">
        <v>27.509141904822272</v>
      </c>
      <c r="T92">
        <v>27.611207769402068</v>
      </c>
      <c r="U92">
        <v>27.873058967712179</v>
      </c>
      <c r="V92">
        <v>27.759893987757245</v>
      </c>
      <c r="W92">
        <v>28.41183444748096</v>
      </c>
      <c r="X92">
        <v>28.750329344203706</v>
      </c>
      <c r="Y92">
        <v>28.964990607285468</v>
      </c>
      <c r="Z92">
        <v>28.9558492042508</v>
      </c>
      <c r="AA92">
        <v>29.007383017418242</v>
      </c>
      <c r="AB92">
        <v>29.125805755114804</v>
      </c>
    </row>
    <row r="93" spans="1:28" x14ac:dyDescent="0.3">
      <c r="A93" t="s">
        <v>558</v>
      </c>
      <c r="B93" s="5" t="s">
        <v>559</v>
      </c>
      <c r="C93" t="s">
        <v>24</v>
      </c>
      <c r="D93" s="5" t="s">
        <v>229</v>
      </c>
      <c r="E93">
        <v>38.608511996856507</v>
      </c>
      <c r="F93">
        <v>39.185024190181487</v>
      </c>
      <c r="G93">
        <v>39.320710233551907</v>
      </c>
      <c r="H93">
        <v>39.45639627692232</v>
      </c>
      <c r="I93">
        <v>39.592082320292739</v>
      </c>
      <c r="J93">
        <v>29.243719148309143</v>
      </c>
      <c r="K93">
        <v>29.37940519167956</v>
      </c>
      <c r="L93">
        <v>29.515091235049979</v>
      </c>
      <c r="M93">
        <v>28.662909207004102</v>
      </c>
      <c r="N93">
        <v>28.663645963800683</v>
      </c>
      <c r="O93">
        <v>28.573516049018888</v>
      </c>
      <c r="P93">
        <v>28.483386134237087</v>
      </c>
      <c r="Q93">
        <v>28.393256219455292</v>
      </c>
      <c r="R93">
        <v>28.214101525086573</v>
      </c>
      <c r="S93">
        <v>28.214101525086573</v>
      </c>
      <c r="T93">
        <v>28.214101525086573</v>
      </c>
      <c r="U93">
        <v>28.214101525086573</v>
      </c>
      <c r="V93">
        <v>28.619414483821267</v>
      </c>
      <c r="W93">
        <v>28.915254237288135</v>
      </c>
      <c r="X93">
        <v>28.960246533127886</v>
      </c>
      <c r="Y93">
        <v>28.984899845916797</v>
      </c>
      <c r="Z93">
        <v>29.008936825885979</v>
      </c>
      <c r="AA93">
        <v>29.008936825885979</v>
      </c>
      <c r="AB93">
        <v>29.008936825885979</v>
      </c>
    </row>
    <row r="94" spans="1:28" x14ac:dyDescent="0.3">
      <c r="A94" t="s">
        <v>558</v>
      </c>
      <c r="B94" s="5" t="s">
        <v>559</v>
      </c>
      <c r="C94" t="s">
        <v>230</v>
      </c>
      <c r="D94" s="5" t="s">
        <v>231</v>
      </c>
      <c r="E94">
        <v>19.423371516107643</v>
      </c>
      <c r="F94">
        <v>19.402565333699158</v>
      </c>
      <c r="G94">
        <v>19.855271280609095</v>
      </c>
      <c r="H94">
        <v>19.857100395546105</v>
      </c>
      <c r="I94">
        <v>19.73043418615817</v>
      </c>
      <c r="J94">
        <v>20.064019022795346</v>
      </c>
      <c r="K94">
        <v>20.528156938061596</v>
      </c>
      <c r="L94">
        <v>20.883233875208635</v>
      </c>
      <c r="M94">
        <v>18.751171776756522</v>
      </c>
      <c r="N94">
        <v>18.064560692576904</v>
      </c>
      <c r="O94">
        <v>18.923144225455886</v>
      </c>
      <c r="P94">
        <v>19.631377785964265</v>
      </c>
      <c r="Q94">
        <v>19.727620187879904</v>
      </c>
      <c r="R94">
        <v>20.467120296318136</v>
      </c>
      <c r="S94">
        <v>21.501031953709504</v>
      </c>
      <c r="T94">
        <v>21.364205948476027</v>
      </c>
      <c r="U94">
        <v>21.474542070541407</v>
      </c>
      <c r="V94">
        <v>21.511627906976745</v>
      </c>
      <c r="W94">
        <v>21.604227324660009</v>
      </c>
      <c r="X94">
        <v>21.769516043581415</v>
      </c>
      <c r="Y94">
        <v>21.775505033054614</v>
      </c>
      <c r="Z94">
        <v>21.843917720498467</v>
      </c>
      <c r="AA94">
        <v>21.778499527791215</v>
      </c>
      <c r="AB94">
        <v>21.830788012807222</v>
      </c>
    </row>
    <row r="95" spans="1:28" x14ac:dyDescent="0.3">
      <c r="A95" t="s">
        <v>558</v>
      </c>
      <c r="B95" s="5" t="s">
        <v>559</v>
      </c>
      <c r="C95" t="s">
        <v>25</v>
      </c>
      <c r="D95" s="5" t="s">
        <v>232</v>
      </c>
      <c r="E95">
        <v>63.814196545217015</v>
      </c>
      <c r="F95">
        <v>64.015096530701115</v>
      </c>
      <c r="G95">
        <v>63.478008419219044</v>
      </c>
      <c r="H95">
        <v>63.434460734504285</v>
      </c>
      <c r="I95">
        <v>62.49092756568443</v>
      </c>
      <c r="J95">
        <v>62.447379880969663</v>
      </c>
      <c r="K95">
        <v>61.837712294962991</v>
      </c>
      <c r="L95">
        <v>62.069966613441721</v>
      </c>
      <c r="M95">
        <v>67.194077514878785</v>
      </c>
      <c r="N95">
        <v>66.684859921614176</v>
      </c>
      <c r="O95">
        <v>66.308607925678615</v>
      </c>
      <c r="P95">
        <v>66.119901291914658</v>
      </c>
      <c r="Q95">
        <v>65.800551604006387</v>
      </c>
      <c r="R95">
        <v>64.987661489330819</v>
      </c>
      <c r="S95">
        <v>64.827986645376683</v>
      </c>
      <c r="T95">
        <v>64.305414428799537</v>
      </c>
      <c r="U95">
        <v>64.755407170852081</v>
      </c>
      <c r="V95">
        <v>65.161852228189872</v>
      </c>
      <c r="W95">
        <v>65.553781390622731</v>
      </c>
      <c r="X95">
        <v>65.6699085498621</v>
      </c>
      <c r="Y95">
        <v>65.495717811003047</v>
      </c>
      <c r="Z95">
        <v>62.955436202641891</v>
      </c>
      <c r="AA95">
        <v>63.11511104659602</v>
      </c>
      <c r="AB95">
        <v>60.807083756713595</v>
      </c>
    </row>
    <row r="96" spans="1:28" x14ac:dyDescent="0.3">
      <c r="A96" t="s">
        <v>558</v>
      </c>
      <c r="B96" s="5" t="s">
        <v>559</v>
      </c>
      <c r="C96" t="s">
        <v>233</v>
      </c>
      <c r="D96" s="5" t="s">
        <v>234</v>
      </c>
      <c r="E96">
        <v>76.84210526315789</v>
      </c>
      <c r="F96">
        <v>77.543859649122808</v>
      </c>
      <c r="G96">
        <v>79.649122807017548</v>
      </c>
      <c r="H96">
        <v>80.298245614035096</v>
      </c>
      <c r="I96">
        <v>80.350877192982466</v>
      </c>
      <c r="J96">
        <v>80.89473684210526</v>
      </c>
      <c r="K96">
        <v>74.31578947368422</v>
      </c>
      <c r="L96">
        <v>73.894736842105274</v>
      </c>
      <c r="M96">
        <v>77.684210526315795</v>
      </c>
      <c r="N96">
        <v>76.175438596491233</v>
      </c>
      <c r="O96">
        <v>76.105263157894726</v>
      </c>
      <c r="P96">
        <v>74.754385964912288</v>
      </c>
      <c r="Q96">
        <v>67.368421052631575</v>
      </c>
      <c r="R96">
        <v>68.070175438596493</v>
      </c>
      <c r="S96">
        <v>68.245614035087726</v>
      </c>
      <c r="T96">
        <v>72.10526315789474</v>
      </c>
      <c r="U96">
        <v>70.526315789473685</v>
      </c>
      <c r="V96">
        <v>70.877192982456137</v>
      </c>
      <c r="W96">
        <v>72.280701754385973</v>
      </c>
      <c r="X96">
        <v>70.526315789473685</v>
      </c>
      <c r="Y96">
        <v>70.526315789473685</v>
      </c>
      <c r="Z96">
        <v>68.771929824561411</v>
      </c>
      <c r="AA96">
        <v>71.403508771929822</v>
      </c>
      <c r="AB96">
        <v>69.089824561403503</v>
      </c>
    </row>
    <row r="97" spans="1:28" x14ac:dyDescent="0.3">
      <c r="A97" t="s">
        <v>558</v>
      </c>
      <c r="B97" s="5" t="s">
        <v>559</v>
      </c>
      <c r="C97" t="s">
        <v>235</v>
      </c>
      <c r="D97" s="5" t="s">
        <v>236</v>
      </c>
      <c r="E97">
        <v>26.155268022181144</v>
      </c>
      <c r="F97">
        <v>25.924214417744917</v>
      </c>
      <c r="G97">
        <v>26.016635859519411</v>
      </c>
      <c r="H97">
        <v>25.46210720887246</v>
      </c>
      <c r="I97">
        <v>23.72920517560074</v>
      </c>
      <c r="J97">
        <v>23.775415896487985</v>
      </c>
      <c r="K97">
        <v>23.512014787430687</v>
      </c>
      <c r="L97">
        <v>23.941774491682068</v>
      </c>
      <c r="M97">
        <v>23.826247689463955</v>
      </c>
      <c r="N97">
        <v>24.149722735674676</v>
      </c>
      <c r="O97">
        <v>23.313308687615528</v>
      </c>
      <c r="P97">
        <v>23.890942698706098</v>
      </c>
      <c r="Q97">
        <v>24.316081330868762</v>
      </c>
      <c r="R97">
        <v>24.043438077634011</v>
      </c>
      <c r="S97">
        <v>24.84750462107209</v>
      </c>
      <c r="T97">
        <v>24.671903881700555</v>
      </c>
      <c r="U97">
        <v>25.508317929759706</v>
      </c>
      <c r="V97">
        <v>29.759704251386321</v>
      </c>
      <c r="W97">
        <v>29.634935304990755</v>
      </c>
      <c r="X97">
        <v>29.500924214417743</v>
      </c>
      <c r="Y97">
        <v>25.036968576709796</v>
      </c>
      <c r="Z97">
        <v>24.907578558225506</v>
      </c>
      <c r="AA97">
        <v>24.704251386321626</v>
      </c>
      <c r="AB97">
        <v>24.801293900184842</v>
      </c>
    </row>
    <row r="98" spans="1:28" x14ac:dyDescent="0.3">
      <c r="A98" t="s">
        <v>558</v>
      </c>
      <c r="B98" s="5" t="s">
        <v>559</v>
      </c>
      <c r="C98" t="s">
        <v>26</v>
      </c>
      <c r="D98" s="5" t="s">
        <v>237</v>
      </c>
      <c r="E98">
        <v>52.878079792234487</v>
      </c>
      <c r="F98">
        <v>52.421563787121514</v>
      </c>
      <c r="G98">
        <v>51.647177378448383</v>
      </c>
      <c r="H98">
        <v>50.409511764586533</v>
      </c>
      <c r="I98">
        <v>50.328353363677557</v>
      </c>
      <c r="J98">
        <v>49.831258158110089</v>
      </c>
      <c r="K98">
        <v>48.028865337923293</v>
      </c>
      <c r="L98">
        <v>47.890219736370462</v>
      </c>
      <c r="M98">
        <v>48.888468067550846</v>
      </c>
      <c r="N98">
        <v>47.282884369568308</v>
      </c>
      <c r="O98">
        <v>48.45088902264996</v>
      </c>
      <c r="P98">
        <v>46.843952684652265</v>
      </c>
      <c r="Q98">
        <v>46.425986919971052</v>
      </c>
      <c r="R98">
        <v>46.091208516221535</v>
      </c>
      <c r="S98">
        <v>44.508619698496545</v>
      </c>
      <c r="T98">
        <v>43.774812490277895</v>
      </c>
      <c r="U98">
        <v>43.325059685240667</v>
      </c>
      <c r="V98">
        <v>43.374329597792496</v>
      </c>
      <c r="W98">
        <v>41.948748469825979</v>
      </c>
      <c r="X98">
        <v>44.369995637721196</v>
      </c>
      <c r="Y98">
        <v>42.332263616904001</v>
      </c>
      <c r="Z98">
        <v>41.942231593043353</v>
      </c>
      <c r="AA98">
        <v>43.963147572027594</v>
      </c>
      <c r="AB98">
        <v>44.256583930745293</v>
      </c>
    </row>
    <row r="99" spans="1:28" x14ac:dyDescent="0.3">
      <c r="A99" t="s">
        <v>558</v>
      </c>
      <c r="B99" s="5" t="s">
        <v>559</v>
      </c>
      <c r="C99" t="s">
        <v>238</v>
      </c>
      <c r="D99" s="5" t="s">
        <v>239</v>
      </c>
      <c r="E99">
        <v>44.228993536472757</v>
      </c>
      <c r="F99">
        <v>44.228993536472757</v>
      </c>
      <c r="G99">
        <v>43.767313019390578</v>
      </c>
      <c r="H99">
        <v>43.767313019390578</v>
      </c>
      <c r="I99">
        <v>43.582640812557713</v>
      </c>
      <c r="J99">
        <v>43.120960295475527</v>
      </c>
      <c r="K99">
        <v>43.120960295475527</v>
      </c>
      <c r="L99">
        <v>42.843951985226226</v>
      </c>
      <c r="M99">
        <v>41.458910433979682</v>
      </c>
      <c r="N99">
        <v>41.181902123730382</v>
      </c>
      <c r="O99">
        <v>38.901200369344416</v>
      </c>
      <c r="P99">
        <v>38.827331486611264</v>
      </c>
      <c r="Q99">
        <v>38.762696214219758</v>
      </c>
      <c r="R99">
        <v>38.670360110803323</v>
      </c>
      <c r="S99">
        <v>38.587257617728532</v>
      </c>
      <c r="T99">
        <v>38.504155124653735</v>
      </c>
      <c r="U99">
        <v>38.504155124653735</v>
      </c>
      <c r="V99">
        <v>38.504155124653735</v>
      </c>
      <c r="W99">
        <v>38.504155124653735</v>
      </c>
      <c r="X99">
        <v>38.504155124653735</v>
      </c>
      <c r="Y99">
        <v>38.504155124653735</v>
      </c>
      <c r="Z99">
        <v>38.504155124653735</v>
      </c>
      <c r="AA99">
        <v>38.504155124653735</v>
      </c>
      <c r="AB99">
        <v>38.504155124653735</v>
      </c>
    </row>
    <row r="100" spans="1:28" x14ac:dyDescent="0.3">
      <c r="A100" t="s">
        <v>558</v>
      </c>
      <c r="B100" s="5" t="s">
        <v>559</v>
      </c>
      <c r="C100" t="s">
        <v>27</v>
      </c>
      <c r="D100" s="5" t="s">
        <v>240</v>
      </c>
      <c r="E100">
        <v>14.425240054869684</v>
      </c>
      <c r="F100">
        <v>14.301783264746229</v>
      </c>
      <c r="G100">
        <v>14.19753086419753</v>
      </c>
      <c r="H100">
        <v>14.101508916323732</v>
      </c>
      <c r="I100">
        <v>14.01920438957476</v>
      </c>
      <c r="J100">
        <v>13.936899862825788</v>
      </c>
      <c r="K100">
        <v>13.863923182441701</v>
      </c>
      <c r="L100">
        <v>13.790946502057613</v>
      </c>
      <c r="M100">
        <v>13.715226337448561</v>
      </c>
      <c r="N100">
        <v>13.647736625514403</v>
      </c>
      <c r="O100">
        <v>13.588477366255145</v>
      </c>
      <c r="P100">
        <v>13.495198902606308</v>
      </c>
      <c r="Q100">
        <v>13.456790123456791</v>
      </c>
      <c r="R100">
        <v>13.421124828532236</v>
      </c>
      <c r="S100">
        <v>13.36076817558299</v>
      </c>
      <c r="T100">
        <v>13.294924554183812</v>
      </c>
      <c r="U100">
        <v>13.204389574759945</v>
      </c>
      <c r="V100">
        <v>13.108367626886144</v>
      </c>
      <c r="W100">
        <v>13.020576131687243</v>
      </c>
      <c r="X100">
        <v>12.935528120713306</v>
      </c>
      <c r="Y100">
        <v>12.844993141289438</v>
      </c>
      <c r="Z100">
        <v>12.781893004115227</v>
      </c>
      <c r="AA100">
        <v>12.716049382716049</v>
      </c>
      <c r="AB100">
        <v>12.636830306624583</v>
      </c>
    </row>
    <row r="101" spans="1:28" x14ac:dyDescent="0.3">
      <c r="A101" t="s">
        <v>558</v>
      </c>
      <c r="B101" s="5" t="s">
        <v>559</v>
      </c>
      <c r="C101" t="s">
        <v>241</v>
      </c>
      <c r="D101" s="5" t="s">
        <v>242</v>
      </c>
      <c r="E101">
        <v>12.114687216681777</v>
      </c>
      <c r="F101">
        <v>11.58204895738894</v>
      </c>
      <c r="G101">
        <v>11.616047144152313</v>
      </c>
      <c r="H101">
        <v>11.389392565729828</v>
      </c>
      <c r="I101">
        <v>11.752039891205802</v>
      </c>
      <c r="J101">
        <v>11.48005439709882</v>
      </c>
      <c r="K101">
        <v>11.536718041704443</v>
      </c>
      <c r="L101">
        <v>10.916817769718948</v>
      </c>
      <c r="M101">
        <v>11.021078875793291</v>
      </c>
      <c r="N101">
        <v>11.545393106555531</v>
      </c>
      <c r="O101">
        <v>11.289704888488398</v>
      </c>
      <c r="P101">
        <v>11.293084027934219</v>
      </c>
      <c r="Q101">
        <v>11.769542689794999</v>
      </c>
      <c r="R101">
        <v>11.901329128182022</v>
      </c>
      <c r="S101">
        <v>11.984681234512278</v>
      </c>
      <c r="T101">
        <v>11.897949988736203</v>
      </c>
      <c r="U101">
        <v>12.006758278891642</v>
      </c>
      <c r="V101">
        <v>11.342644739806262</v>
      </c>
      <c r="W101">
        <v>11.509348952466771</v>
      </c>
      <c r="X101">
        <v>11.673086019325631</v>
      </c>
      <c r="Y101">
        <v>11.588620852760322</v>
      </c>
      <c r="Z101">
        <v>11.521048719508075</v>
      </c>
      <c r="AA101">
        <v>11.74628916368223</v>
      </c>
      <c r="AB101">
        <v>11.532310741716783</v>
      </c>
    </row>
    <row r="102" spans="1:28" x14ac:dyDescent="0.3">
      <c r="A102" t="s">
        <v>558</v>
      </c>
      <c r="B102" s="5" t="s">
        <v>559</v>
      </c>
      <c r="C102" t="s">
        <v>243</v>
      </c>
      <c r="D102" s="5" t="s">
        <v>244</v>
      </c>
      <c r="E102">
        <v>79.78416120309663</v>
      </c>
      <c r="F102">
        <v>79.44793865985109</v>
      </c>
      <c r="G102">
        <v>79.071341260140017</v>
      </c>
      <c r="H102">
        <v>78.898173871170869</v>
      </c>
      <c r="I102">
        <v>78.775604696818164</v>
      </c>
      <c r="J102">
        <v>78.633181464607176</v>
      </c>
      <c r="K102">
        <v>78.481497944216031</v>
      </c>
      <c r="L102">
        <v>78.318183501870578</v>
      </c>
      <c r="M102">
        <v>78.101789087676408</v>
      </c>
      <c r="N102">
        <v>78.076564062673626</v>
      </c>
      <c r="O102">
        <v>80.439233988961732</v>
      </c>
      <c r="P102">
        <v>80.375041671296813</v>
      </c>
      <c r="Q102">
        <v>80.383783383338894</v>
      </c>
      <c r="R102">
        <v>80.377115975849165</v>
      </c>
      <c r="S102">
        <v>80.304996851502025</v>
      </c>
      <c r="T102">
        <v>80.105085750268543</v>
      </c>
      <c r="U102">
        <v>80.098566507389705</v>
      </c>
      <c r="V102">
        <v>80.088046820017027</v>
      </c>
      <c r="W102">
        <v>80.022261732785125</v>
      </c>
      <c r="X102">
        <v>79.2585472459903</v>
      </c>
      <c r="Y102">
        <v>79.323332222098756</v>
      </c>
      <c r="Z102">
        <v>79.366485165018332</v>
      </c>
      <c r="AA102">
        <v>79.366485165018332</v>
      </c>
      <c r="AB102">
        <v>79.366485165018332</v>
      </c>
    </row>
    <row r="103" spans="1:28" x14ac:dyDescent="0.3">
      <c r="A103" t="s">
        <v>558</v>
      </c>
      <c r="B103" s="5" t="s">
        <v>559</v>
      </c>
      <c r="C103" t="s">
        <v>245</v>
      </c>
      <c r="D103" s="5" t="s">
        <v>246</v>
      </c>
      <c r="E103">
        <v>46.96695417647679</v>
      </c>
      <c r="F103">
        <v>47.157114242541375</v>
      </c>
      <c r="G103">
        <v>47.12021646695014</v>
      </c>
      <c r="H103">
        <v>47.218610535193449</v>
      </c>
      <c r="I103">
        <v>47.425940893277577</v>
      </c>
      <c r="J103">
        <v>47.443511262606741</v>
      </c>
      <c r="K103">
        <v>47.53487718311839</v>
      </c>
      <c r="L103">
        <v>47.556572020943875</v>
      </c>
      <c r="M103">
        <v>47.595837228098539</v>
      </c>
      <c r="N103">
        <v>47.986509646132767</v>
      </c>
      <c r="O103">
        <v>48.11958182520997</v>
      </c>
      <c r="P103">
        <v>49.074089503461366</v>
      </c>
      <c r="Q103">
        <v>49.670344379238848</v>
      </c>
      <c r="R103">
        <v>49.792869768422534</v>
      </c>
      <c r="S103">
        <v>49.747157992761011</v>
      </c>
      <c r="T103">
        <v>49.561967903647734</v>
      </c>
      <c r="U103">
        <v>49.661486974744527</v>
      </c>
      <c r="V103">
        <v>48.928890138339781</v>
      </c>
      <c r="W103">
        <v>49.552166494905578</v>
      </c>
      <c r="X103">
        <v>49.517485180385378</v>
      </c>
      <c r="Y103">
        <v>49.389211093652811</v>
      </c>
      <c r="Z103">
        <v>49.401397509245939</v>
      </c>
      <c r="AA103">
        <v>49.483045357505553</v>
      </c>
      <c r="AB103">
        <v>49.52632238567832</v>
      </c>
    </row>
    <row r="104" spans="1:28" x14ac:dyDescent="0.3">
      <c r="A104" t="s">
        <v>558</v>
      </c>
      <c r="B104" s="5" t="s">
        <v>559</v>
      </c>
      <c r="C104" t="s">
        <v>247</v>
      </c>
      <c r="D104" s="5" t="s">
        <v>248</v>
      </c>
      <c r="E104">
        <v>41.975308641975303</v>
      </c>
      <c r="F104">
        <v>41.975308641975303</v>
      </c>
      <c r="G104">
        <v>41.975308641975303</v>
      </c>
      <c r="H104">
        <v>41.975308641975303</v>
      </c>
      <c r="I104">
        <v>41.975308641975303</v>
      </c>
      <c r="J104">
        <v>41.975308641975303</v>
      </c>
      <c r="K104">
        <v>41.975308641975303</v>
      </c>
      <c r="L104">
        <v>41.975308641975303</v>
      </c>
      <c r="M104">
        <v>41.975308641975303</v>
      </c>
      <c r="N104">
        <v>41.975308641975303</v>
      </c>
      <c r="O104">
        <v>41.975308641975303</v>
      </c>
      <c r="P104">
        <v>41.975308641975303</v>
      </c>
      <c r="Q104">
        <v>41.975308641975303</v>
      </c>
      <c r="R104">
        <v>41.975308641975303</v>
      </c>
      <c r="S104">
        <v>41.975308641975303</v>
      </c>
      <c r="T104">
        <v>41.975308641975303</v>
      </c>
      <c r="U104">
        <v>41.975308641975303</v>
      </c>
      <c r="V104">
        <v>41.975308641975303</v>
      </c>
      <c r="W104">
        <v>41.975308641975303</v>
      </c>
      <c r="X104">
        <v>41.975308641975303</v>
      </c>
      <c r="Y104">
        <v>41.975308641975303</v>
      </c>
      <c r="Z104">
        <v>41.975308641975303</v>
      </c>
      <c r="AA104">
        <v>41.975308641975303</v>
      </c>
      <c r="AB104">
        <v>41.975308641975303</v>
      </c>
    </row>
    <row r="105" spans="1:28" x14ac:dyDescent="0.3">
      <c r="A105" t="s">
        <v>558</v>
      </c>
      <c r="B105" s="5" t="s">
        <v>559</v>
      </c>
      <c r="C105" t="s">
        <v>249</v>
      </c>
      <c r="D105" s="5" t="s">
        <v>250</v>
      </c>
      <c r="E105">
        <v>21.004733826094181</v>
      </c>
      <c r="F105">
        <v>21.031226642305455</v>
      </c>
      <c r="G105">
        <v>21.041217506851588</v>
      </c>
      <c r="H105">
        <v>21.047462835312682</v>
      </c>
      <c r="I105">
        <v>21.085275309359687</v>
      </c>
      <c r="J105">
        <v>21.513960634498797</v>
      </c>
      <c r="K105">
        <v>21.547454530354621</v>
      </c>
      <c r="L105">
        <v>21.564836807574121</v>
      </c>
      <c r="M105">
        <v>22.060393655012042</v>
      </c>
      <c r="N105">
        <v>22.142853583589403</v>
      </c>
      <c r="O105">
        <v>22.201544722199156</v>
      </c>
      <c r="P105">
        <v>21.859480109625444</v>
      </c>
      <c r="Q105">
        <v>21.852836143177477</v>
      </c>
      <c r="R105">
        <v>21.852836143177477</v>
      </c>
      <c r="S105">
        <v>21.834922348642138</v>
      </c>
      <c r="T105">
        <v>21.846964537829084</v>
      </c>
      <c r="U105">
        <v>21.61780583008056</v>
      </c>
      <c r="V105">
        <v>21.56797608172079</v>
      </c>
      <c r="W105">
        <v>21.576281039780749</v>
      </c>
      <c r="X105">
        <v>21.551366165600864</v>
      </c>
      <c r="Y105">
        <v>21.563823602690807</v>
      </c>
      <c r="Z105">
        <v>21.559671123660827</v>
      </c>
      <c r="AA105">
        <v>21.553027157212856</v>
      </c>
      <c r="AB105">
        <v>21.553857653018852</v>
      </c>
    </row>
    <row r="106" spans="1:28" x14ac:dyDescent="0.3">
      <c r="A106" t="s">
        <v>558</v>
      </c>
      <c r="B106" s="5" t="s">
        <v>559</v>
      </c>
      <c r="C106" t="s">
        <v>34</v>
      </c>
      <c r="D106" s="5" t="s">
        <v>251</v>
      </c>
      <c r="E106">
        <v>20.454074227659135</v>
      </c>
      <c r="F106">
        <v>20.105437254496589</v>
      </c>
      <c r="G106">
        <v>19.82642835003616</v>
      </c>
      <c r="H106">
        <v>19.648760330578511</v>
      </c>
      <c r="I106">
        <v>19.551745507126629</v>
      </c>
      <c r="J106">
        <v>19.421786267423851</v>
      </c>
      <c r="K106">
        <v>19.178364987613541</v>
      </c>
      <c r="L106">
        <v>18.984729673957904</v>
      </c>
      <c r="M106">
        <v>18.733890091762039</v>
      </c>
      <c r="N106">
        <v>18.49371522769421</v>
      </c>
      <c r="O106">
        <v>18.24074074074074</v>
      </c>
      <c r="P106">
        <v>18.068731350962032</v>
      </c>
      <c r="Q106">
        <v>18.374267803925598</v>
      </c>
      <c r="R106">
        <v>18.154291462238007</v>
      </c>
      <c r="S106">
        <v>17.944165041568304</v>
      </c>
      <c r="T106">
        <v>17.815177792600952</v>
      </c>
      <c r="U106">
        <v>17.446070838761297</v>
      </c>
      <c r="V106">
        <v>17.195159470823505</v>
      </c>
      <c r="W106">
        <v>16.940114848236259</v>
      </c>
      <c r="X106">
        <v>16.772540983606557</v>
      </c>
      <c r="Y106">
        <v>16.608606557377048</v>
      </c>
      <c r="Z106">
        <v>16.424180327868854</v>
      </c>
      <c r="AA106">
        <v>16.229508196721312</v>
      </c>
      <c r="AB106">
        <v>16.065573770491802</v>
      </c>
    </row>
    <row r="107" spans="1:28" x14ac:dyDescent="0.3">
      <c r="A107" t="s">
        <v>558</v>
      </c>
      <c r="B107" s="5" t="s">
        <v>559</v>
      </c>
      <c r="C107" t="s">
        <v>252</v>
      </c>
      <c r="D107" s="5" t="s">
        <v>253</v>
      </c>
      <c r="E107" t="s">
        <v>73</v>
      </c>
      <c r="F107" t="s">
        <v>73</v>
      </c>
      <c r="G107" t="s">
        <v>73</v>
      </c>
      <c r="H107" t="s">
        <v>73</v>
      </c>
      <c r="I107" t="s">
        <v>73</v>
      </c>
      <c r="J107" t="s">
        <v>73</v>
      </c>
      <c r="K107" t="s">
        <v>73</v>
      </c>
      <c r="L107" t="s">
        <v>73</v>
      </c>
      <c r="M107" t="s">
        <v>73</v>
      </c>
      <c r="N107" t="s">
        <v>73</v>
      </c>
      <c r="O107" t="s">
        <v>73</v>
      </c>
      <c r="P107" t="s">
        <v>73</v>
      </c>
      <c r="Q107" t="s">
        <v>73</v>
      </c>
      <c r="R107" t="s">
        <v>73</v>
      </c>
      <c r="S107" t="s">
        <v>73</v>
      </c>
      <c r="T107" t="s">
        <v>73</v>
      </c>
      <c r="U107" t="s">
        <v>73</v>
      </c>
      <c r="V107" t="s">
        <v>73</v>
      </c>
      <c r="W107" t="s">
        <v>73</v>
      </c>
      <c r="X107" t="s">
        <v>73</v>
      </c>
      <c r="Y107" t="s">
        <v>73</v>
      </c>
      <c r="Z107" t="s">
        <v>73</v>
      </c>
      <c r="AA107" t="s">
        <v>73</v>
      </c>
      <c r="AB107" t="s">
        <v>73</v>
      </c>
    </row>
    <row r="108" spans="1:28" x14ac:dyDescent="0.3">
      <c r="A108" t="s">
        <v>558</v>
      </c>
      <c r="B108" s="5" t="s">
        <v>559</v>
      </c>
      <c r="C108" t="s">
        <v>254</v>
      </c>
      <c r="D108" s="5" t="s">
        <v>255</v>
      </c>
      <c r="E108">
        <v>8.305274971941639</v>
      </c>
      <c r="F108">
        <v>8.4736251402918068</v>
      </c>
      <c r="G108">
        <v>8.4736251402918068</v>
      </c>
      <c r="H108">
        <v>8.4736251402918068</v>
      </c>
      <c r="I108">
        <v>8.4175084175084187</v>
      </c>
      <c r="J108">
        <v>8.4175084175084187</v>
      </c>
      <c r="K108">
        <v>8.4175084175084187</v>
      </c>
      <c r="L108">
        <v>8.4736251402918068</v>
      </c>
      <c r="M108">
        <v>8.4736251402918068</v>
      </c>
      <c r="N108">
        <v>8.5016835016835017</v>
      </c>
      <c r="O108">
        <v>8.5297418630751967</v>
      </c>
      <c r="P108">
        <v>8.5578002244668916</v>
      </c>
      <c r="Q108">
        <v>8.5297418630751967</v>
      </c>
      <c r="R108">
        <v>8.6195286195286194</v>
      </c>
      <c r="S108">
        <v>8.5353535353535346</v>
      </c>
      <c r="T108">
        <v>8.3838383838383841</v>
      </c>
      <c r="U108">
        <v>8.4175084175084187</v>
      </c>
      <c r="V108">
        <v>8.496071829405162</v>
      </c>
      <c r="W108">
        <v>8.4175084175084187</v>
      </c>
      <c r="X108">
        <v>8.4175084175084187</v>
      </c>
      <c r="Y108">
        <v>8.4175084175084187</v>
      </c>
      <c r="Z108">
        <v>8.4175084175084187</v>
      </c>
      <c r="AA108">
        <v>8.4175084175084187</v>
      </c>
      <c r="AB108">
        <v>8.4175084175084187</v>
      </c>
    </row>
    <row r="109" spans="1:28" x14ac:dyDescent="0.3">
      <c r="A109" t="s">
        <v>558</v>
      </c>
      <c r="B109" s="5" t="s">
        <v>559</v>
      </c>
      <c r="C109" t="s">
        <v>256</v>
      </c>
      <c r="D109" s="5" t="s">
        <v>257</v>
      </c>
      <c r="E109">
        <v>55.860271115745562</v>
      </c>
      <c r="F109">
        <v>56.183524504692386</v>
      </c>
      <c r="G109">
        <v>56.183524504692386</v>
      </c>
      <c r="H109">
        <v>56.517205422314909</v>
      </c>
      <c r="I109">
        <v>56.152241918665283</v>
      </c>
      <c r="J109">
        <v>56.021897810218981</v>
      </c>
      <c r="K109">
        <v>55.949426485922835</v>
      </c>
      <c r="L109">
        <v>55.93639207507821</v>
      </c>
      <c r="M109">
        <v>55.929092805005212</v>
      </c>
      <c r="N109">
        <v>55.356100104275285</v>
      </c>
      <c r="O109">
        <v>55.327945776850882</v>
      </c>
      <c r="P109">
        <v>55.310218978102185</v>
      </c>
      <c r="Q109">
        <v>55.22054223149113</v>
      </c>
      <c r="R109">
        <v>55.040145985401459</v>
      </c>
      <c r="S109">
        <v>55.042231491136597</v>
      </c>
      <c r="T109">
        <v>55.037539103232533</v>
      </c>
      <c r="U109">
        <v>54.958811261730965</v>
      </c>
      <c r="V109">
        <v>54.953597497393112</v>
      </c>
      <c r="W109">
        <v>54.070907194994788</v>
      </c>
      <c r="X109">
        <v>54.058394160583944</v>
      </c>
      <c r="Y109">
        <v>54.05526590198123</v>
      </c>
      <c r="Z109">
        <v>54.046402502606881</v>
      </c>
      <c r="AA109">
        <v>55.252606882168934</v>
      </c>
      <c r="AB109">
        <v>54.008571428571429</v>
      </c>
    </row>
    <row r="110" spans="1:28" x14ac:dyDescent="0.3">
      <c r="A110" t="s">
        <v>558</v>
      </c>
      <c r="B110" s="5" t="s">
        <v>559</v>
      </c>
      <c r="C110" t="s">
        <v>258</v>
      </c>
      <c r="D110" s="5" t="s">
        <v>259</v>
      </c>
      <c r="E110">
        <v>7.8249566724436743</v>
      </c>
      <c r="F110">
        <v>7.9766031195840554</v>
      </c>
      <c r="G110">
        <v>8.1282495667244365</v>
      </c>
      <c r="H110">
        <v>8.2798960138648177</v>
      </c>
      <c r="I110">
        <v>8.4315424610051988</v>
      </c>
      <c r="J110">
        <v>8.6005199306759099</v>
      </c>
      <c r="K110">
        <v>8.7738301559792031</v>
      </c>
      <c r="L110">
        <v>8.9384748700173304</v>
      </c>
      <c r="M110">
        <v>9.1161178509532057</v>
      </c>
      <c r="N110">
        <v>9.3934142114384755</v>
      </c>
      <c r="O110">
        <v>9.5038994800693235</v>
      </c>
      <c r="P110">
        <v>9.6178509532062382</v>
      </c>
      <c r="Q110">
        <v>9.7827123050259956</v>
      </c>
      <c r="R110">
        <v>10.149046793760833</v>
      </c>
      <c r="S110">
        <v>10.34315424610052</v>
      </c>
      <c r="T110">
        <v>10.454506065857885</v>
      </c>
      <c r="U110">
        <v>10.511265164644715</v>
      </c>
      <c r="V110">
        <v>10.223570190641249</v>
      </c>
      <c r="W110">
        <v>10.051126516464471</v>
      </c>
      <c r="X110">
        <v>9.8045927209705361</v>
      </c>
      <c r="Y110">
        <v>9.5662911611785102</v>
      </c>
      <c r="Z110">
        <v>9.5771230502599654</v>
      </c>
      <c r="AA110">
        <v>9.7911611785095314</v>
      </c>
      <c r="AB110">
        <v>9.9098786828422885</v>
      </c>
    </row>
    <row r="111" spans="1:28" x14ac:dyDescent="0.3">
      <c r="A111" t="s">
        <v>558</v>
      </c>
      <c r="B111" s="5" t="s">
        <v>559</v>
      </c>
      <c r="C111" t="s">
        <v>28</v>
      </c>
      <c r="D111" s="5" t="s">
        <v>260</v>
      </c>
      <c r="E111">
        <v>25.519469040770083</v>
      </c>
      <c r="F111">
        <v>25.406977678499686</v>
      </c>
      <c r="G111">
        <v>25.631960403040484</v>
      </c>
      <c r="H111">
        <v>25.423047873109745</v>
      </c>
      <c r="I111">
        <v>26.38725954971315</v>
      </c>
      <c r="J111">
        <v>27.865717453838368</v>
      </c>
      <c r="K111">
        <v>29.81021100165523</v>
      </c>
      <c r="L111">
        <v>29.553087887894325</v>
      </c>
      <c r="M111">
        <v>29.328105163353531</v>
      </c>
      <c r="N111">
        <v>29.456666720233983</v>
      </c>
      <c r="O111">
        <v>29.006701271152398</v>
      </c>
      <c r="P111">
        <v>29.183473411863019</v>
      </c>
      <c r="Q111">
        <v>29.585228277114435</v>
      </c>
      <c r="R111">
        <v>30.163755283076476</v>
      </c>
      <c r="S111">
        <v>30.083404310026197</v>
      </c>
      <c r="T111">
        <v>30.284281742651903</v>
      </c>
      <c r="U111">
        <v>31.031545792019543</v>
      </c>
      <c r="V111">
        <v>31.063686181239653</v>
      </c>
      <c r="W111">
        <v>31.14403715428994</v>
      </c>
      <c r="X111">
        <v>31.497581435711187</v>
      </c>
      <c r="Y111">
        <v>31.640687771171461</v>
      </c>
      <c r="Z111">
        <v>31.656757191065406</v>
      </c>
      <c r="AA111">
        <v>31.656757191065406</v>
      </c>
      <c r="AB111">
        <v>31.672826610959344</v>
      </c>
    </row>
    <row r="112" spans="1:28" x14ac:dyDescent="0.3">
      <c r="A112" t="s">
        <v>558</v>
      </c>
      <c r="B112" s="5" t="s">
        <v>559</v>
      </c>
      <c r="C112" t="s">
        <v>261</v>
      </c>
      <c r="D112" s="5" t="s">
        <v>262</v>
      </c>
      <c r="E112">
        <v>58.162267839687196</v>
      </c>
      <c r="F112">
        <v>58.455522971652009</v>
      </c>
      <c r="G112">
        <v>60.215053763440864</v>
      </c>
      <c r="H112">
        <v>61.29032258064516</v>
      </c>
      <c r="I112">
        <v>62.394916911045939</v>
      </c>
      <c r="J112">
        <v>63.831867057673506</v>
      </c>
      <c r="K112">
        <v>66.373411534701859</v>
      </c>
      <c r="L112">
        <v>66.187683284457478</v>
      </c>
      <c r="M112">
        <v>64.809384164222877</v>
      </c>
      <c r="N112">
        <v>64.809384164222877</v>
      </c>
      <c r="O112">
        <v>62.561094819159337</v>
      </c>
      <c r="P112">
        <v>63.636363636363633</v>
      </c>
      <c r="Q112">
        <v>64.320625610948184</v>
      </c>
      <c r="R112">
        <v>64.516129032258064</v>
      </c>
      <c r="S112">
        <v>64.71163245356793</v>
      </c>
      <c r="T112">
        <v>65.004887585532742</v>
      </c>
      <c r="U112">
        <v>65.591397849462368</v>
      </c>
      <c r="V112">
        <v>65.818181818181813</v>
      </c>
      <c r="W112">
        <v>65.645161290322591</v>
      </c>
      <c r="X112">
        <v>65.62072336265885</v>
      </c>
      <c r="Y112">
        <v>65.895894428152488</v>
      </c>
      <c r="Z112">
        <v>66.62949169110459</v>
      </c>
      <c r="AA112">
        <v>66.12756598240469</v>
      </c>
      <c r="AB112">
        <v>65.905552297165201</v>
      </c>
    </row>
    <row r="113" spans="1:28" x14ac:dyDescent="0.3">
      <c r="A113" t="s">
        <v>558</v>
      </c>
      <c r="B113" s="5" t="s">
        <v>559</v>
      </c>
      <c r="C113" t="s">
        <v>263</v>
      </c>
      <c r="D113" s="5" t="s">
        <v>264</v>
      </c>
      <c r="E113">
        <v>76.877470355731219</v>
      </c>
      <c r="F113">
        <v>76.877470355731219</v>
      </c>
      <c r="G113">
        <v>75.889328063241095</v>
      </c>
      <c r="H113">
        <v>75.889328063241095</v>
      </c>
      <c r="I113">
        <v>76.218708827404484</v>
      </c>
      <c r="J113">
        <v>76.646903820816874</v>
      </c>
      <c r="K113">
        <v>75.988142292490124</v>
      </c>
      <c r="L113">
        <v>76.712779973649532</v>
      </c>
      <c r="M113">
        <v>77.799736495388672</v>
      </c>
      <c r="N113">
        <v>77.042160737812921</v>
      </c>
      <c r="O113">
        <v>76.613965744400531</v>
      </c>
      <c r="P113">
        <v>76.152832674571798</v>
      </c>
      <c r="Q113">
        <v>75.273386034255594</v>
      </c>
      <c r="R113">
        <v>74.179841897233203</v>
      </c>
      <c r="S113">
        <v>74.976943346508563</v>
      </c>
      <c r="T113">
        <v>73.221343873517782</v>
      </c>
      <c r="U113">
        <v>77.602108036890655</v>
      </c>
      <c r="V113">
        <v>79.644268774703548</v>
      </c>
      <c r="W113">
        <v>80.148221343873516</v>
      </c>
      <c r="X113">
        <v>70.961791831357047</v>
      </c>
      <c r="Y113">
        <v>77.384716732542827</v>
      </c>
      <c r="Z113">
        <v>73.432147562582344</v>
      </c>
      <c r="AA113">
        <v>74.947299077733859</v>
      </c>
      <c r="AB113">
        <v>77.758498023715418</v>
      </c>
    </row>
    <row r="114" spans="1:28" x14ac:dyDescent="0.3">
      <c r="A114" t="s">
        <v>558</v>
      </c>
      <c r="B114" s="5" t="s">
        <v>559</v>
      </c>
      <c r="C114" t="s">
        <v>265</v>
      </c>
      <c r="D114" s="5" t="s">
        <v>266</v>
      </c>
      <c r="E114">
        <v>14.193482142857142</v>
      </c>
      <c r="F114">
        <v>14.506779485049833</v>
      </c>
      <c r="G114">
        <v>14.821140988372095</v>
      </c>
      <c r="H114">
        <v>15.135464078073088</v>
      </c>
      <c r="I114">
        <v>15.449584717607973</v>
      </c>
      <c r="J114">
        <v>15.759581602990034</v>
      </c>
      <c r="K114">
        <v>16.069356312292356</v>
      </c>
      <c r="L114">
        <v>16.374386420265779</v>
      </c>
      <c r="M114">
        <v>16.686272840531561</v>
      </c>
      <c r="N114">
        <v>16.996792981727577</v>
      </c>
      <c r="O114">
        <v>17.307252906976743</v>
      </c>
      <c r="P114">
        <v>17.614816237541529</v>
      </c>
      <c r="Q114">
        <v>17.926040282392027</v>
      </c>
      <c r="R114">
        <v>18.236620639534884</v>
      </c>
      <c r="S114">
        <v>18.546234426910299</v>
      </c>
      <c r="T114">
        <v>18.858525747508306</v>
      </c>
      <c r="U114">
        <v>19.170293812292357</v>
      </c>
      <c r="V114">
        <v>19.483890157807309</v>
      </c>
      <c r="W114">
        <v>19.797589285714288</v>
      </c>
      <c r="X114">
        <v>19.965116279069768</v>
      </c>
      <c r="Y114">
        <v>19.965116279069768</v>
      </c>
      <c r="Z114">
        <v>19.965116279069768</v>
      </c>
      <c r="AA114">
        <v>19.965116279069768</v>
      </c>
      <c r="AB114">
        <v>19.965116279069768</v>
      </c>
    </row>
    <row r="115" spans="1:28" x14ac:dyDescent="0.3">
      <c r="A115" t="s">
        <v>558</v>
      </c>
      <c r="B115" s="5" t="s">
        <v>559</v>
      </c>
      <c r="C115" t="s">
        <v>267</v>
      </c>
      <c r="D115" s="5" t="s">
        <v>268</v>
      </c>
      <c r="E115">
        <v>8.7807040476488165</v>
      </c>
      <c r="F115">
        <v>8.7807040476488165</v>
      </c>
      <c r="G115">
        <v>8.7807040476488165</v>
      </c>
      <c r="H115">
        <v>8.7807040476488165</v>
      </c>
      <c r="I115">
        <v>8.7437625743091942</v>
      </c>
      <c r="J115">
        <v>8.7437625743091942</v>
      </c>
      <c r="K115">
        <v>8.7437625743091942</v>
      </c>
      <c r="L115">
        <v>8.7437625743091942</v>
      </c>
      <c r="M115">
        <v>8.7437625743091942</v>
      </c>
      <c r="N115">
        <v>8.7437625743091942</v>
      </c>
      <c r="O115">
        <v>8.7244393421007764</v>
      </c>
      <c r="P115">
        <v>8.7244393421007764</v>
      </c>
      <c r="Q115">
        <v>8.7267126635370609</v>
      </c>
      <c r="R115">
        <v>8.7267126635370609</v>
      </c>
      <c r="S115">
        <v>8.7238710117417053</v>
      </c>
      <c r="T115">
        <v>8.7238710117417053</v>
      </c>
      <c r="U115">
        <v>8.7238710117417053</v>
      </c>
      <c r="V115">
        <v>8.7238710117417053</v>
      </c>
      <c r="W115">
        <v>8.7238710117417053</v>
      </c>
      <c r="X115">
        <v>8.7238710117417053</v>
      </c>
      <c r="Y115">
        <v>8.7238710117417053</v>
      </c>
      <c r="Z115">
        <v>8.7238710117417053</v>
      </c>
      <c r="AA115">
        <v>8.7238710117417053</v>
      </c>
      <c r="AB115">
        <v>8.7238710117417053</v>
      </c>
    </row>
    <row r="116" spans="1:28" x14ac:dyDescent="0.3">
      <c r="A116" t="s">
        <v>558</v>
      </c>
      <c r="B116" s="5" t="s">
        <v>559</v>
      </c>
      <c r="C116" t="s">
        <v>269</v>
      </c>
      <c r="D116" s="5" t="s">
        <v>270</v>
      </c>
      <c r="E116">
        <v>43.75</v>
      </c>
      <c r="F116">
        <v>43.125</v>
      </c>
      <c r="G116">
        <v>42.3125</v>
      </c>
      <c r="H116">
        <v>41.5</v>
      </c>
      <c r="I116">
        <v>40.6875</v>
      </c>
      <c r="J116">
        <v>39.875</v>
      </c>
      <c r="K116">
        <v>39.0625</v>
      </c>
      <c r="L116">
        <v>38.25</v>
      </c>
      <c r="M116">
        <v>37.4375</v>
      </c>
      <c r="N116">
        <v>36.625</v>
      </c>
      <c r="O116">
        <v>35.8125</v>
      </c>
      <c r="P116">
        <v>35</v>
      </c>
      <c r="Q116">
        <v>34.1875</v>
      </c>
      <c r="R116">
        <v>33.375</v>
      </c>
      <c r="S116">
        <v>32.75</v>
      </c>
      <c r="T116">
        <v>32.625</v>
      </c>
      <c r="U116">
        <v>32.5</v>
      </c>
      <c r="V116">
        <v>32.375</v>
      </c>
      <c r="W116">
        <v>32.375</v>
      </c>
      <c r="X116">
        <v>32.3125</v>
      </c>
      <c r="Y116">
        <v>32.3125</v>
      </c>
      <c r="Z116">
        <v>32.3125</v>
      </c>
      <c r="AA116">
        <v>32.3125</v>
      </c>
      <c r="AB116">
        <v>32.3125</v>
      </c>
    </row>
    <row r="117" spans="1:28" x14ac:dyDescent="0.3">
      <c r="A117" t="s">
        <v>558</v>
      </c>
      <c r="B117" s="5" t="s">
        <v>559</v>
      </c>
      <c r="C117" t="s">
        <v>271</v>
      </c>
      <c r="D117" s="5" t="s">
        <v>272</v>
      </c>
      <c r="E117">
        <v>54.530950861518825</v>
      </c>
      <c r="F117">
        <v>46.202935545628584</v>
      </c>
      <c r="G117">
        <v>46.027440970006381</v>
      </c>
      <c r="H117">
        <v>40.539246968730055</v>
      </c>
      <c r="I117">
        <v>41.549138481174218</v>
      </c>
      <c r="J117">
        <v>45.261646458200381</v>
      </c>
      <c r="K117">
        <v>44.522973835354179</v>
      </c>
      <c r="L117">
        <v>43.010529674537338</v>
      </c>
      <c r="M117">
        <v>42.634224172317509</v>
      </c>
      <c r="N117">
        <v>42.90386916633426</v>
      </c>
      <c r="O117">
        <v>44.23294774631033</v>
      </c>
      <c r="P117">
        <v>44.769760985416603</v>
      </c>
      <c r="Q117">
        <v>45.348948527299996</v>
      </c>
      <c r="R117">
        <v>46.1332269644994</v>
      </c>
      <c r="S117">
        <v>47.125299281723862</v>
      </c>
      <c r="T117">
        <v>47.979249800478854</v>
      </c>
      <c r="U117">
        <v>47.155263241914369</v>
      </c>
      <c r="V117">
        <v>46.859085902204626</v>
      </c>
      <c r="W117">
        <v>47.054127414976847</v>
      </c>
      <c r="X117">
        <v>47.508783136378149</v>
      </c>
      <c r="Y117">
        <v>46.994570424784413</v>
      </c>
      <c r="Z117">
        <v>46.922216898259059</v>
      </c>
      <c r="AA117">
        <v>46.503418311928954</v>
      </c>
      <c r="AB117">
        <v>45.894568690095852</v>
      </c>
    </row>
    <row r="118" spans="1:28" x14ac:dyDescent="0.3">
      <c r="A118" t="s">
        <v>558</v>
      </c>
      <c r="B118" s="5" t="s">
        <v>559</v>
      </c>
      <c r="C118" t="s">
        <v>273</v>
      </c>
      <c r="D118" s="5" t="s">
        <v>274</v>
      </c>
      <c r="E118">
        <v>49.719164407293178</v>
      </c>
      <c r="F118">
        <v>49.719164407293178</v>
      </c>
      <c r="G118">
        <v>49.719164407293178</v>
      </c>
      <c r="H118">
        <v>49.719164407293178</v>
      </c>
      <c r="I118">
        <v>49.719164407293178</v>
      </c>
      <c r="J118">
        <v>50.10759537922516</v>
      </c>
      <c r="K118">
        <v>50.10759537922516</v>
      </c>
      <c r="L118">
        <v>50.884457323089116</v>
      </c>
      <c r="M118">
        <v>50.884457323089116</v>
      </c>
      <c r="N118">
        <v>50.767928031509527</v>
      </c>
      <c r="O118">
        <v>50.899994561966388</v>
      </c>
      <c r="P118">
        <v>50.989333685510751</v>
      </c>
      <c r="Q118">
        <v>51.047598331300549</v>
      </c>
      <c r="R118">
        <v>50.837845606457279</v>
      </c>
      <c r="S118">
        <v>50.880573013369791</v>
      </c>
      <c r="T118">
        <v>50.989333685510751</v>
      </c>
      <c r="U118">
        <v>50.748894913884854</v>
      </c>
      <c r="V118">
        <v>50.945829416654362</v>
      </c>
      <c r="W118">
        <v>51.101590236399083</v>
      </c>
      <c r="X118">
        <v>51.110679521142302</v>
      </c>
      <c r="Y118">
        <v>51.321869440581715</v>
      </c>
      <c r="Z118">
        <v>51.584332248316144</v>
      </c>
      <c r="AA118">
        <v>51.471143463095167</v>
      </c>
      <c r="AB118">
        <v>51.660620091203604</v>
      </c>
    </row>
    <row r="119" spans="1:28" x14ac:dyDescent="0.3">
      <c r="A119" t="s">
        <v>558</v>
      </c>
      <c r="B119" s="5" t="s">
        <v>559</v>
      </c>
      <c r="C119" t="s">
        <v>275</v>
      </c>
      <c r="D119" s="5" t="s">
        <v>276</v>
      </c>
      <c r="E119" t="s">
        <v>73</v>
      </c>
      <c r="F119" t="s">
        <v>73</v>
      </c>
      <c r="G119" t="s">
        <v>73</v>
      </c>
      <c r="H119" t="s">
        <v>73</v>
      </c>
      <c r="I119" t="s">
        <v>73</v>
      </c>
      <c r="J119" t="s">
        <v>73</v>
      </c>
      <c r="K119" t="s">
        <v>73</v>
      </c>
      <c r="L119" t="s">
        <v>73</v>
      </c>
      <c r="M119" t="s">
        <v>73</v>
      </c>
      <c r="N119" t="s">
        <v>73</v>
      </c>
      <c r="O119" t="s">
        <v>73</v>
      </c>
      <c r="P119" t="s">
        <v>73</v>
      </c>
      <c r="Q119" t="s">
        <v>73</v>
      </c>
      <c r="R119" t="s">
        <v>73</v>
      </c>
      <c r="S119" t="s">
        <v>73</v>
      </c>
      <c r="T119" t="s">
        <v>73</v>
      </c>
      <c r="U119" t="s">
        <v>73</v>
      </c>
      <c r="V119" t="s">
        <v>73</v>
      </c>
      <c r="W119" t="s">
        <v>73</v>
      </c>
      <c r="X119" t="s">
        <v>73</v>
      </c>
      <c r="Y119" t="s">
        <v>73</v>
      </c>
      <c r="Z119" t="s">
        <v>73</v>
      </c>
      <c r="AA119" t="s">
        <v>73</v>
      </c>
      <c r="AB119" t="s">
        <v>73</v>
      </c>
    </row>
    <row r="120" spans="1:28" x14ac:dyDescent="0.3">
      <c r="A120" t="s">
        <v>558</v>
      </c>
      <c r="B120" s="5" t="s">
        <v>559</v>
      </c>
      <c r="C120" t="s">
        <v>277</v>
      </c>
      <c r="D120" s="5" t="s">
        <v>278</v>
      </c>
      <c r="E120">
        <v>69.642672902981744</v>
      </c>
      <c r="F120">
        <v>70.232486157444029</v>
      </c>
      <c r="G120">
        <v>70.232486157444029</v>
      </c>
      <c r="H120">
        <v>70.232486157444029</v>
      </c>
      <c r="I120">
        <v>70.232486157444029</v>
      </c>
      <c r="J120">
        <v>70.318464765966226</v>
      </c>
      <c r="K120">
        <v>70.318464765966226</v>
      </c>
      <c r="L120">
        <v>70.318464765966226</v>
      </c>
      <c r="M120">
        <v>70.321903910307114</v>
      </c>
      <c r="N120">
        <v>70.321903910307114</v>
      </c>
      <c r="O120">
        <v>70.321903910307114</v>
      </c>
      <c r="P120">
        <v>70.291081910294864</v>
      </c>
      <c r="Q120">
        <v>70.291081910294864</v>
      </c>
      <c r="R120">
        <v>70.290477827432113</v>
      </c>
      <c r="S120">
        <v>70.290477827432113</v>
      </c>
      <c r="T120">
        <v>70.290477827432113</v>
      </c>
      <c r="U120">
        <v>70.290477827432113</v>
      </c>
      <c r="V120">
        <v>70.290477827432113</v>
      </c>
      <c r="W120">
        <v>70.290477827432113</v>
      </c>
      <c r="X120">
        <v>70.290477827432113</v>
      </c>
      <c r="Y120">
        <v>70.290477827432113</v>
      </c>
      <c r="Z120">
        <v>70.290477827432113</v>
      </c>
      <c r="AA120">
        <v>70.290477827432113</v>
      </c>
      <c r="AB120">
        <v>70.290477827432113</v>
      </c>
    </row>
    <row r="121" spans="1:28" x14ac:dyDescent="0.3">
      <c r="A121" t="s">
        <v>558</v>
      </c>
      <c r="B121" s="5" t="s">
        <v>559</v>
      </c>
      <c r="C121" t="s">
        <v>279</v>
      </c>
      <c r="D121" s="5" t="s">
        <v>280</v>
      </c>
      <c r="E121">
        <v>50.169707254985155</v>
      </c>
      <c r="F121">
        <v>51.230377598642342</v>
      </c>
      <c r="G121">
        <v>51.230377598642342</v>
      </c>
      <c r="H121">
        <v>52.821383114128132</v>
      </c>
      <c r="I121">
        <v>52.821383114128132</v>
      </c>
      <c r="J121">
        <v>54.942723801442519</v>
      </c>
      <c r="K121">
        <v>56.056427662282559</v>
      </c>
      <c r="L121">
        <v>56.056427662282559</v>
      </c>
      <c r="M121">
        <v>57.647433177768349</v>
      </c>
      <c r="N121">
        <v>58.177768349596946</v>
      </c>
      <c r="O121">
        <v>58.177768349596946</v>
      </c>
      <c r="P121">
        <v>58.177768349596946</v>
      </c>
      <c r="Q121">
        <v>58.177768349596946</v>
      </c>
      <c r="R121">
        <v>58.814170555791257</v>
      </c>
      <c r="S121">
        <v>59.938481120067891</v>
      </c>
      <c r="T121">
        <v>60.521849809079342</v>
      </c>
      <c r="U121">
        <v>61.115825201527365</v>
      </c>
      <c r="V121">
        <v>61.699193890538815</v>
      </c>
      <c r="W121">
        <v>62.293169282986852</v>
      </c>
      <c r="X121">
        <v>62.876537971998303</v>
      </c>
      <c r="Y121">
        <v>63.470513364446333</v>
      </c>
      <c r="Z121">
        <v>64.170555791260071</v>
      </c>
      <c r="AA121">
        <v>64.170555791260071</v>
      </c>
      <c r="AB121">
        <v>64.170555791260071</v>
      </c>
    </row>
    <row r="122" spans="1:28" x14ac:dyDescent="0.3">
      <c r="A122" t="s">
        <v>558</v>
      </c>
      <c r="B122" s="5" t="s">
        <v>559</v>
      </c>
      <c r="C122" t="s">
        <v>281</v>
      </c>
      <c r="D122" s="5" t="s">
        <v>282</v>
      </c>
      <c r="E122">
        <v>21.11915994521382</v>
      </c>
      <c r="F122">
        <v>21.1444224623345</v>
      </c>
      <c r="G122">
        <v>21.41987520925278</v>
      </c>
      <c r="H122">
        <v>21.659534317455488</v>
      </c>
      <c r="I122">
        <v>21.706589560188707</v>
      </c>
      <c r="J122">
        <v>21.71483792421245</v>
      </c>
      <c r="K122">
        <v>21.534621823162382</v>
      </c>
      <c r="L122">
        <v>21.632019479531273</v>
      </c>
      <c r="M122">
        <v>21.763506315629279</v>
      </c>
      <c r="N122">
        <v>21.975346218231621</v>
      </c>
      <c r="O122">
        <v>22.490640693958301</v>
      </c>
      <c r="P122">
        <v>22.920712220362198</v>
      </c>
      <c r="Q122">
        <v>23.829554101354436</v>
      </c>
      <c r="R122">
        <v>24.529904124182011</v>
      </c>
      <c r="S122">
        <v>24.620301323999392</v>
      </c>
      <c r="T122">
        <v>26.084218535991475</v>
      </c>
      <c r="U122">
        <v>26.08735352305585</v>
      </c>
      <c r="V122">
        <v>26.08735352305585</v>
      </c>
      <c r="W122">
        <v>26.08735352305585</v>
      </c>
      <c r="X122">
        <v>26.08735352305585</v>
      </c>
      <c r="Y122">
        <v>26.08735352305585</v>
      </c>
      <c r="Z122">
        <v>26.08735352305585</v>
      </c>
      <c r="AA122">
        <v>26.08735352305585</v>
      </c>
      <c r="AB122">
        <v>26.08735352305585</v>
      </c>
    </row>
    <row r="123" spans="1:28" x14ac:dyDescent="0.3">
      <c r="A123" t="s">
        <v>558</v>
      </c>
      <c r="B123" s="5" t="s">
        <v>559</v>
      </c>
      <c r="C123" t="s">
        <v>283</v>
      </c>
      <c r="D123" s="5" t="s">
        <v>284</v>
      </c>
      <c r="E123">
        <v>30</v>
      </c>
      <c r="F123">
        <v>33.333333333333329</v>
      </c>
      <c r="G123">
        <v>40</v>
      </c>
      <c r="H123">
        <v>40</v>
      </c>
      <c r="I123">
        <v>36.666666666666664</v>
      </c>
      <c r="J123">
        <v>30</v>
      </c>
      <c r="K123">
        <v>23.333333333333332</v>
      </c>
      <c r="L123">
        <v>23.333333333333332</v>
      </c>
      <c r="M123">
        <v>23.333333333333332</v>
      </c>
      <c r="N123">
        <v>23.333333333333332</v>
      </c>
      <c r="O123">
        <v>23</v>
      </c>
      <c r="P123">
        <v>23</v>
      </c>
      <c r="Q123">
        <v>21.333333333333336</v>
      </c>
      <c r="R123">
        <v>21.333333333333336</v>
      </c>
      <c r="S123">
        <v>21.333333333333336</v>
      </c>
      <c r="T123">
        <v>21.333333333333336</v>
      </c>
      <c r="U123">
        <v>21.333333333333336</v>
      </c>
      <c r="V123">
        <v>21.333333333333336</v>
      </c>
      <c r="W123">
        <v>21.333333333333336</v>
      </c>
      <c r="X123">
        <v>21.333333333333336</v>
      </c>
      <c r="Y123">
        <v>21.333333333333336</v>
      </c>
      <c r="Z123">
        <v>19.666666666666664</v>
      </c>
      <c r="AA123">
        <v>19.666666666666664</v>
      </c>
      <c r="AB123">
        <v>19.798657718120804</v>
      </c>
    </row>
    <row r="124" spans="1:28" x14ac:dyDescent="0.3">
      <c r="A124" t="s">
        <v>558</v>
      </c>
      <c r="B124" s="5" t="s">
        <v>559</v>
      </c>
      <c r="C124" t="s">
        <v>285</v>
      </c>
      <c r="D124" s="5" t="s">
        <v>286</v>
      </c>
      <c r="E124">
        <v>31.687687983019035</v>
      </c>
      <c r="F124">
        <v>32.215474639195534</v>
      </c>
      <c r="G124">
        <v>32.522803825633709</v>
      </c>
      <c r="H124">
        <v>33.376769191683266</v>
      </c>
      <c r="I124">
        <v>32.528540637113892</v>
      </c>
      <c r="J124">
        <v>33.103041329628994</v>
      </c>
      <c r="K124">
        <v>33.163687622419459</v>
      </c>
      <c r="L124">
        <v>33.271047951548525</v>
      </c>
      <c r="M124">
        <v>33.462797023414382</v>
      </c>
      <c r="N124">
        <v>33.647306976782303</v>
      </c>
      <c r="O124">
        <v>33.663154590678502</v>
      </c>
      <c r="P124">
        <v>33.808723477491206</v>
      </c>
      <c r="Q124">
        <v>33.965654365303763</v>
      </c>
      <c r="R124">
        <v>34.116562174743272</v>
      </c>
      <c r="S124">
        <v>34.253567149378377</v>
      </c>
      <c r="T124">
        <v>34.3826333603783</v>
      </c>
      <c r="U124">
        <v>34.605957268949915</v>
      </c>
      <c r="V124">
        <v>34.740037125365717</v>
      </c>
      <c r="W124">
        <v>34.911642121308979</v>
      </c>
      <c r="X124">
        <v>35.088828625050198</v>
      </c>
      <c r="Y124">
        <v>35.247678886075121</v>
      </c>
      <c r="Z124">
        <v>35.434385628467695</v>
      </c>
      <c r="AA124">
        <v>35.46612584925299</v>
      </c>
      <c r="AB124">
        <v>35.469466886304588</v>
      </c>
    </row>
    <row r="125" spans="1:28" x14ac:dyDescent="0.3">
      <c r="A125" t="s">
        <v>558</v>
      </c>
      <c r="B125" s="5" t="s">
        <v>559</v>
      </c>
      <c r="C125" t="s">
        <v>287</v>
      </c>
      <c r="D125" s="5" t="s">
        <v>288</v>
      </c>
      <c r="E125">
        <v>28.125</v>
      </c>
      <c r="F125">
        <v>31.25</v>
      </c>
      <c r="G125">
        <v>31.25</v>
      </c>
      <c r="H125">
        <v>32.5</v>
      </c>
      <c r="I125">
        <v>31.25</v>
      </c>
      <c r="J125">
        <v>29.062500000000004</v>
      </c>
      <c r="K125">
        <v>29.062500000000004</v>
      </c>
      <c r="L125">
        <v>29.062500000000004</v>
      </c>
      <c r="M125">
        <v>29.062500000000004</v>
      </c>
      <c r="N125">
        <v>29.062500000000004</v>
      </c>
      <c r="O125">
        <v>32.28125</v>
      </c>
      <c r="P125">
        <v>32.28125</v>
      </c>
      <c r="Q125">
        <v>32.1875</v>
      </c>
      <c r="R125">
        <v>31.96875</v>
      </c>
      <c r="S125">
        <v>31.96875</v>
      </c>
      <c r="T125">
        <v>31.96875</v>
      </c>
      <c r="U125">
        <v>32.4375</v>
      </c>
      <c r="V125">
        <v>32.4375</v>
      </c>
      <c r="W125">
        <v>32.4375</v>
      </c>
      <c r="X125">
        <v>32.4375</v>
      </c>
      <c r="Y125">
        <v>28.46875</v>
      </c>
      <c r="Z125">
        <v>27.34375</v>
      </c>
      <c r="AA125">
        <v>27.34375</v>
      </c>
      <c r="AB125">
        <v>25.909375000000001</v>
      </c>
    </row>
    <row r="126" spans="1:28" x14ac:dyDescent="0.3">
      <c r="A126" t="s">
        <v>558</v>
      </c>
      <c r="B126" s="5" t="s">
        <v>559</v>
      </c>
      <c r="C126" t="s">
        <v>289</v>
      </c>
      <c r="D126" s="5" t="s">
        <v>290</v>
      </c>
      <c r="E126">
        <v>47.222222222222221</v>
      </c>
      <c r="F126">
        <v>47.222222222222221</v>
      </c>
      <c r="G126">
        <v>47.222222222222221</v>
      </c>
      <c r="H126">
        <v>47.222222222222221</v>
      </c>
      <c r="I126">
        <v>47.222222222222221</v>
      </c>
      <c r="J126">
        <v>47.222222222222221</v>
      </c>
      <c r="K126">
        <v>47.222222222222221</v>
      </c>
      <c r="L126">
        <v>47.222222222222221</v>
      </c>
      <c r="M126">
        <v>47.222222222222221</v>
      </c>
      <c r="N126">
        <v>47.222222222222221</v>
      </c>
      <c r="O126">
        <v>47.222222222222221</v>
      </c>
      <c r="P126">
        <v>47.222222222222221</v>
      </c>
      <c r="Q126">
        <v>41.666666666666671</v>
      </c>
      <c r="R126">
        <v>38.888888888888893</v>
      </c>
      <c r="S126">
        <v>38.888888888888893</v>
      </c>
      <c r="T126">
        <v>38.888888888888893</v>
      </c>
      <c r="U126">
        <v>38.888888888888893</v>
      </c>
      <c r="V126">
        <v>38.888888888888893</v>
      </c>
      <c r="W126">
        <v>38.888888888888893</v>
      </c>
      <c r="X126">
        <v>38.888888888888893</v>
      </c>
      <c r="Y126">
        <v>38.888888888888893</v>
      </c>
      <c r="Z126">
        <v>38.888888888888893</v>
      </c>
      <c r="AA126">
        <v>38.888888888888893</v>
      </c>
      <c r="AB126">
        <v>38.888888888888893</v>
      </c>
    </row>
    <row r="127" spans="1:28" x14ac:dyDescent="0.3">
      <c r="A127" t="s">
        <v>558</v>
      </c>
      <c r="B127" s="5" t="s">
        <v>559</v>
      </c>
      <c r="C127" t="s">
        <v>291</v>
      </c>
      <c r="D127" s="5" t="s">
        <v>292</v>
      </c>
      <c r="E127">
        <v>38.527214514407682</v>
      </c>
      <c r="F127">
        <v>38.527214514407682</v>
      </c>
      <c r="G127">
        <v>38.527214514407682</v>
      </c>
      <c r="H127">
        <v>38.527214514407682</v>
      </c>
      <c r="I127">
        <v>38.527214514407682</v>
      </c>
      <c r="J127">
        <v>38.527214514407682</v>
      </c>
      <c r="K127">
        <v>38.527214514407682</v>
      </c>
      <c r="L127">
        <v>38.527214514407682</v>
      </c>
      <c r="M127">
        <v>38.527214514407682</v>
      </c>
      <c r="N127">
        <v>38.527214514407682</v>
      </c>
      <c r="O127">
        <v>38.527214514407682</v>
      </c>
      <c r="P127">
        <v>38.527214514407682</v>
      </c>
      <c r="Q127">
        <v>38.527214514407682</v>
      </c>
      <c r="R127">
        <v>38.527214514407682</v>
      </c>
      <c r="S127">
        <v>38.527214514407682</v>
      </c>
      <c r="T127">
        <v>38.527214514407682</v>
      </c>
      <c r="U127">
        <v>38.527214514407682</v>
      </c>
      <c r="V127">
        <v>38.527214514407682</v>
      </c>
      <c r="W127">
        <v>38.527214514407682</v>
      </c>
      <c r="X127">
        <v>38.527214514407682</v>
      </c>
      <c r="Y127">
        <v>38.527214514407682</v>
      </c>
      <c r="Z127">
        <v>38.527214514407682</v>
      </c>
      <c r="AA127">
        <v>38.527214514407682</v>
      </c>
      <c r="AB127">
        <v>38.527214514407682</v>
      </c>
    </row>
    <row r="128" spans="1:28" x14ac:dyDescent="0.3">
      <c r="A128" t="s">
        <v>558</v>
      </c>
      <c r="B128" s="5" t="s">
        <v>559</v>
      </c>
      <c r="C128" t="s">
        <v>293</v>
      </c>
      <c r="D128" s="5" t="s">
        <v>294</v>
      </c>
      <c r="E128">
        <v>49.103891625615759</v>
      </c>
      <c r="F128">
        <v>50.246305418719217</v>
      </c>
      <c r="G128">
        <v>49.261083743842363</v>
      </c>
      <c r="H128">
        <v>48.768472906403943</v>
      </c>
      <c r="I128">
        <v>48.275862068965516</v>
      </c>
      <c r="J128">
        <v>47.290640394088669</v>
      </c>
      <c r="K128">
        <v>46.305418719211822</v>
      </c>
      <c r="L128">
        <v>45.320197044334975</v>
      </c>
      <c r="M128">
        <v>44.827586206896555</v>
      </c>
      <c r="N128">
        <v>44.827586206896555</v>
      </c>
      <c r="O128">
        <v>44.827586206896555</v>
      </c>
      <c r="P128">
        <v>44.566850275413124</v>
      </c>
      <c r="Q128">
        <v>43.565348022033049</v>
      </c>
      <c r="R128">
        <v>43.064596895343016</v>
      </c>
      <c r="S128">
        <v>43.064596895343016</v>
      </c>
      <c r="T128">
        <v>43.064596895343016</v>
      </c>
      <c r="U128">
        <v>43.064596895343016</v>
      </c>
      <c r="V128">
        <v>43.064596895343016</v>
      </c>
      <c r="W128">
        <v>43.064596895343016</v>
      </c>
      <c r="X128">
        <v>43.064596895343016</v>
      </c>
      <c r="Y128">
        <v>43.064596895343016</v>
      </c>
      <c r="Z128">
        <v>43.064596895343016</v>
      </c>
      <c r="AA128">
        <v>43.064596895343016</v>
      </c>
      <c r="AB128">
        <v>43.04326489734602</v>
      </c>
    </row>
    <row r="129" spans="1:28" x14ac:dyDescent="0.3">
      <c r="A129" t="s">
        <v>558</v>
      </c>
      <c r="B129" s="5" t="s">
        <v>559</v>
      </c>
      <c r="C129" t="s">
        <v>29</v>
      </c>
      <c r="D129" s="5" t="s">
        <v>295</v>
      </c>
      <c r="E129">
        <v>54.697908896833766</v>
      </c>
      <c r="F129">
        <v>54.811080531906683</v>
      </c>
      <c r="G129">
        <v>54.811080531906683</v>
      </c>
      <c r="H129">
        <v>54.811080531906683</v>
      </c>
      <c r="I129">
        <v>54.821368862367862</v>
      </c>
      <c r="J129">
        <v>54.821368862367862</v>
      </c>
      <c r="K129">
        <v>54.821368862367862</v>
      </c>
      <c r="L129">
        <v>54.888243010365493</v>
      </c>
      <c r="M129">
        <v>53.167519740734072</v>
      </c>
      <c r="N129">
        <v>52.821317420715552</v>
      </c>
      <c r="O129">
        <v>52.371202963039174</v>
      </c>
      <c r="P129">
        <v>52.121710949355695</v>
      </c>
      <c r="Q129">
        <v>51.705033565678129</v>
      </c>
      <c r="R129">
        <v>51.177242213019881</v>
      </c>
      <c r="S129">
        <v>50.797602819002542</v>
      </c>
      <c r="T129">
        <v>50.762622495434549</v>
      </c>
      <c r="U129">
        <v>50.586692044548478</v>
      </c>
      <c r="V129">
        <v>49.870624244450731</v>
      </c>
      <c r="W129">
        <v>49.649425139535481</v>
      </c>
      <c r="X129">
        <v>49.438514365081403</v>
      </c>
      <c r="Y129">
        <v>51.514944108644769</v>
      </c>
      <c r="Z129">
        <v>51.506407829419473</v>
      </c>
      <c r="AA129">
        <v>50.870122688340743</v>
      </c>
      <c r="AB129">
        <v>50.693387998662509</v>
      </c>
    </row>
    <row r="130" spans="1:28" x14ac:dyDescent="0.3">
      <c r="A130" t="s">
        <v>558</v>
      </c>
      <c r="B130" s="5" t="s">
        <v>559</v>
      </c>
      <c r="C130" t="s">
        <v>296</v>
      </c>
      <c r="D130" s="5" t="s">
        <v>297</v>
      </c>
      <c r="E130">
        <v>7.8571428571428568</v>
      </c>
      <c r="F130">
        <v>7.8571428571428568</v>
      </c>
      <c r="G130">
        <v>7.8571428571428568</v>
      </c>
      <c r="H130">
        <v>7.8571428571428568</v>
      </c>
      <c r="I130">
        <v>7.8571428571428568</v>
      </c>
      <c r="J130">
        <v>7.8571428571428568</v>
      </c>
      <c r="K130">
        <v>7.8571428571428568</v>
      </c>
      <c r="L130">
        <v>7.8571428571428568</v>
      </c>
      <c r="M130">
        <v>7.8571428571428568</v>
      </c>
      <c r="N130">
        <v>7.1428571428571423</v>
      </c>
      <c r="O130">
        <v>7.1428571428571423</v>
      </c>
      <c r="P130">
        <v>7.1428571428571423</v>
      </c>
      <c r="Q130">
        <v>7.1428571428571423</v>
      </c>
      <c r="R130">
        <v>7.1428571428571423</v>
      </c>
      <c r="S130">
        <v>7.1428571428571423</v>
      </c>
      <c r="T130">
        <v>7.1428571428571423</v>
      </c>
      <c r="U130">
        <v>7.1428571428571423</v>
      </c>
      <c r="V130">
        <v>7.1428571428571423</v>
      </c>
      <c r="W130">
        <v>7.1428571428571423</v>
      </c>
      <c r="X130">
        <v>7.1428571428571423</v>
      </c>
      <c r="Y130">
        <v>7.1428571428571423</v>
      </c>
      <c r="Z130">
        <v>7.1428571428571423</v>
      </c>
      <c r="AA130">
        <v>7.1428571428571423</v>
      </c>
      <c r="AB130">
        <v>7.1428571428571423</v>
      </c>
    </row>
    <row r="131" spans="1:28" x14ac:dyDescent="0.3">
      <c r="A131" t="s">
        <v>558</v>
      </c>
      <c r="B131" s="5" t="s">
        <v>559</v>
      </c>
      <c r="C131" t="s">
        <v>298</v>
      </c>
      <c r="D131" s="5" t="s">
        <v>299</v>
      </c>
      <c r="E131">
        <v>77.372262773722639</v>
      </c>
      <c r="F131">
        <v>77.22019464720195</v>
      </c>
      <c r="G131">
        <v>77.068126520681261</v>
      </c>
      <c r="H131">
        <v>76.909035594767261</v>
      </c>
      <c r="I131">
        <v>76.703163017031628</v>
      </c>
      <c r="J131">
        <v>75.98054119793251</v>
      </c>
      <c r="K131">
        <v>75.494071146245062</v>
      </c>
      <c r="L131">
        <v>75.554879902705991</v>
      </c>
      <c r="M131">
        <v>75.433262389784133</v>
      </c>
      <c r="N131">
        <v>75.159622985709944</v>
      </c>
      <c r="O131">
        <v>75.038051750380518</v>
      </c>
      <c r="P131">
        <v>74.946727549467269</v>
      </c>
      <c r="Q131">
        <v>74.863055386488128</v>
      </c>
      <c r="R131">
        <v>74.847931873479325</v>
      </c>
      <c r="S131">
        <v>70.407542579075425</v>
      </c>
      <c r="T131">
        <v>70.49878345498783</v>
      </c>
      <c r="U131">
        <v>70.495742092457419</v>
      </c>
      <c r="V131">
        <v>70.456065673456976</v>
      </c>
      <c r="W131">
        <v>68.635530160892557</v>
      </c>
      <c r="X131">
        <v>68.771114672245545</v>
      </c>
      <c r="Y131">
        <v>75.144596558875591</v>
      </c>
      <c r="Z131">
        <v>75.068409851018544</v>
      </c>
      <c r="AA131">
        <v>74.969586374695865</v>
      </c>
      <c r="AB131">
        <v>74.096568478590953</v>
      </c>
    </row>
    <row r="132" spans="1:28" x14ac:dyDescent="0.3">
      <c r="A132" t="s">
        <v>558</v>
      </c>
      <c r="B132" s="5" t="s">
        <v>559</v>
      </c>
      <c r="C132" t="s">
        <v>300</v>
      </c>
      <c r="D132" s="5" t="s">
        <v>301</v>
      </c>
      <c r="E132" t="s">
        <v>73</v>
      </c>
      <c r="F132" t="s">
        <v>73</v>
      </c>
      <c r="G132" t="s">
        <v>73</v>
      </c>
      <c r="H132" t="s">
        <v>73</v>
      </c>
      <c r="I132" t="s">
        <v>73</v>
      </c>
      <c r="J132" t="s">
        <v>73</v>
      </c>
      <c r="K132" t="s">
        <v>73</v>
      </c>
      <c r="L132" t="s">
        <v>73</v>
      </c>
      <c r="M132" t="s">
        <v>73</v>
      </c>
      <c r="N132" t="s">
        <v>73</v>
      </c>
      <c r="O132" t="s">
        <v>73</v>
      </c>
      <c r="P132" t="s">
        <v>73</v>
      </c>
      <c r="Q132" t="s">
        <v>73</v>
      </c>
      <c r="R132" t="s">
        <v>73</v>
      </c>
      <c r="S132" t="s">
        <v>73</v>
      </c>
      <c r="T132" t="s">
        <v>73</v>
      </c>
      <c r="U132" t="s">
        <v>73</v>
      </c>
      <c r="V132" t="s">
        <v>73</v>
      </c>
      <c r="W132" t="s">
        <v>73</v>
      </c>
      <c r="X132" t="s">
        <v>73</v>
      </c>
      <c r="Y132" t="s">
        <v>73</v>
      </c>
      <c r="Z132" t="s">
        <v>73</v>
      </c>
      <c r="AA132" t="s">
        <v>73</v>
      </c>
      <c r="AB132" t="s">
        <v>73</v>
      </c>
    </row>
    <row r="133" spans="1:28" x14ac:dyDescent="0.3">
      <c r="A133" t="s">
        <v>558</v>
      </c>
      <c r="B133" s="5" t="s">
        <v>559</v>
      </c>
      <c r="C133" t="s">
        <v>302</v>
      </c>
      <c r="D133" s="5" t="s">
        <v>303</v>
      </c>
      <c r="E133">
        <v>84.31351526805706</v>
      </c>
      <c r="F133">
        <v>84.09347424752535</v>
      </c>
      <c r="G133">
        <v>84.086030331892218</v>
      </c>
      <c r="H133">
        <v>73.501270183771069</v>
      </c>
      <c r="I133">
        <v>73.43635319426707</v>
      </c>
      <c r="J133">
        <v>73.29166784423127</v>
      </c>
      <c r="K133">
        <v>73.663122527995668</v>
      </c>
      <c r="L133">
        <v>73.632752548962117</v>
      </c>
      <c r="M133">
        <v>73.521391237452505</v>
      </c>
      <c r="N133">
        <v>73.369254762399066</v>
      </c>
      <c r="O133">
        <v>73.338846757295386</v>
      </c>
      <c r="P133">
        <v>73.326477594058844</v>
      </c>
      <c r="Q133">
        <v>73.249485107241924</v>
      </c>
      <c r="R133">
        <v>73.225273041092564</v>
      </c>
      <c r="S133">
        <v>73.001629001278985</v>
      </c>
      <c r="T133">
        <v>72.990217275855969</v>
      </c>
      <c r="U133">
        <v>72.923677130931765</v>
      </c>
      <c r="V133">
        <v>72.863571383345345</v>
      </c>
      <c r="W133">
        <v>72.841634799695626</v>
      </c>
      <c r="X133">
        <v>72.664195656724829</v>
      </c>
      <c r="Y133">
        <v>72.218989145564578</v>
      </c>
      <c r="Z133">
        <v>72.179174475620329</v>
      </c>
      <c r="AA133">
        <v>71.909650660348888</v>
      </c>
      <c r="AB133">
        <v>68.955572958930134</v>
      </c>
    </row>
    <row r="134" spans="1:28" x14ac:dyDescent="0.3">
      <c r="A134" t="s">
        <v>558</v>
      </c>
      <c r="B134" s="5" t="s">
        <v>559</v>
      </c>
      <c r="C134" t="s">
        <v>304</v>
      </c>
      <c r="D134" s="5" t="s">
        <v>305</v>
      </c>
      <c r="E134" t="s">
        <v>73</v>
      </c>
      <c r="F134" t="s">
        <v>73</v>
      </c>
      <c r="G134" t="s">
        <v>73</v>
      </c>
      <c r="H134" t="s">
        <v>73</v>
      </c>
      <c r="I134" t="s">
        <v>73</v>
      </c>
      <c r="J134" t="s">
        <v>73</v>
      </c>
      <c r="K134">
        <v>38.289962825278813</v>
      </c>
      <c r="L134">
        <v>38.215613382899626</v>
      </c>
      <c r="M134">
        <v>38.141263940520446</v>
      </c>
      <c r="N134">
        <v>38.215613382899626</v>
      </c>
      <c r="O134">
        <v>38.066914498141266</v>
      </c>
      <c r="P134">
        <v>38.141263940520446</v>
      </c>
      <c r="Q134">
        <v>38.141263940520446</v>
      </c>
      <c r="R134">
        <v>16.589591078066913</v>
      </c>
      <c r="S134">
        <v>17.124163568773234</v>
      </c>
      <c r="T134">
        <v>17.204460966542751</v>
      </c>
      <c r="U134">
        <v>19.011152416356879</v>
      </c>
      <c r="V134">
        <v>19.055762081784387</v>
      </c>
      <c r="W134">
        <v>19.092936802973977</v>
      </c>
      <c r="X134">
        <v>19.107806691449813</v>
      </c>
      <c r="Y134">
        <v>19.178438661710036</v>
      </c>
      <c r="Z134">
        <v>19.000743494423791</v>
      </c>
      <c r="AA134">
        <v>18.884758364312269</v>
      </c>
      <c r="AB134">
        <v>19.592565055762083</v>
      </c>
    </row>
    <row r="135" spans="1:28" x14ac:dyDescent="0.3">
      <c r="A135" t="s">
        <v>558</v>
      </c>
      <c r="B135" s="5" t="s">
        <v>559</v>
      </c>
      <c r="C135" t="s">
        <v>306</v>
      </c>
      <c r="D135" s="5" t="s">
        <v>307</v>
      </c>
      <c r="E135">
        <v>68.680259914855483</v>
      </c>
      <c r="F135">
        <v>68.048397938606314</v>
      </c>
      <c r="G135">
        <v>67.853461796997536</v>
      </c>
      <c r="H135">
        <v>69.182164463365453</v>
      </c>
      <c r="I135">
        <v>67.3112256329823</v>
      </c>
      <c r="J135">
        <v>67.194712077078194</v>
      </c>
      <c r="K135">
        <v>67.098364328926735</v>
      </c>
      <c r="L135">
        <v>67.129733363208601</v>
      </c>
      <c r="M135">
        <v>67.176786914631421</v>
      </c>
      <c r="N135">
        <v>67.225184853237735</v>
      </c>
      <c r="O135">
        <v>67.193143625364101</v>
      </c>
      <c r="P135">
        <v>67.451938158189563</v>
      </c>
      <c r="Q135">
        <v>68.122339233699307</v>
      </c>
      <c r="R135">
        <v>68.53013667936365</v>
      </c>
      <c r="S135">
        <v>67.404212413174989</v>
      </c>
      <c r="T135">
        <v>67.324669504817393</v>
      </c>
      <c r="U135">
        <v>69.179923818059592</v>
      </c>
      <c r="V135">
        <v>69.564302487116294</v>
      </c>
      <c r="W135">
        <v>68.397506609903644</v>
      </c>
      <c r="X135">
        <v>66.349780416760026</v>
      </c>
      <c r="Y135">
        <v>67.020522966614379</v>
      </c>
      <c r="Z135">
        <v>67.035036522518482</v>
      </c>
      <c r="AA135">
        <v>65.809121891104638</v>
      </c>
      <c r="AB135">
        <v>66.744938158189555</v>
      </c>
    </row>
    <row r="136" spans="1:28" x14ac:dyDescent="0.3">
      <c r="A136" t="s">
        <v>558</v>
      </c>
      <c r="B136" s="5" t="s">
        <v>559</v>
      </c>
      <c r="C136" t="s">
        <v>308</v>
      </c>
      <c r="D136" s="5" t="s">
        <v>309</v>
      </c>
      <c r="E136">
        <v>47.623286451842624</v>
      </c>
      <c r="F136">
        <v>47.905066252956587</v>
      </c>
      <c r="G136">
        <v>48.186846054070557</v>
      </c>
      <c r="H136">
        <v>48.468625855184513</v>
      </c>
      <c r="I136">
        <v>48.750405656298476</v>
      </c>
      <c r="J136">
        <v>49.032185457412446</v>
      </c>
      <c r="K136">
        <v>49.313965258526409</v>
      </c>
      <c r="L136">
        <v>49.595745059640379</v>
      </c>
      <c r="M136">
        <v>49.877524860754342</v>
      </c>
      <c r="N136">
        <v>50.159304661868312</v>
      </c>
      <c r="O136">
        <v>50.441084462982275</v>
      </c>
      <c r="P136">
        <v>50.703588595844252</v>
      </c>
      <c r="Q136">
        <v>50.966092728706222</v>
      </c>
      <c r="R136">
        <v>51.27068847122257</v>
      </c>
      <c r="S136">
        <v>51.521239095602631</v>
      </c>
      <c r="T136">
        <v>51.82316437345812</v>
      </c>
      <c r="U136">
        <v>52.248289630967214</v>
      </c>
      <c r="V136">
        <v>52.579923192349753</v>
      </c>
      <c r="W136">
        <v>52.775162135354414</v>
      </c>
      <c r="X136">
        <v>52.797924667463569</v>
      </c>
      <c r="Y136">
        <v>52.779358579821455</v>
      </c>
      <c r="Z136">
        <v>52.774271980467461</v>
      </c>
      <c r="AA136">
        <v>52.772618835677406</v>
      </c>
      <c r="AB136">
        <v>52.789150283577911</v>
      </c>
    </row>
    <row r="137" spans="1:28" x14ac:dyDescent="0.3">
      <c r="A137" t="s">
        <v>558</v>
      </c>
      <c r="B137" s="5" t="s">
        <v>559</v>
      </c>
      <c r="C137" t="s">
        <v>310</v>
      </c>
      <c r="D137" s="5" t="s">
        <v>311</v>
      </c>
      <c r="E137">
        <v>16.543746365945466</v>
      </c>
      <c r="F137">
        <v>16.73807265048811</v>
      </c>
      <c r="G137">
        <v>16.716650855341676</v>
      </c>
      <c r="H137">
        <v>16.803868164152156</v>
      </c>
      <c r="I137">
        <v>16.95999510269046</v>
      </c>
      <c r="J137">
        <v>17.23858209868985</v>
      </c>
      <c r="K137">
        <v>17.746797863712182</v>
      </c>
      <c r="L137">
        <v>18.337617823479004</v>
      </c>
      <c r="M137">
        <v>18.791997673386295</v>
      </c>
      <c r="N137">
        <v>19.043318536660035</v>
      </c>
      <c r="O137">
        <v>19.17460123075039</v>
      </c>
      <c r="P137">
        <v>19.222703546663809</v>
      </c>
      <c r="Q137">
        <v>19.213044476766438</v>
      </c>
      <c r="R137">
        <v>19.273289642922766</v>
      </c>
      <c r="S137">
        <v>19.342193911925033</v>
      </c>
      <c r="T137">
        <v>19.521344858210327</v>
      </c>
      <c r="U137">
        <v>19.54716749900426</v>
      </c>
      <c r="V137">
        <v>19.997855227882038</v>
      </c>
      <c r="W137">
        <v>20.026505285736174</v>
      </c>
      <c r="X137">
        <v>19.885705530871764</v>
      </c>
      <c r="Y137">
        <v>19.887538878759557</v>
      </c>
      <c r="Z137">
        <v>19.887538878759557</v>
      </c>
      <c r="AA137">
        <v>19.887538878759557</v>
      </c>
      <c r="AB137">
        <v>19.9140944121838</v>
      </c>
    </row>
    <row r="138" spans="1:28" x14ac:dyDescent="0.3">
      <c r="A138" t="s">
        <v>558</v>
      </c>
      <c r="B138" s="5" t="s">
        <v>559</v>
      </c>
      <c r="C138" t="s">
        <v>312</v>
      </c>
      <c r="D138" s="5" t="s">
        <v>313</v>
      </c>
      <c r="E138">
        <v>47.152279269759141</v>
      </c>
      <c r="F138">
        <v>47.152279269759141</v>
      </c>
      <c r="G138">
        <v>47.152279269759141</v>
      </c>
      <c r="H138">
        <v>47.152279269759141</v>
      </c>
      <c r="I138">
        <v>47.152279269759141</v>
      </c>
      <c r="J138">
        <v>47.152279269759141</v>
      </c>
      <c r="K138">
        <v>47.152279269759141</v>
      </c>
      <c r="L138">
        <v>47.137703603833394</v>
      </c>
      <c r="M138">
        <v>47.137703603833394</v>
      </c>
      <c r="N138">
        <v>47.137703603833394</v>
      </c>
      <c r="O138">
        <v>47.138918242660544</v>
      </c>
      <c r="P138">
        <v>47.138918242660544</v>
      </c>
      <c r="Q138">
        <v>47.138918242660544</v>
      </c>
      <c r="R138">
        <v>47.138918242660544</v>
      </c>
      <c r="S138">
        <v>47.138918242660544</v>
      </c>
      <c r="T138">
        <v>47.140132881487688</v>
      </c>
      <c r="U138">
        <v>47.140132881487688</v>
      </c>
      <c r="V138">
        <v>47.141347520314838</v>
      </c>
      <c r="W138">
        <v>47.141347520314838</v>
      </c>
      <c r="X138">
        <v>47.141347520314838</v>
      </c>
      <c r="Y138">
        <v>47.141347520314838</v>
      </c>
      <c r="Z138">
        <v>47.142562159141981</v>
      </c>
      <c r="AA138">
        <v>47.142562159141981</v>
      </c>
      <c r="AB138">
        <v>47.142562159141981</v>
      </c>
    </row>
    <row r="139" spans="1:28" x14ac:dyDescent="0.3">
      <c r="A139" t="s">
        <v>558</v>
      </c>
      <c r="B139" s="5" t="s">
        <v>559</v>
      </c>
      <c r="C139" t="s">
        <v>314</v>
      </c>
      <c r="D139" s="5" t="s">
        <v>315</v>
      </c>
      <c r="E139">
        <v>20</v>
      </c>
      <c r="F139">
        <v>20</v>
      </c>
      <c r="G139">
        <v>20</v>
      </c>
      <c r="H139">
        <v>20</v>
      </c>
      <c r="I139">
        <v>20</v>
      </c>
      <c r="J139">
        <v>20</v>
      </c>
      <c r="K139">
        <v>20</v>
      </c>
      <c r="L139">
        <v>20</v>
      </c>
      <c r="M139">
        <v>20</v>
      </c>
      <c r="N139">
        <v>20</v>
      </c>
      <c r="O139">
        <v>20</v>
      </c>
      <c r="P139">
        <v>20</v>
      </c>
      <c r="Q139">
        <v>20</v>
      </c>
      <c r="R139">
        <v>20</v>
      </c>
      <c r="S139">
        <v>20</v>
      </c>
      <c r="T139">
        <v>20</v>
      </c>
      <c r="U139">
        <v>20</v>
      </c>
      <c r="V139">
        <v>20</v>
      </c>
      <c r="W139">
        <v>20</v>
      </c>
      <c r="X139">
        <v>20</v>
      </c>
      <c r="Y139">
        <v>20</v>
      </c>
      <c r="Z139">
        <v>20</v>
      </c>
      <c r="AA139">
        <v>20</v>
      </c>
      <c r="AB139">
        <v>20</v>
      </c>
    </row>
    <row r="140" spans="1:28" x14ac:dyDescent="0.3">
      <c r="A140" t="s">
        <v>558</v>
      </c>
      <c r="B140" s="5" t="s">
        <v>559</v>
      </c>
      <c r="C140" t="s">
        <v>316</v>
      </c>
      <c r="D140" s="5" t="s">
        <v>317</v>
      </c>
      <c r="E140">
        <v>29.641437042204394</v>
      </c>
      <c r="F140">
        <v>29.710498779211719</v>
      </c>
      <c r="G140">
        <v>29.584931984652947</v>
      </c>
      <c r="H140">
        <v>29.487268922218345</v>
      </c>
      <c r="I140">
        <v>29.424485524938959</v>
      </c>
      <c r="J140">
        <v>29.312870596442274</v>
      </c>
      <c r="K140">
        <v>29.194279734914545</v>
      </c>
      <c r="L140">
        <v>29.06173700732473</v>
      </c>
      <c r="M140">
        <v>28.964073944890128</v>
      </c>
      <c r="N140">
        <v>28.880362748517612</v>
      </c>
      <c r="O140">
        <v>28.782699686083014</v>
      </c>
      <c r="P140">
        <v>28.78688524590164</v>
      </c>
      <c r="Q140">
        <v>28.515139867457272</v>
      </c>
      <c r="R140">
        <v>28.295724450645277</v>
      </c>
      <c r="S140">
        <v>28.167538890826648</v>
      </c>
      <c r="T140">
        <v>27.964051621904428</v>
      </c>
      <c r="U140">
        <v>27.731217997907219</v>
      </c>
      <c r="V140">
        <v>27.540078828043253</v>
      </c>
      <c r="W140">
        <v>26.973324729682595</v>
      </c>
      <c r="X140">
        <v>26.774885245901636</v>
      </c>
      <c r="Y140">
        <v>26.501100802232298</v>
      </c>
      <c r="Z140">
        <v>26.319905127310779</v>
      </c>
      <c r="AA140">
        <v>26.121381234740149</v>
      </c>
      <c r="AB140">
        <v>26.118590861527728</v>
      </c>
    </row>
    <row r="141" spans="1:28" x14ac:dyDescent="0.3">
      <c r="A141" t="s">
        <v>558</v>
      </c>
      <c r="B141" s="5" t="s">
        <v>559</v>
      </c>
      <c r="C141" t="s">
        <v>30</v>
      </c>
      <c r="D141" s="5" t="s">
        <v>318</v>
      </c>
      <c r="E141">
        <v>58.045023696682463</v>
      </c>
      <c r="F141">
        <v>56.952014218009481</v>
      </c>
      <c r="G141">
        <v>57.467417061611371</v>
      </c>
      <c r="H141">
        <v>56.685426540284354</v>
      </c>
      <c r="I141">
        <v>57.742890995260666</v>
      </c>
      <c r="J141">
        <v>57.396327014218009</v>
      </c>
      <c r="K141">
        <v>56.860189573459721</v>
      </c>
      <c r="L141">
        <v>56.706161137440759</v>
      </c>
      <c r="M141">
        <v>57.147511848341239</v>
      </c>
      <c r="N141">
        <v>56.845538096649861</v>
      </c>
      <c r="O141">
        <v>55.508449451526829</v>
      </c>
      <c r="P141">
        <v>55.11269276393832</v>
      </c>
      <c r="Q141">
        <v>54.617437722419929</v>
      </c>
      <c r="R141">
        <v>54.84119916889285</v>
      </c>
      <c r="S141">
        <v>54.588898783021669</v>
      </c>
      <c r="T141">
        <v>54.826254826254825</v>
      </c>
      <c r="U141">
        <v>53.905553905553901</v>
      </c>
      <c r="V141">
        <v>54.024354024354025</v>
      </c>
      <c r="W141">
        <v>54.143154143154149</v>
      </c>
      <c r="X141">
        <v>53.959013959013959</v>
      </c>
      <c r="Y141">
        <v>53.889218889218895</v>
      </c>
      <c r="Z141">
        <v>53.816453816453816</v>
      </c>
      <c r="AA141">
        <v>53.578853578853582</v>
      </c>
      <c r="AB141">
        <v>53.549153549153552</v>
      </c>
    </row>
    <row r="142" spans="1:28" x14ac:dyDescent="0.3">
      <c r="A142" t="s">
        <v>558</v>
      </c>
      <c r="B142" s="5" t="s">
        <v>559</v>
      </c>
      <c r="C142" t="s">
        <v>319</v>
      </c>
      <c r="D142" s="5" t="s">
        <v>320</v>
      </c>
      <c r="E142">
        <v>13.402625820568929</v>
      </c>
      <c r="F142">
        <v>13.566739606126916</v>
      </c>
      <c r="G142">
        <v>13.676148796498905</v>
      </c>
      <c r="H142">
        <v>13.326039387308533</v>
      </c>
      <c r="I142">
        <v>12.943107221006564</v>
      </c>
      <c r="J142">
        <v>12.587527352297592</v>
      </c>
      <c r="K142">
        <v>12.286652078774617</v>
      </c>
      <c r="L142">
        <v>11.931072210065645</v>
      </c>
      <c r="M142">
        <v>11.520787746170678</v>
      </c>
      <c r="N142">
        <v>11.247264770240701</v>
      </c>
      <c r="O142">
        <v>10.864332603938731</v>
      </c>
      <c r="P142">
        <v>10.410284463894968</v>
      </c>
      <c r="Q142">
        <v>10.067505470459519</v>
      </c>
      <c r="R142">
        <v>10.050875273522976</v>
      </c>
      <c r="S142">
        <v>10.050875273522976</v>
      </c>
      <c r="T142">
        <v>10.067286652078774</v>
      </c>
      <c r="U142">
        <v>10.067286652078774</v>
      </c>
      <c r="V142">
        <v>10.067286652078774</v>
      </c>
      <c r="W142">
        <v>10.067286652078774</v>
      </c>
      <c r="X142">
        <v>10.067286652078774</v>
      </c>
      <c r="Y142">
        <v>10.067286652078774</v>
      </c>
      <c r="Z142">
        <v>10.067286652078774</v>
      </c>
      <c r="AA142">
        <v>10.067286652078774</v>
      </c>
      <c r="AB142">
        <v>10.067286652078774</v>
      </c>
    </row>
    <row r="143" spans="1:28" x14ac:dyDescent="0.3">
      <c r="A143" t="s">
        <v>558</v>
      </c>
      <c r="B143" s="5" t="s">
        <v>559</v>
      </c>
      <c r="C143" t="s">
        <v>51</v>
      </c>
      <c r="D143" s="5" t="s">
        <v>321</v>
      </c>
      <c r="E143">
        <v>46.863819832137025</v>
      </c>
      <c r="F143">
        <v>46.26516767308496</v>
      </c>
      <c r="G143">
        <v>45.666341954350386</v>
      </c>
      <c r="H143">
        <v>45.034370134062513</v>
      </c>
      <c r="I143">
        <v>45.155899889863662</v>
      </c>
      <c r="J143">
        <v>44.479890623219781</v>
      </c>
      <c r="K143">
        <v>43.200030382438946</v>
      </c>
      <c r="L143">
        <v>43.625384527742966</v>
      </c>
      <c r="M143">
        <v>43.196232577570164</v>
      </c>
      <c r="N143">
        <v>43.636777942349319</v>
      </c>
      <c r="O143">
        <v>43.325357943108884</v>
      </c>
      <c r="P143">
        <v>43.184839162963804</v>
      </c>
      <c r="Q143">
        <v>42.571113896168015</v>
      </c>
      <c r="R143">
        <v>42.178420872735565</v>
      </c>
      <c r="S143">
        <v>42.216398921423412</v>
      </c>
      <c r="T143">
        <v>40.682085754433942</v>
      </c>
      <c r="U143">
        <v>40.309900877292925</v>
      </c>
      <c r="V143">
        <v>40.423835023356503</v>
      </c>
      <c r="W143">
        <v>39.869355512513764</v>
      </c>
      <c r="X143">
        <v>39.288291367589537</v>
      </c>
      <c r="Y143">
        <v>38.562910637651434</v>
      </c>
      <c r="Z143">
        <v>38.642664539895939</v>
      </c>
      <c r="AA143">
        <v>37.017204056055604</v>
      </c>
      <c r="AB143">
        <v>36.880483080779307</v>
      </c>
    </row>
    <row r="144" spans="1:28" x14ac:dyDescent="0.3">
      <c r="A144" t="s">
        <v>558</v>
      </c>
      <c r="B144" s="5" t="s">
        <v>559</v>
      </c>
      <c r="C144" t="s">
        <v>322</v>
      </c>
      <c r="D144" s="5" t="s">
        <v>323</v>
      </c>
      <c r="E144">
        <v>42.720624896127639</v>
      </c>
      <c r="F144">
        <v>43.003157719793919</v>
      </c>
      <c r="G144">
        <v>43.202592654146585</v>
      </c>
      <c r="H144">
        <v>43.352168854911085</v>
      </c>
      <c r="I144">
        <v>43.418647166361971</v>
      </c>
      <c r="J144">
        <v>43.626391889646001</v>
      </c>
      <c r="K144">
        <v>43.277380754528835</v>
      </c>
      <c r="L144">
        <v>43.003157719793919</v>
      </c>
      <c r="M144">
        <v>42.645836795745389</v>
      </c>
      <c r="N144">
        <v>42.288515871696859</v>
      </c>
      <c r="O144">
        <v>41.964434103373776</v>
      </c>
      <c r="P144">
        <v>42.138108692039225</v>
      </c>
      <c r="Q144">
        <v>42.155559248795086</v>
      </c>
      <c r="R144">
        <v>42.155559248795086</v>
      </c>
      <c r="S144">
        <v>42.155559248795086</v>
      </c>
      <c r="T144">
        <v>42.155559248795086</v>
      </c>
      <c r="U144">
        <v>42.155559248795086</v>
      </c>
      <c r="V144">
        <v>42.222037560245965</v>
      </c>
      <c r="W144">
        <v>42.246966927040056</v>
      </c>
      <c r="X144">
        <v>42.246966927040056</v>
      </c>
      <c r="Y144">
        <v>42.305135449559586</v>
      </c>
      <c r="Z144">
        <v>42.305135449559586</v>
      </c>
      <c r="AA144">
        <v>42.305135449559586</v>
      </c>
      <c r="AB144">
        <v>42.305135449559586</v>
      </c>
    </row>
    <row r="145" spans="1:28" x14ac:dyDescent="0.3">
      <c r="A145" t="s">
        <v>558</v>
      </c>
      <c r="B145" s="5" t="s">
        <v>559</v>
      </c>
      <c r="C145" t="s">
        <v>324</v>
      </c>
      <c r="D145" s="5" t="s">
        <v>325</v>
      </c>
      <c r="E145">
        <v>29.209757637956894</v>
      </c>
      <c r="F145">
        <v>29.999210547090865</v>
      </c>
      <c r="G145">
        <v>29.999210547090865</v>
      </c>
      <c r="H145">
        <v>30.324465145654063</v>
      </c>
      <c r="I145">
        <v>30.371832320202103</v>
      </c>
      <c r="J145">
        <v>33.918844240941027</v>
      </c>
      <c r="K145">
        <v>33.937791110760244</v>
      </c>
      <c r="L145">
        <v>34.563827267703488</v>
      </c>
      <c r="M145">
        <v>34.563827267703488</v>
      </c>
      <c r="N145">
        <v>34.563827267703488</v>
      </c>
      <c r="O145">
        <v>34.721717849530279</v>
      </c>
      <c r="P145">
        <v>35.116444304097257</v>
      </c>
      <c r="Q145">
        <v>35.353280176837451</v>
      </c>
      <c r="R145">
        <v>36.063787795058019</v>
      </c>
      <c r="S145">
        <v>36.063787795058019</v>
      </c>
      <c r="T145">
        <v>36.074050682876766</v>
      </c>
      <c r="U145">
        <v>36.626667719270543</v>
      </c>
      <c r="V145">
        <v>36.784558301097341</v>
      </c>
      <c r="W145">
        <v>36.784558301097341</v>
      </c>
      <c r="X145">
        <v>36.784558301097341</v>
      </c>
      <c r="Y145">
        <v>36.786689823952003</v>
      </c>
      <c r="Z145">
        <v>36.787321386279309</v>
      </c>
      <c r="AA145">
        <v>36.787795058024791</v>
      </c>
      <c r="AB145">
        <v>36.787321386279309</v>
      </c>
    </row>
    <row r="146" spans="1:28" x14ac:dyDescent="0.3">
      <c r="A146" t="s">
        <v>558</v>
      </c>
      <c r="B146" s="5" t="s">
        <v>559</v>
      </c>
      <c r="C146" t="s">
        <v>326</v>
      </c>
      <c r="D146" s="5" t="s">
        <v>327</v>
      </c>
      <c r="E146">
        <v>71.925952765242599</v>
      </c>
      <c r="F146">
        <v>71.995169362188037</v>
      </c>
      <c r="G146">
        <v>72.143051813300829</v>
      </c>
      <c r="H146">
        <v>72.290383411838334</v>
      </c>
      <c r="I146">
        <v>72.423053130867288</v>
      </c>
      <c r="J146">
        <v>72.678473928653773</v>
      </c>
      <c r="K146">
        <v>72.497704140452583</v>
      </c>
      <c r="L146">
        <v>72.85594244430537</v>
      </c>
      <c r="M146">
        <v>72.927292181341059</v>
      </c>
      <c r="N146">
        <v>73.310321815606571</v>
      </c>
      <c r="O146">
        <v>73.442196712671688</v>
      </c>
      <c r="P146">
        <v>73.491468647408226</v>
      </c>
      <c r="Q146">
        <v>73.755240730371</v>
      </c>
      <c r="R146">
        <v>73.548411673638796</v>
      </c>
      <c r="S146">
        <v>73.694612031577677</v>
      </c>
      <c r="T146">
        <v>73.924624219067383</v>
      </c>
      <c r="U146">
        <v>74.15304676262943</v>
      </c>
      <c r="V146">
        <v>74.33717327096852</v>
      </c>
      <c r="W146">
        <v>74.736772291577452</v>
      </c>
      <c r="X146">
        <v>74.904795283112108</v>
      </c>
      <c r="Y146">
        <v>75.419111960209477</v>
      </c>
      <c r="Z146">
        <v>75.665959792263692</v>
      </c>
      <c r="AA146">
        <v>75.965868770381107</v>
      </c>
      <c r="AB146">
        <v>76.197293279313101</v>
      </c>
    </row>
    <row r="147" spans="1:28" x14ac:dyDescent="0.3">
      <c r="A147" t="s">
        <v>558</v>
      </c>
      <c r="B147" s="5" t="s">
        <v>559</v>
      </c>
      <c r="C147" t="s">
        <v>328</v>
      </c>
      <c r="D147" s="5" t="s">
        <v>329</v>
      </c>
      <c r="E147">
        <v>48.56468737711365</v>
      </c>
      <c r="F147">
        <v>48.839952811639797</v>
      </c>
      <c r="G147">
        <v>52.457727093983486</v>
      </c>
      <c r="H147">
        <v>51.160047188360203</v>
      </c>
      <c r="I147">
        <v>49.626425481714506</v>
      </c>
      <c r="J147">
        <v>48.289421942587495</v>
      </c>
      <c r="K147">
        <v>48.132127408572551</v>
      </c>
      <c r="L147">
        <v>42.647641696393187</v>
      </c>
      <c r="M147">
        <v>42.13238208481966</v>
      </c>
      <c r="N147">
        <v>40.166534496431403</v>
      </c>
      <c r="O147">
        <v>44.369547977795399</v>
      </c>
      <c r="P147">
        <v>44.329896907216494</v>
      </c>
      <c r="Q147">
        <v>50.237906423473433</v>
      </c>
      <c r="R147">
        <v>49.960348929421095</v>
      </c>
      <c r="S147">
        <v>50</v>
      </c>
      <c r="T147">
        <v>50.039651070578905</v>
      </c>
      <c r="U147">
        <v>50.158604282315622</v>
      </c>
      <c r="V147">
        <v>50.198255352894527</v>
      </c>
      <c r="W147">
        <v>50.118953211736716</v>
      </c>
      <c r="X147">
        <v>50.158604282315622</v>
      </c>
      <c r="Y147">
        <v>50.039651070578905</v>
      </c>
      <c r="Z147">
        <v>49.960348929421095</v>
      </c>
      <c r="AA147">
        <v>49.841395717684378</v>
      </c>
      <c r="AB147">
        <v>49.603489294210945</v>
      </c>
    </row>
    <row r="148" spans="1:28" x14ac:dyDescent="0.3">
      <c r="A148" t="s">
        <v>558</v>
      </c>
      <c r="B148" s="5" t="s">
        <v>559</v>
      </c>
      <c r="C148" t="s">
        <v>330</v>
      </c>
      <c r="D148" s="5" t="s">
        <v>331</v>
      </c>
      <c r="E148">
        <v>6.5217391304347823</v>
      </c>
      <c r="F148">
        <v>6.5217391304347823</v>
      </c>
      <c r="G148">
        <v>6.5217391304347823</v>
      </c>
      <c r="H148">
        <v>6.5217391304347823</v>
      </c>
      <c r="I148">
        <v>6.5217391304347823</v>
      </c>
      <c r="J148">
        <v>6.5217391304347823</v>
      </c>
      <c r="K148">
        <v>6.5217391304347823</v>
      </c>
      <c r="L148">
        <v>3.6956521739130435</v>
      </c>
      <c r="M148">
        <v>3.6956521739130435</v>
      </c>
      <c r="N148">
        <v>3.6956521739130435</v>
      </c>
      <c r="O148">
        <v>3.6956521739130435</v>
      </c>
      <c r="P148">
        <v>3.6956521739130435</v>
      </c>
      <c r="Q148">
        <v>3.6956521739130435</v>
      </c>
      <c r="R148">
        <v>3.6956521739130435</v>
      </c>
      <c r="S148">
        <v>3.6956521739130435</v>
      </c>
      <c r="T148">
        <v>3.6956521739130435</v>
      </c>
      <c r="U148">
        <v>3.6956521739130435</v>
      </c>
      <c r="V148">
        <v>3.6956521739130435</v>
      </c>
      <c r="W148">
        <v>1.1739130434782608</v>
      </c>
      <c r="X148">
        <v>1.1739130434782608</v>
      </c>
      <c r="Y148">
        <v>1.1739130434782608</v>
      </c>
      <c r="Z148">
        <v>1.1739130434782608</v>
      </c>
      <c r="AA148">
        <v>1.1739130434782608</v>
      </c>
      <c r="AB148">
        <v>1.1739130434782608</v>
      </c>
    </row>
    <row r="149" spans="1:28" x14ac:dyDescent="0.3">
      <c r="A149" t="s">
        <v>558</v>
      </c>
      <c r="B149" s="5" t="s">
        <v>559</v>
      </c>
      <c r="C149" t="s">
        <v>31</v>
      </c>
      <c r="D149" s="5" t="s">
        <v>332</v>
      </c>
      <c r="E149">
        <v>2.8528873848714831</v>
      </c>
      <c r="F149">
        <v>2.8665768636856459</v>
      </c>
      <c r="G149">
        <v>2.8638389679228133</v>
      </c>
      <c r="H149">
        <v>2.8474115933458179</v>
      </c>
      <c r="I149">
        <v>2.8474115933458179</v>
      </c>
      <c r="J149">
        <v>2.8364600102944881</v>
      </c>
      <c r="K149">
        <v>2.8337221145316556</v>
      </c>
      <c r="L149">
        <v>2.8255084272431579</v>
      </c>
      <c r="M149">
        <v>2.8057955777507635</v>
      </c>
      <c r="N149">
        <v>2.7769381564105093</v>
      </c>
      <c r="O149">
        <v>2.7540493478332295</v>
      </c>
      <c r="P149">
        <v>2.735157867069685</v>
      </c>
      <c r="Q149">
        <v>2.7181829133401232</v>
      </c>
      <c r="R149">
        <v>2.7035900453918322</v>
      </c>
      <c r="S149">
        <v>2.702652365875303</v>
      </c>
      <c r="T149">
        <v>2.7000413756429174</v>
      </c>
      <c r="U149">
        <v>2.69388608214041</v>
      </c>
      <c r="V149">
        <v>2.6980277878961334</v>
      </c>
      <c r="W149">
        <v>2.7013376863832073</v>
      </c>
      <c r="X149">
        <v>2.695892016850455</v>
      </c>
      <c r="Y149">
        <v>2.7065676599365882</v>
      </c>
      <c r="Z149">
        <v>2.7040382134131278</v>
      </c>
      <c r="AA149">
        <v>2.7040382134131278</v>
      </c>
      <c r="AB149">
        <v>2.6958025640321739</v>
      </c>
    </row>
    <row r="150" spans="1:28" x14ac:dyDescent="0.3">
      <c r="A150" t="s">
        <v>558</v>
      </c>
      <c r="B150" s="5" t="s">
        <v>559</v>
      </c>
      <c r="C150" t="s">
        <v>333</v>
      </c>
      <c r="D150" s="5" t="s">
        <v>334</v>
      </c>
      <c r="E150">
        <v>3.7899838449111467</v>
      </c>
      <c r="F150">
        <v>3.7919224555735056</v>
      </c>
      <c r="G150">
        <v>4.1143780290791598</v>
      </c>
      <c r="H150">
        <v>4.4361873990306941</v>
      </c>
      <c r="I150">
        <v>4.7560581583198713</v>
      </c>
      <c r="J150">
        <v>4.7334410339256863</v>
      </c>
      <c r="K150">
        <v>4.7269789983844905</v>
      </c>
      <c r="L150">
        <v>4.7334410339256863</v>
      </c>
      <c r="M150">
        <v>4.7082390953150242</v>
      </c>
      <c r="N150">
        <v>4.6991922455573505</v>
      </c>
      <c r="O150">
        <v>4.6630048465266558</v>
      </c>
      <c r="P150">
        <v>4.6423263327948305</v>
      </c>
      <c r="Q150">
        <v>4.6003231017770592</v>
      </c>
      <c r="R150">
        <v>4.58642972536349</v>
      </c>
      <c r="S150">
        <v>4.5873990306946686</v>
      </c>
      <c r="T150">
        <v>4.6332794830371569</v>
      </c>
      <c r="U150">
        <v>4.6397415185783526</v>
      </c>
      <c r="V150">
        <v>4.68794830371567</v>
      </c>
      <c r="W150">
        <v>4.7136995153473347</v>
      </c>
      <c r="X150">
        <v>4.7136995153473347</v>
      </c>
      <c r="Y150">
        <v>4.7138287560581578</v>
      </c>
      <c r="Z150">
        <v>4.7373828756058156</v>
      </c>
      <c r="AA150">
        <v>4.7373828756058156</v>
      </c>
      <c r="AB150">
        <v>4.7551857835218092</v>
      </c>
    </row>
    <row r="151" spans="1:28" x14ac:dyDescent="0.3">
      <c r="A151" t="s">
        <v>558</v>
      </c>
      <c r="B151" s="5" t="s">
        <v>559</v>
      </c>
      <c r="C151" t="s">
        <v>335</v>
      </c>
      <c r="D151" s="5" t="s">
        <v>336</v>
      </c>
      <c r="E151">
        <v>47.605334163553344</v>
      </c>
      <c r="F151">
        <v>47.96077210460772</v>
      </c>
      <c r="G151">
        <v>47.846616853466166</v>
      </c>
      <c r="H151">
        <v>47.792133665421339</v>
      </c>
      <c r="I151">
        <v>46.758250311332503</v>
      </c>
      <c r="J151">
        <v>46.654472810294727</v>
      </c>
      <c r="K151">
        <v>46.875</v>
      </c>
      <c r="L151">
        <v>46.71673931091739</v>
      </c>
      <c r="M151">
        <v>45.808686176836858</v>
      </c>
      <c r="N151">
        <v>45.761986301369859</v>
      </c>
      <c r="O151">
        <v>45.716583644665839</v>
      </c>
      <c r="P151">
        <v>46.616853466168536</v>
      </c>
      <c r="Q151">
        <v>46.781600249066003</v>
      </c>
      <c r="R151">
        <v>47.063096720630966</v>
      </c>
      <c r="S151">
        <v>47.026774595267746</v>
      </c>
      <c r="T151">
        <v>46.961913657119133</v>
      </c>
      <c r="U151">
        <v>47.729867164798669</v>
      </c>
      <c r="V151">
        <v>48.000985886259862</v>
      </c>
      <c r="W151">
        <v>47.936124948111249</v>
      </c>
      <c r="X151">
        <v>47.055313408053138</v>
      </c>
      <c r="Y151">
        <v>47.572903694479038</v>
      </c>
      <c r="Z151">
        <v>46.718036529680369</v>
      </c>
      <c r="AA151">
        <v>46.631122872561228</v>
      </c>
      <c r="AB151">
        <v>46.693389373183891</v>
      </c>
    </row>
    <row r="152" spans="1:28" x14ac:dyDescent="0.3">
      <c r="A152" t="s">
        <v>558</v>
      </c>
      <c r="B152" s="5" t="s">
        <v>559</v>
      </c>
      <c r="C152" t="s">
        <v>337</v>
      </c>
      <c r="D152" s="5" t="s">
        <v>338</v>
      </c>
      <c r="E152">
        <v>9.3478260869565215</v>
      </c>
      <c r="F152">
        <v>9.3478260869565215</v>
      </c>
      <c r="G152">
        <v>9.3478260869565215</v>
      </c>
      <c r="H152">
        <v>9.3478260869565215</v>
      </c>
      <c r="I152">
        <v>9.3478260869565215</v>
      </c>
      <c r="J152">
        <v>9.3478260869565215</v>
      </c>
      <c r="K152">
        <v>9.3478260869565215</v>
      </c>
      <c r="L152">
        <v>9.3478260869565215</v>
      </c>
      <c r="M152">
        <v>9.3478260869565215</v>
      </c>
      <c r="N152">
        <v>9.3478260869565215</v>
      </c>
      <c r="O152">
        <v>9.3478260869565215</v>
      </c>
      <c r="P152">
        <v>9.3478260869565215</v>
      </c>
      <c r="Q152">
        <v>9.3478260869565215</v>
      </c>
      <c r="R152">
        <v>9.3478260869565215</v>
      </c>
      <c r="S152">
        <v>9.3478260869565215</v>
      </c>
      <c r="T152">
        <v>9.3478260869565215</v>
      </c>
      <c r="U152">
        <v>9.3478260869565215</v>
      </c>
      <c r="V152">
        <v>9.3478260869565215</v>
      </c>
      <c r="W152">
        <v>9.3478260869565215</v>
      </c>
      <c r="X152">
        <v>9.3478260869565215</v>
      </c>
      <c r="Y152">
        <v>9.3478260869565215</v>
      </c>
      <c r="Z152">
        <v>9.3478260869565215</v>
      </c>
      <c r="AA152">
        <v>9.3478260869565215</v>
      </c>
      <c r="AB152">
        <v>9.3478260869565215</v>
      </c>
    </row>
    <row r="153" spans="1:28" x14ac:dyDescent="0.3">
      <c r="A153" t="s">
        <v>558</v>
      </c>
      <c r="B153" s="5" t="s">
        <v>559</v>
      </c>
      <c r="C153" t="s">
        <v>339</v>
      </c>
      <c r="D153" s="5" t="s">
        <v>340</v>
      </c>
      <c r="E153">
        <v>29.997309658326611</v>
      </c>
      <c r="F153">
        <v>30.137207425343021</v>
      </c>
      <c r="G153">
        <v>30.102232983588916</v>
      </c>
      <c r="H153">
        <v>30.067258541834814</v>
      </c>
      <c r="I153">
        <v>30.032284100080709</v>
      </c>
      <c r="J153">
        <v>29.997309658326611</v>
      </c>
      <c r="K153">
        <v>29.921980091471617</v>
      </c>
      <c r="L153">
        <v>30.02152273338714</v>
      </c>
      <c r="M153">
        <v>29.986548291633035</v>
      </c>
      <c r="N153">
        <v>30.018832391713744</v>
      </c>
      <c r="O153">
        <v>30.486817325800374</v>
      </c>
      <c r="P153">
        <v>30.441216034436376</v>
      </c>
      <c r="Q153">
        <v>30.306698950766748</v>
      </c>
      <c r="R153">
        <v>30.17218186709712</v>
      </c>
      <c r="S153">
        <v>30.126821370750136</v>
      </c>
      <c r="T153">
        <v>29.991905018888289</v>
      </c>
      <c r="U153">
        <v>29.856988667026446</v>
      </c>
      <c r="V153">
        <v>29.722072315164599</v>
      </c>
      <c r="W153">
        <v>29.563224588837961</v>
      </c>
      <c r="X153">
        <v>29.428417363170666</v>
      </c>
      <c r="Y153">
        <v>29.308438932326773</v>
      </c>
      <c r="Z153">
        <v>29.405715826368294</v>
      </c>
      <c r="AA153">
        <v>29.405715826368294</v>
      </c>
      <c r="AB153">
        <v>29.522326772715019</v>
      </c>
    </row>
    <row r="154" spans="1:28" x14ac:dyDescent="0.3">
      <c r="A154" t="s">
        <v>558</v>
      </c>
      <c r="B154" s="5" t="s">
        <v>559</v>
      </c>
      <c r="C154" t="s">
        <v>341</v>
      </c>
      <c r="D154" s="5" t="s">
        <v>342</v>
      </c>
      <c r="E154">
        <v>2.4025085015236498</v>
      </c>
      <c r="F154">
        <v>2.413549441328446</v>
      </c>
      <c r="G154">
        <v>2.4356313209380382</v>
      </c>
      <c r="H154">
        <v>2.4466722607428344</v>
      </c>
      <c r="I154">
        <v>2.4797950801572233</v>
      </c>
      <c r="J154">
        <v>2.5018769597668156</v>
      </c>
      <c r="K154">
        <v>2.5416243430640817</v>
      </c>
      <c r="L154">
        <v>2.6763238086825951</v>
      </c>
      <c r="M154">
        <v>2.7491940113942497</v>
      </c>
      <c r="N154">
        <v>2.7977741465353532</v>
      </c>
      <c r="O154">
        <v>2.7977741465353532</v>
      </c>
      <c r="P154">
        <v>2.8397297177935785</v>
      </c>
      <c r="Q154">
        <v>2.8397297177935785</v>
      </c>
      <c r="R154">
        <v>2.8397297177935785</v>
      </c>
      <c r="S154">
        <v>2.8816852890518043</v>
      </c>
      <c r="T154">
        <v>2.9192244843881108</v>
      </c>
      <c r="U154">
        <v>2.9324736121538666</v>
      </c>
      <c r="V154">
        <v>3.1025040851477277</v>
      </c>
      <c r="W154">
        <v>3.1025040851477277</v>
      </c>
      <c r="X154">
        <v>3.1025040851477277</v>
      </c>
      <c r="Y154">
        <v>3.1025040851477277</v>
      </c>
      <c r="Z154">
        <v>3.1025040851477277</v>
      </c>
      <c r="AA154">
        <v>3.1025040851477277</v>
      </c>
      <c r="AB154">
        <v>3.1025040851477277</v>
      </c>
    </row>
    <row r="155" spans="1:28" x14ac:dyDescent="0.3">
      <c r="A155" t="s">
        <v>558</v>
      </c>
      <c r="B155" s="5" t="s">
        <v>559</v>
      </c>
      <c r="C155" t="s">
        <v>343</v>
      </c>
      <c r="D155" s="5" t="s">
        <v>344</v>
      </c>
      <c r="E155">
        <v>41.8709622451548</v>
      </c>
      <c r="F155">
        <v>42.494320412786308</v>
      </c>
      <c r="G155">
        <v>43.128315630505917</v>
      </c>
      <c r="H155">
        <v>43.695545431663732</v>
      </c>
      <c r="I155">
        <v>44.236352126856275</v>
      </c>
      <c r="J155">
        <v>44.784656682607604</v>
      </c>
      <c r="K155">
        <v>45.343988421847477</v>
      </c>
      <c r="L155">
        <v>45.848202869368237</v>
      </c>
      <c r="M155">
        <v>46.683370249181976</v>
      </c>
      <c r="N155">
        <v>46.893498363956702</v>
      </c>
      <c r="O155">
        <v>47.447365718600551</v>
      </c>
      <c r="P155">
        <v>47.98795570098163</v>
      </c>
      <c r="Q155">
        <v>48.539298514976096</v>
      </c>
      <c r="R155">
        <v>49.086936068462116</v>
      </c>
      <c r="S155">
        <v>49.634148502391142</v>
      </c>
      <c r="T155">
        <v>50.149581928014086</v>
      </c>
      <c r="U155">
        <v>50.667849484017125</v>
      </c>
      <c r="V155">
        <v>51.184664736974582</v>
      </c>
      <c r="W155">
        <v>51.709534356909138</v>
      </c>
      <c r="X155">
        <v>52.235355398942865</v>
      </c>
      <c r="Y155">
        <v>52.754003020387607</v>
      </c>
      <c r="Z155">
        <v>53.271183236848728</v>
      </c>
      <c r="AA155">
        <v>54.1069405157129</v>
      </c>
      <c r="AB155">
        <v>54.106942155267355</v>
      </c>
    </row>
    <row r="156" spans="1:28" x14ac:dyDescent="0.3">
      <c r="A156" t="s">
        <v>558</v>
      </c>
      <c r="B156" s="5" t="s">
        <v>559</v>
      </c>
      <c r="C156" t="s">
        <v>345</v>
      </c>
      <c r="D156" s="5" t="s">
        <v>346</v>
      </c>
      <c r="E156">
        <v>17.904590703125002</v>
      </c>
      <c r="F156">
        <v>17.978558906250001</v>
      </c>
      <c r="G156">
        <v>18.052527187500001</v>
      </c>
      <c r="H156">
        <v>18.126495390624999</v>
      </c>
      <c r="I156">
        <v>18.200463671874999</v>
      </c>
      <c r="J156">
        <v>18.274431875000001</v>
      </c>
      <c r="K156">
        <v>18.348400156250001</v>
      </c>
      <c r="L156">
        <v>18.422368359375</v>
      </c>
      <c r="M156">
        <v>18.496336640625</v>
      </c>
      <c r="N156">
        <v>18.570304843749998</v>
      </c>
      <c r="O156">
        <v>18.644273125000002</v>
      </c>
      <c r="P156">
        <v>18.718241328125</v>
      </c>
      <c r="Q156">
        <v>18.792209609375004</v>
      </c>
      <c r="R156">
        <v>18.765753281249999</v>
      </c>
      <c r="S156">
        <v>18.755781406249998</v>
      </c>
      <c r="T156">
        <v>18.995159375</v>
      </c>
      <c r="U156">
        <v>18.75</v>
      </c>
      <c r="V156">
        <v>18.945396875</v>
      </c>
      <c r="W156">
        <v>18.823897656250001</v>
      </c>
      <c r="X156">
        <v>18.643195312499998</v>
      </c>
      <c r="Y156">
        <v>19.125773046875</v>
      </c>
      <c r="Z156">
        <v>19.60835078125</v>
      </c>
      <c r="AA156">
        <v>19.05121875</v>
      </c>
      <c r="AB156">
        <v>19.05121875</v>
      </c>
    </row>
    <row r="157" spans="1:28" x14ac:dyDescent="0.3">
      <c r="A157" t="s">
        <v>558</v>
      </c>
      <c r="B157" s="5" t="s">
        <v>559</v>
      </c>
      <c r="C157" t="s">
        <v>347</v>
      </c>
      <c r="D157" s="5" t="s">
        <v>348</v>
      </c>
      <c r="E157">
        <v>37.67649327564812</v>
      </c>
      <c r="F157">
        <v>37.508803702585773</v>
      </c>
      <c r="G157">
        <v>37.344467920984677</v>
      </c>
      <c r="H157">
        <v>37.696616024415604</v>
      </c>
      <c r="I157">
        <v>38.4679880605024</v>
      </c>
      <c r="J157">
        <v>38.082302042458998</v>
      </c>
      <c r="K157">
        <v>38.83690512123956</v>
      </c>
      <c r="L157">
        <v>39.541201328101415</v>
      </c>
      <c r="M157">
        <v>40.279035449575744</v>
      </c>
      <c r="N157">
        <v>40.580876681087972</v>
      </c>
      <c r="O157">
        <v>40.580876681087972</v>
      </c>
      <c r="P157">
        <v>41.11748331488748</v>
      </c>
      <c r="Q157">
        <v>41.687627863299461</v>
      </c>
      <c r="R157">
        <v>41.818425730288091</v>
      </c>
      <c r="S157">
        <v>41.915685682664247</v>
      </c>
      <c r="T157">
        <v>42.01294563504041</v>
      </c>
      <c r="U157">
        <v>42.11020558741658</v>
      </c>
      <c r="V157">
        <v>42.224234497098969</v>
      </c>
      <c r="W157">
        <v>42.301371700707655</v>
      </c>
      <c r="X157">
        <v>42.378508904316334</v>
      </c>
      <c r="Y157">
        <v>42.455646107925013</v>
      </c>
      <c r="Z157">
        <v>42.536137102994935</v>
      </c>
      <c r="AA157">
        <v>42.392594828453568</v>
      </c>
      <c r="AB157">
        <v>42.66894724486032</v>
      </c>
    </row>
    <row r="158" spans="1:28" x14ac:dyDescent="0.3">
      <c r="A158" t="s">
        <v>558</v>
      </c>
      <c r="B158" s="5" t="s">
        <v>559</v>
      </c>
      <c r="C158" t="s">
        <v>32</v>
      </c>
      <c r="D158" s="5" t="s">
        <v>349</v>
      </c>
      <c r="E158">
        <v>60.116229716934932</v>
      </c>
      <c r="F158">
        <v>58.07567991119528</v>
      </c>
      <c r="G158">
        <v>55.173201867511182</v>
      </c>
      <c r="H158">
        <v>52.798458725182861</v>
      </c>
      <c r="I158">
        <v>53.298730127640127</v>
      </c>
      <c r="J158">
        <v>51.924395260013711</v>
      </c>
      <c r="K158">
        <v>52.092582919822405</v>
      </c>
      <c r="L158">
        <v>50.49947767041003</v>
      </c>
      <c r="M158">
        <v>50.933725106105122</v>
      </c>
      <c r="N158">
        <v>50.995820817552563</v>
      </c>
      <c r="O158">
        <v>47.17578686169518</v>
      </c>
      <c r="P158">
        <v>48.261110929693366</v>
      </c>
      <c r="Q158">
        <v>47.446280451962643</v>
      </c>
      <c r="R158">
        <v>47.059207733254951</v>
      </c>
      <c r="S158">
        <v>47.108004833600056</v>
      </c>
      <c r="T158">
        <v>46.934909696593621</v>
      </c>
      <c r="U158">
        <v>46.944707534537379</v>
      </c>
      <c r="V158">
        <v>47.23211078088768</v>
      </c>
      <c r="W158">
        <v>47.398504099029957</v>
      </c>
      <c r="X158">
        <v>47.443729378328051</v>
      </c>
      <c r="Y158">
        <v>48.126612876882369</v>
      </c>
      <c r="Z158">
        <v>47.369160405096373</v>
      </c>
      <c r="AA158">
        <v>46.313175863308174</v>
      </c>
      <c r="AB158">
        <v>47.605054363796654</v>
      </c>
    </row>
    <row r="159" spans="1:28" x14ac:dyDescent="0.3">
      <c r="A159" t="s">
        <v>558</v>
      </c>
      <c r="B159" s="5" t="s">
        <v>559</v>
      </c>
      <c r="C159" t="s">
        <v>33</v>
      </c>
      <c r="D159" s="5" t="s">
        <v>350</v>
      </c>
      <c r="E159">
        <v>43.239125683060109</v>
      </c>
      <c r="F159">
        <v>42.118251366120219</v>
      </c>
      <c r="G159">
        <v>42.379453551912569</v>
      </c>
      <c r="H159">
        <v>41.679562841530057</v>
      </c>
      <c r="I159">
        <v>42.29081967213115</v>
      </c>
      <c r="J159">
        <v>41.804854050508361</v>
      </c>
      <c r="K159">
        <v>41.080791516344156</v>
      </c>
      <c r="L159">
        <v>40.023176997922818</v>
      </c>
      <c r="M159">
        <v>40.733136547501914</v>
      </c>
      <c r="N159">
        <v>40.349164755977732</v>
      </c>
      <c r="O159">
        <v>39.89704116169888</v>
      </c>
      <c r="P159">
        <v>39.844524511409539</v>
      </c>
      <c r="Q159">
        <v>40.008843760235834</v>
      </c>
      <c r="R159">
        <v>40.402728229401824</v>
      </c>
      <c r="S159">
        <v>39.996244771062031</v>
      </c>
      <c r="T159">
        <v>39.722244054948611</v>
      </c>
      <c r="U159">
        <v>39.506645881911155</v>
      </c>
      <c r="V159">
        <v>40.100089950832697</v>
      </c>
      <c r="W159">
        <v>40.791900276838973</v>
      </c>
      <c r="X159">
        <v>43.125316574532562</v>
      </c>
      <c r="Y159">
        <v>43.166090282690142</v>
      </c>
      <c r="Z159">
        <v>43.253856751115656</v>
      </c>
      <c r="AA159">
        <v>42.789496493664139</v>
      </c>
      <c r="AB159">
        <v>43.337521941890017</v>
      </c>
    </row>
    <row r="160" spans="1:28" x14ac:dyDescent="0.3">
      <c r="A160" t="s">
        <v>558</v>
      </c>
      <c r="B160" s="5" t="s">
        <v>559</v>
      </c>
      <c r="C160" t="s">
        <v>351</v>
      </c>
      <c r="D160" s="5" t="s">
        <v>352</v>
      </c>
      <c r="E160">
        <v>27.86922209695603</v>
      </c>
      <c r="F160">
        <v>26.459977452085681</v>
      </c>
      <c r="G160">
        <v>25.028184892897411</v>
      </c>
      <c r="H160">
        <v>24.306651634723789</v>
      </c>
      <c r="I160">
        <v>23.562570462232244</v>
      </c>
      <c r="J160">
        <v>22.818489289740697</v>
      </c>
      <c r="K160">
        <v>22.074408117249156</v>
      </c>
      <c r="L160">
        <v>21.307779030439683</v>
      </c>
      <c r="M160">
        <v>21.499436302142051</v>
      </c>
      <c r="N160">
        <v>21.679819616685457</v>
      </c>
      <c r="O160">
        <v>21.860202931228862</v>
      </c>
      <c r="P160">
        <v>22.040586245772268</v>
      </c>
      <c r="Q160">
        <v>22.187147688838781</v>
      </c>
      <c r="R160">
        <v>21.668545659526494</v>
      </c>
      <c r="S160">
        <v>21.149943630214203</v>
      </c>
      <c r="T160">
        <v>20.631341600901916</v>
      </c>
      <c r="U160">
        <v>20.112739571589628</v>
      </c>
      <c r="V160">
        <v>19.594137542277341</v>
      </c>
      <c r="W160">
        <v>19.041713641488162</v>
      </c>
      <c r="X160">
        <v>19.041713641488162</v>
      </c>
      <c r="Y160">
        <v>19.041713641488162</v>
      </c>
      <c r="Z160">
        <v>19.041713641488162</v>
      </c>
      <c r="AA160">
        <v>19.041713641488162</v>
      </c>
      <c r="AB160">
        <v>19.041713641488162</v>
      </c>
    </row>
    <row r="161" spans="1:28" x14ac:dyDescent="0.3">
      <c r="A161" t="s">
        <v>558</v>
      </c>
      <c r="B161" s="5" t="s">
        <v>559</v>
      </c>
      <c r="C161" t="s">
        <v>353</v>
      </c>
      <c r="D161" s="5" t="s">
        <v>354</v>
      </c>
      <c r="E161">
        <v>5.684754521963824</v>
      </c>
      <c r="F161">
        <v>5.7105943152454781</v>
      </c>
      <c r="G161">
        <v>5.6589147286821708</v>
      </c>
      <c r="H161">
        <v>5.7019810508182607</v>
      </c>
      <c r="I161">
        <v>5.615848406546081</v>
      </c>
      <c r="J161">
        <v>5.5641688199827737</v>
      </c>
      <c r="K161">
        <v>5.6244616709732993</v>
      </c>
      <c r="L161">
        <v>5.684754521963824</v>
      </c>
      <c r="M161">
        <v>5.7450473729543496</v>
      </c>
      <c r="N161">
        <v>5.8053402239448753</v>
      </c>
      <c r="O161">
        <v>5.8656330749354</v>
      </c>
      <c r="P161">
        <v>5.9259259259259265</v>
      </c>
      <c r="Q161">
        <v>5.9862187769164512</v>
      </c>
      <c r="R161">
        <v>6.0465116279069768</v>
      </c>
      <c r="S161">
        <v>6.1792863359442993</v>
      </c>
      <c r="T161">
        <v>6.1792863359442993</v>
      </c>
      <c r="U161">
        <v>6.1792863359442993</v>
      </c>
      <c r="V161">
        <v>6.2663185378590072</v>
      </c>
      <c r="W161">
        <v>6.4403829416884246</v>
      </c>
      <c r="X161">
        <v>6.4403829416884246</v>
      </c>
      <c r="Y161">
        <v>6.4403829416884246</v>
      </c>
      <c r="Z161">
        <v>6.4403829416884246</v>
      </c>
      <c r="AA161">
        <v>6.4403829416884246</v>
      </c>
      <c r="AB161">
        <v>6.4403829416884246</v>
      </c>
    </row>
    <row r="162" spans="1:28" x14ac:dyDescent="0.3">
      <c r="A162" t="s">
        <v>558</v>
      </c>
      <c r="B162" s="5" t="s">
        <v>559</v>
      </c>
      <c r="C162" t="s">
        <v>355</v>
      </c>
      <c r="D162" s="5" t="s">
        <v>356</v>
      </c>
      <c r="E162">
        <v>64.677201689086246</v>
      </c>
      <c r="F162">
        <v>64.420356101171038</v>
      </c>
      <c r="G162">
        <v>64.462522295210334</v>
      </c>
      <c r="H162">
        <v>64.361817786475314</v>
      </c>
      <c r="I162">
        <v>61.434782608695649</v>
      </c>
      <c r="J162">
        <v>61.657535437864162</v>
      </c>
      <c r="K162">
        <v>61.044438646838849</v>
      </c>
      <c r="L162">
        <v>59.289225281656442</v>
      </c>
      <c r="M162">
        <v>59.30404523705959</v>
      </c>
      <c r="N162">
        <v>59.206294010258198</v>
      </c>
      <c r="O162">
        <v>61.534449032818948</v>
      </c>
      <c r="P162">
        <v>60.746404831211706</v>
      </c>
      <c r="Q162">
        <v>59.703504043126685</v>
      </c>
      <c r="R162">
        <v>60.448637134286834</v>
      </c>
      <c r="S162">
        <v>60.109527121001392</v>
      </c>
      <c r="T162">
        <v>60.231223922114054</v>
      </c>
      <c r="U162">
        <v>58.766515994436716</v>
      </c>
      <c r="V162">
        <v>58.144993045897074</v>
      </c>
      <c r="W162">
        <v>58.301460361613358</v>
      </c>
      <c r="X162">
        <v>60.092141863699581</v>
      </c>
      <c r="Y162">
        <v>56.715055632823365</v>
      </c>
      <c r="Z162">
        <v>56.845445062586933</v>
      </c>
      <c r="AA162">
        <v>55.102573018080669</v>
      </c>
      <c r="AB162">
        <v>55.263386648122392</v>
      </c>
    </row>
    <row r="163" spans="1:28" x14ac:dyDescent="0.3">
      <c r="A163" t="s">
        <v>558</v>
      </c>
      <c r="B163" s="5" t="s">
        <v>559</v>
      </c>
      <c r="C163" t="s">
        <v>35</v>
      </c>
      <c r="D163" s="5" t="s">
        <v>357</v>
      </c>
      <c r="E163">
        <v>13.256668868358753</v>
      </c>
      <c r="F163">
        <v>13.239021662421765</v>
      </c>
      <c r="G163">
        <v>13.225797786940188</v>
      </c>
      <c r="H163">
        <v>13.202934134587796</v>
      </c>
      <c r="I163">
        <v>13.18460213305106</v>
      </c>
      <c r="J163">
        <v>13.166159892414504</v>
      </c>
      <c r="K163">
        <v>13.15737091930877</v>
      </c>
      <c r="L163">
        <v>13.155844457171748</v>
      </c>
      <c r="M163">
        <v>13.158436257966265</v>
      </c>
      <c r="N163">
        <v>13.158436257966265</v>
      </c>
      <c r="O163">
        <v>13.158436257966265</v>
      </c>
      <c r="P163">
        <v>13.158436257966265</v>
      </c>
      <c r="Q163">
        <v>13.158436257966265</v>
      </c>
      <c r="R163">
        <v>13.158436257966265</v>
      </c>
      <c r="S163">
        <v>13.158436257966265</v>
      </c>
      <c r="T163">
        <v>13.158436257966265</v>
      </c>
      <c r="U163">
        <v>13.158436257966265</v>
      </c>
      <c r="V163">
        <v>13.158436257966265</v>
      </c>
      <c r="W163">
        <v>13.158436257966265</v>
      </c>
      <c r="X163">
        <v>13.158436257966265</v>
      </c>
      <c r="Y163">
        <v>13.158436257966265</v>
      </c>
      <c r="Z163">
        <v>13.158436257966265</v>
      </c>
      <c r="AA163">
        <v>13.158436257966265</v>
      </c>
      <c r="AB163">
        <v>13.17107603589697</v>
      </c>
    </row>
    <row r="164" spans="1:28" x14ac:dyDescent="0.3">
      <c r="A164" t="s">
        <v>558</v>
      </c>
      <c r="B164" s="5" t="s">
        <v>559</v>
      </c>
      <c r="C164" t="s">
        <v>358</v>
      </c>
      <c r="D164" s="5" t="s">
        <v>359</v>
      </c>
      <c r="E164">
        <v>74.017024726388328</v>
      </c>
      <c r="F164">
        <v>76.895014187271997</v>
      </c>
      <c r="G164">
        <v>76.53019862180787</v>
      </c>
      <c r="H164">
        <v>76.449128496149171</v>
      </c>
      <c r="I164">
        <v>76.327523307661124</v>
      </c>
      <c r="J164">
        <v>76.246453182002426</v>
      </c>
      <c r="K164">
        <v>76.368058370490473</v>
      </c>
      <c r="L164">
        <v>76.124847993514393</v>
      </c>
      <c r="M164">
        <v>76.205918119173091</v>
      </c>
      <c r="N164">
        <v>77.259829752736124</v>
      </c>
      <c r="O164">
        <v>77.90839075800568</v>
      </c>
      <c r="P164">
        <v>78.759627077421968</v>
      </c>
      <c r="Q164">
        <v>79.408188082691538</v>
      </c>
      <c r="R164">
        <v>80.259424402107825</v>
      </c>
      <c r="S164">
        <v>81.313336035670858</v>
      </c>
      <c r="T164">
        <v>81.353871098500207</v>
      </c>
      <c r="U164">
        <v>81.272800972841509</v>
      </c>
      <c r="V164">
        <v>81.272800972841509</v>
      </c>
      <c r="W164">
        <v>79.002837454398062</v>
      </c>
      <c r="X164">
        <v>77.178759627077426</v>
      </c>
      <c r="Y164">
        <v>79.391974057559793</v>
      </c>
      <c r="Z164">
        <v>81.250912038913654</v>
      </c>
      <c r="AA164">
        <v>80.036777462505071</v>
      </c>
      <c r="AB164">
        <v>76.332833400891772</v>
      </c>
    </row>
    <row r="165" spans="1:28" x14ac:dyDescent="0.3">
      <c r="A165" t="s">
        <v>558</v>
      </c>
      <c r="B165" s="5" t="s">
        <v>559</v>
      </c>
      <c r="C165" t="s">
        <v>360</v>
      </c>
      <c r="D165" s="5" t="s">
        <v>361</v>
      </c>
      <c r="E165">
        <v>16.96113074204947</v>
      </c>
      <c r="F165">
        <v>16.96113074204947</v>
      </c>
      <c r="G165">
        <v>16.607773851590103</v>
      </c>
      <c r="H165">
        <v>15.901060070671377</v>
      </c>
      <c r="I165">
        <v>15.19434628975265</v>
      </c>
      <c r="J165">
        <v>14.840989399293287</v>
      </c>
      <c r="K165">
        <v>14.204946996466431</v>
      </c>
      <c r="L165">
        <v>13.604240282685511</v>
      </c>
      <c r="M165">
        <v>13.074204946996467</v>
      </c>
      <c r="N165">
        <v>12.332155477031801</v>
      </c>
      <c r="O165">
        <v>14.664310954063604</v>
      </c>
      <c r="P165">
        <v>16.96113074204947</v>
      </c>
      <c r="Q165">
        <v>19.257950530035338</v>
      </c>
      <c r="R165">
        <v>21.554770318021202</v>
      </c>
      <c r="S165">
        <v>23.851590106007066</v>
      </c>
      <c r="T165">
        <v>26.7208480565371</v>
      </c>
      <c r="U165">
        <v>24.314487632508833</v>
      </c>
      <c r="V165">
        <v>22.302158273381295</v>
      </c>
      <c r="W165">
        <v>19.845323741007196</v>
      </c>
      <c r="X165">
        <v>17.773381294964029</v>
      </c>
      <c r="Y165">
        <v>17.773381294964029</v>
      </c>
      <c r="Z165">
        <v>17.773381294964029</v>
      </c>
      <c r="AA165">
        <v>17.773381294964029</v>
      </c>
      <c r="AB165">
        <v>17.564748201438849</v>
      </c>
    </row>
    <row r="166" spans="1:28" x14ac:dyDescent="0.3">
      <c r="A166" t="s">
        <v>558</v>
      </c>
      <c r="B166" s="5" t="s">
        <v>559</v>
      </c>
      <c r="C166" t="s">
        <v>362</v>
      </c>
      <c r="D166" s="5" t="s">
        <v>363</v>
      </c>
      <c r="E166">
        <v>16.666666666666664</v>
      </c>
      <c r="F166">
        <v>16.666666666666664</v>
      </c>
      <c r="G166">
        <v>16.666666666666664</v>
      </c>
      <c r="H166">
        <v>16.666666666666664</v>
      </c>
      <c r="I166">
        <v>16.666666666666664</v>
      </c>
      <c r="J166">
        <v>16.666666666666664</v>
      </c>
      <c r="K166">
        <v>16.666666666666664</v>
      </c>
      <c r="L166">
        <v>16.666666666666664</v>
      </c>
      <c r="M166">
        <v>16.666666666666664</v>
      </c>
      <c r="N166">
        <v>16.666666666666664</v>
      </c>
      <c r="O166">
        <v>16.666666666666664</v>
      </c>
      <c r="P166">
        <v>16.666666666666664</v>
      </c>
      <c r="Q166">
        <v>16.666666666666664</v>
      </c>
      <c r="R166">
        <v>16.666666666666664</v>
      </c>
      <c r="S166">
        <v>16.666666666666664</v>
      </c>
      <c r="T166">
        <v>38.333333333333336</v>
      </c>
      <c r="U166">
        <v>38.333333333333336</v>
      </c>
      <c r="V166">
        <v>38.333333333333336</v>
      </c>
      <c r="W166">
        <v>38.333333333333336</v>
      </c>
      <c r="X166">
        <v>38.333333333333336</v>
      </c>
      <c r="Y166">
        <v>38.333333333333336</v>
      </c>
      <c r="Z166">
        <v>38.333333333333336</v>
      </c>
      <c r="AA166">
        <v>38.333333333333336</v>
      </c>
      <c r="AB166">
        <v>38.333333333333336</v>
      </c>
    </row>
    <row r="167" spans="1:28" x14ac:dyDescent="0.3">
      <c r="A167" t="s">
        <v>558</v>
      </c>
      <c r="B167" s="5" t="s">
        <v>559</v>
      </c>
      <c r="C167" t="s">
        <v>364</v>
      </c>
      <c r="D167" s="5" t="s">
        <v>365</v>
      </c>
      <c r="E167">
        <v>37.5</v>
      </c>
      <c r="F167">
        <v>37.5</v>
      </c>
      <c r="G167">
        <v>37.5</v>
      </c>
      <c r="H167">
        <v>37.5</v>
      </c>
      <c r="I167">
        <v>36.458333333333329</v>
      </c>
      <c r="J167">
        <v>35.416666666666671</v>
      </c>
      <c r="K167">
        <v>35.416666666666671</v>
      </c>
      <c r="L167">
        <v>35.416666666666671</v>
      </c>
      <c r="M167">
        <v>35.416666666666671</v>
      </c>
      <c r="N167">
        <v>35.416666666666671</v>
      </c>
      <c r="O167">
        <v>34.375</v>
      </c>
      <c r="P167">
        <v>35.416666666666671</v>
      </c>
      <c r="Q167">
        <v>36.458333333333329</v>
      </c>
      <c r="R167">
        <v>36.458333333333329</v>
      </c>
      <c r="S167">
        <v>38.541666666666671</v>
      </c>
      <c r="T167">
        <v>38.541666666666671</v>
      </c>
      <c r="U167">
        <v>41.666666666666671</v>
      </c>
      <c r="V167">
        <v>42.708333333333329</v>
      </c>
      <c r="W167">
        <v>43.75</v>
      </c>
      <c r="X167">
        <v>43.75</v>
      </c>
      <c r="Y167">
        <v>43.75</v>
      </c>
      <c r="Z167">
        <v>44.791666666666671</v>
      </c>
      <c r="AA167">
        <v>44.791666666666671</v>
      </c>
      <c r="AB167">
        <v>44.791666666666671</v>
      </c>
    </row>
    <row r="168" spans="1:28" x14ac:dyDescent="0.3">
      <c r="A168" t="s">
        <v>558</v>
      </c>
      <c r="B168" s="5" t="s">
        <v>559</v>
      </c>
      <c r="C168" t="s">
        <v>50</v>
      </c>
      <c r="D168" s="5" t="s">
        <v>366</v>
      </c>
      <c r="E168">
        <v>80.848847229135373</v>
      </c>
      <c r="F168">
        <v>80.843594564797712</v>
      </c>
      <c r="G168">
        <v>80.840202587349793</v>
      </c>
      <c r="H168">
        <v>80.838206206476286</v>
      </c>
      <c r="I168">
        <v>80.839000879196547</v>
      </c>
      <c r="J168">
        <v>80.838400048379071</v>
      </c>
      <c r="K168">
        <v>80.837333987691252</v>
      </c>
      <c r="L168">
        <v>80.835337560299408</v>
      </c>
      <c r="M168">
        <v>80.832875996073852</v>
      </c>
      <c r="N168">
        <v>80.831344752034013</v>
      </c>
      <c r="O168">
        <v>80.820975070824161</v>
      </c>
      <c r="P168">
        <v>80.818048276728277</v>
      </c>
      <c r="Q168">
        <v>80.813260795742636</v>
      </c>
      <c r="R168">
        <v>80.808473268238686</v>
      </c>
      <c r="S168">
        <v>80.766145490745174</v>
      </c>
      <c r="T168">
        <v>80.762613958291666</v>
      </c>
      <c r="U168">
        <v>80.759687210714105</v>
      </c>
      <c r="V168">
        <v>80.759132851713517</v>
      </c>
      <c r="W168">
        <v>80.758252910884821</v>
      </c>
      <c r="X168">
        <v>80.763669180207373</v>
      </c>
      <c r="Y168">
        <v>80.773407793681884</v>
      </c>
      <c r="Z168">
        <v>80.773235675841633</v>
      </c>
      <c r="AA168">
        <v>80.773235675841633</v>
      </c>
      <c r="AB168">
        <v>80.773235675841633</v>
      </c>
    </row>
    <row r="169" spans="1:28" x14ac:dyDescent="0.3">
      <c r="A169" t="s">
        <v>558</v>
      </c>
      <c r="B169" s="5" t="s">
        <v>559</v>
      </c>
      <c r="C169" t="s">
        <v>367</v>
      </c>
      <c r="D169" s="5" t="s">
        <v>368</v>
      </c>
      <c r="E169">
        <v>46.886199553316366</v>
      </c>
      <c r="F169">
        <v>45.701968524385812</v>
      </c>
      <c r="G169">
        <v>45.447462733080556</v>
      </c>
      <c r="H169">
        <v>44.834571235651588</v>
      </c>
      <c r="I169">
        <v>45.120241001402377</v>
      </c>
      <c r="J169">
        <v>45.582506622344567</v>
      </c>
      <c r="K169">
        <v>44.09702384044045</v>
      </c>
      <c r="L169">
        <v>44.164545785072455</v>
      </c>
      <c r="M169">
        <v>48.174310497065392</v>
      </c>
      <c r="N169">
        <v>48.189892484288158</v>
      </c>
      <c r="O169">
        <v>48.189892484288158</v>
      </c>
      <c r="P169">
        <v>46.564171817379105</v>
      </c>
      <c r="Q169">
        <v>46.564171817379105</v>
      </c>
      <c r="R169">
        <v>46.579753804601879</v>
      </c>
      <c r="S169">
        <v>46.600529787565577</v>
      </c>
      <c r="T169">
        <v>48.449592271334332</v>
      </c>
      <c r="U169">
        <v>48.241832441697397</v>
      </c>
      <c r="V169">
        <v>48.423622292629723</v>
      </c>
      <c r="W169">
        <v>48.605412143562042</v>
      </c>
      <c r="X169">
        <v>48.797589985976217</v>
      </c>
      <c r="Y169">
        <v>48.979379836908535</v>
      </c>
      <c r="Z169">
        <v>49.400093491923336</v>
      </c>
      <c r="AA169">
        <v>49.400093491923336</v>
      </c>
      <c r="AB169">
        <v>49.400093491923336</v>
      </c>
    </row>
    <row r="170" spans="1:28" x14ac:dyDescent="0.3">
      <c r="A170" t="s">
        <v>558</v>
      </c>
      <c r="B170" s="5" t="s">
        <v>559</v>
      </c>
      <c r="C170" t="s">
        <v>369</v>
      </c>
      <c r="D170" s="5" t="s">
        <v>370</v>
      </c>
      <c r="E170" t="s">
        <v>73</v>
      </c>
      <c r="F170" t="s">
        <v>73</v>
      </c>
      <c r="G170" t="s">
        <v>73</v>
      </c>
      <c r="H170" t="s">
        <v>73</v>
      </c>
      <c r="I170" t="s">
        <v>73</v>
      </c>
      <c r="J170" t="s">
        <v>73</v>
      </c>
      <c r="K170">
        <v>40.441344614680993</v>
      </c>
      <c r="L170">
        <v>40.851817973930935</v>
      </c>
      <c r="M170">
        <v>41.202835581980338</v>
      </c>
      <c r="N170">
        <v>40.224102446832838</v>
      </c>
      <c r="O170">
        <v>40.265264120740909</v>
      </c>
      <c r="P170">
        <v>40.340727189572377</v>
      </c>
      <c r="Q170">
        <v>39.590670020580838</v>
      </c>
      <c r="R170">
        <v>39.91767665218385</v>
      </c>
      <c r="S170">
        <v>40.091470386462383</v>
      </c>
      <c r="T170">
        <v>39.801051909444318</v>
      </c>
      <c r="U170">
        <v>39.51520695174937</v>
      </c>
      <c r="V170">
        <v>39.092156414360851</v>
      </c>
      <c r="W170">
        <v>39.606677338211753</v>
      </c>
      <c r="X170">
        <v>39.560942144980558</v>
      </c>
      <c r="Y170">
        <v>41.408015221786179</v>
      </c>
      <c r="Z170">
        <v>41.443691283149008</v>
      </c>
      <c r="AA170">
        <v>41.253418955880605</v>
      </c>
      <c r="AB170">
        <v>40.385301462718516</v>
      </c>
    </row>
    <row r="171" spans="1:28" x14ac:dyDescent="0.3">
      <c r="A171" t="s">
        <v>558</v>
      </c>
      <c r="B171" s="5" t="s">
        <v>559</v>
      </c>
      <c r="C171" t="s">
        <v>371</v>
      </c>
      <c r="D171" s="5" t="s">
        <v>372</v>
      </c>
      <c r="E171">
        <v>8.695652173913043</v>
      </c>
      <c r="F171">
        <v>8.695652173913043</v>
      </c>
      <c r="G171">
        <v>8.695652173913043</v>
      </c>
      <c r="H171">
        <v>8.695652173913043</v>
      </c>
      <c r="I171">
        <v>8.695652173913043</v>
      </c>
      <c r="J171">
        <v>8.695652173913043</v>
      </c>
      <c r="K171">
        <v>8.695652173913043</v>
      </c>
      <c r="L171">
        <v>6.5217391304347823</v>
      </c>
      <c r="M171">
        <v>6.5217391304347823</v>
      </c>
      <c r="N171">
        <v>6.3043478260869561</v>
      </c>
      <c r="O171">
        <v>5.2173913043478262</v>
      </c>
      <c r="P171">
        <v>3.2608695652173911</v>
      </c>
      <c r="Q171">
        <v>3.2608695652173911</v>
      </c>
      <c r="R171">
        <v>3.3695652173913042</v>
      </c>
      <c r="S171">
        <v>3.3695652173913042</v>
      </c>
      <c r="T171">
        <v>3.3695652173913042</v>
      </c>
      <c r="U171">
        <v>3.3695652173913042</v>
      </c>
      <c r="V171">
        <v>3.3695652173913042</v>
      </c>
      <c r="W171">
        <v>3.3695652173913042</v>
      </c>
      <c r="X171">
        <v>3.3695652173913042</v>
      </c>
      <c r="Y171">
        <v>3.3695652173913042</v>
      </c>
      <c r="Z171">
        <v>3.3695652173913042</v>
      </c>
      <c r="AA171">
        <v>3.3695652173913042</v>
      </c>
      <c r="AB171">
        <v>3.3695652173913042</v>
      </c>
    </row>
    <row r="172" spans="1:28" x14ac:dyDescent="0.3">
      <c r="A172" t="s">
        <v>558</v>
      </c>
      <c r="B172" s="5" t="s">
        <v>559</v>
      </c>
      <c r="C172" t="s">
        <v>373</v>
      </c>
      <c r="D172" s="5" t="s">
        <v>374</v>
      </c>
      <c r="E172">
        <v>38.930451648656138</v>
      </c>
      <c r="F172">
        <v>41.583818232197281</v>
      </c>
      <c r="G172">
        <v>44.750346356331391</v>
      </c>
      <c r="H172">
        <v>49.413549459684127</v>
      </c>
      <c r="I172">
        <v>52.268356885563868</v>
      </c>
      <c r="J172">
        <v>52.81269049598226</v>
      </c>
      <c r="K172">
        <v>55.830978110279858</v>
      </c>
      <c r="L172">
        <v>50.20393460792463</v>
      </c>
      <c r="M172">
        <v>51.430174563591024</v>
      </c>
      <c r="N172">
        <v>52.659600997506239</v>
      </c>
      <c r="O172">
        <v>54.452479911332773</v>
      </c>
      <c r="P172">
        <v>55.661263507896933</v>
      </c>
      <c r="Q172">
        <v>53.153920753671379</v>
      </c>
      <c r="R172">
        <v>54.705597118315318</v>
      </c>
      <c r="S172">
        <v>54.710446106954834</v>
      </c>
      <c r="T172">
        <v>54.710446106954834</v>
      </c>
      <c r="U172">
        <v>54.710446106954834</v>
      </c>
      <c r="V172">
        <v>54.710446106954834</v>
      </c>
      <c r="W172">
        <v>54.710446106954834</v>
      </c>
      <c r="X172">
        <v>54.710446106954834</v>
      </c>
      <c r="Y172">
        <v>54.710446106954834</v>
      </c>
      <c r="Z172">
        <v>54.710446106954834</v>
      </c>
      <c r="AA172">
        <v>54.710446106954834</v>
      </c>
      <c r="AB172">
        <v>54.710446106954834</v>
      </c>
    </row>
    <row r="173" spans="1:28" x14ac:dyDescent="0.3">
      <c r="A173" t="s">
        <v>558</v>
      </c>
      <c r="B173" s="5" t="s">
        <v>559</v>
      </c>
      <c r="C173" t="s">
        <v>375</v>
      </c>
      <c r="D173" s="5" t="s">
        <v>376</v>
      </c>
      <c r="E173">
        <v>1.791044776119403</v>
      </c>
      <c r="F173">
        <v>1.791044776119403</v>
      </c>
      <c r="G173">
        <v>1.7777777777777777</v>
      </c>
      <c r="H173">
        <v>1.1644832605531297</v>
      </c>
      <c r="I173">
        <v>1.1611030478955007</v>
      </c>
      <c r="J173">
        <v>1.1030478955007257</v>
      </c>
      <c r="K173">
        <v>1.0806916426512969</v>
      </c>
      <c r="L173">
        <v>1.1510791366906474</v>
      </c>
      <c r="M173">
        <v>1</v>
      </c>
      <c r="N173">
        <v>1</v>
      </c>
      <c r="O173">
        <v>1.0541310541310542</v>
      </c>
      <c r="P173">
        <v>1.0369318181818183</v>
      </c>
      <c r="Q173">
        <v>1.0339943342776203</v>
      </c>
      <c r="R173">
        <v>0.94766619519094775</v>
      </c>
      <c r="S173">
        <v>0.9308885754583921</v>
      </c>
      <c r="T173">
        <v>0.9308885754583921</v>
      </c>
      <c r="U173">
        <v>0.9308885754583921</v>
      </c>
      <c r="V173">
        <v>0.9269662921348315</v>
      </c>
      <c r="W173">
        <v>0.92436974789915971</v>
      </c>
      <c r="X173">
        <v>0.92178770949720679</v>
      </c>
      <c r="Y173">
        <v>0.91922005571030641</v>
      </c>
      <c r="Z173">
        <v>0.91922005571030641</v>
      </c>
      <c r="AA173">
        <v>0.91922005571030641</v>
      </c>
      <c r="AB173">
        <v>0.91922005571030641</v>
      </c>
    </row>
    <row r="174" spans="1:28" x14ac:dyDescent="0.3">
      <c r="A174" t="s">
        <v>558</v>
      </c>
      <c r="B174" s="5" t="s">
        <v>559</v>
      </c>
      <c r="C174" t="s">
        <v>377</v>
      </c>
      <c r="D174" s="5" t="s">
        <v>378</v>
      </c>
      <c r="E174" t="s">
        <v>73</v>
      </c>
      <c r="F174" t="s">
        <v>73</v>
      </c>
      <c r="G174" t="s">
        <v>73</v>
      </c>
      <c r="H174" t="s">
        <v>73</v>
      </c>
      <c r="I174" t="s">
        <v>73</v>
      </c>
      <c r="J174" t="s">
        <v>73</v>
      </c>
      <c r="K174" t="s">
        <v>73</v>
      </c>
      <c r="L174" t="s">
        <v>73</v>
      </c>
      <c r="M174" t="s">
        <v>73</v>
      </c>
      <c r="N174" t="s">
        <v>73</v>
      </c>
      <c r="O174" t="s">
        <v>73</v>
      </c>
      <c r="P174" t="s">
        <v>73</v>
      </c>
      <c r="Q174" t="s">
        <v>73</v>
      </c>
      <c r="R174" t="s">
        <v>73</v>
      </c>
      <c r="S174" t="s">
        <v>73</v>
      </c>
      <c r="T174" t="s">
        <v>73</v>
      </c>
      <c r="U174" t="s">
        <v>73</v>
      </c>
      <c r="V174" t="s">
        <v>73</v>
      </c>
      <c r="W174" t="s">
        <v>73</v>
      </c>
      <c r="X174" t="s">
        <v>73</v>
      </c>
      <c r="Y174" t="s">
        <v>73</v>
      </c>
      <c r="Z174" t="s">
        <v>73</v>
      </c>
      <c r="AA174" t="s">
        <v>73</v>
      </c>
      <c r="AB174" t="s">
        <v>73</v>
      </c>
    </row>
    <row r="175" spans="1:28" x14ac:dyDescent="0.3">
      <c r="A175" t="s">
        <v>558</v>
      </c>
      <c r="B175" s="5" t="s">
        <v>559</v>
      </c>
      <c r="C175" t="s">
        <v>36</v>
      </c>
      <c r="D175" s="5" t="s">
        <v>379</v>
      </c>
      <c r="E175">
        <v>50.727650727650733</v>
      </c>
      <c r="F175">
        <v>46.881496881496879</v>
      </c>
      <c r="G175">
        <v>46.507276507276508</v>
      </c>
      <c r="H175">
        <v>46.476823945125759</v>
      </c>
      <c r="I175">
        <v>40.207900207900209</v>
      </c>
      <c r="J175">
        <v>40.353430353430355</v>
      </c>
      <c r="K175">
        <v>40.311850311850314</v>
      </c>
      <c r="L175">
        <v>40.124740124740129</v>
      </c>
      <c r="M175">
        <v>40.270270270270267</v>
      </c>
      <c r="N175">
        <v>40.13308380120607</v>
      </c>
      <c r="O175">
        <v>40.43791977708927</v>
      </c>
      <c r="P175">
        <v>40.128514390284479</v>
      </c>
      <c r="Q175">
        <v>40.080685410081514</v>
      </c>
      <c r="R175">
        <v>39.373648311429051</v>
      </c>
      <c r="S175">
        <v>39.297004991680531</v>
      </c>
      <c r="T175">
        <v>39.278732165883284</v>
      </c>
      <c r="U175">
        <v>39.226289517470882</v>
      </c>
      <c r="V175">
        <v>39.080698835274539</v>
      </c>
      <c r="W175">
        <v>39.288685524126457</v>
      </c>
      <c r="X175">
        <v>39.20549084858569</v>
      </c>
      <c r="Y175">
        <v>39.163893510815306</v>
      </c>
      <c r="Z175">
        <v>38.602329450915143</v>
      </c>
      <c r="AA175">
        <v>38.4567387687188</v>
      </c>
      <c r="AB175">
        <v>37.957570715474212</v>
      </c>
    </row>
    <row r="176" spans="1:28" x14ac:dyDescent="0.3">
      <c r="A176" t="s">
        <v>558</v>
      </c>
      <c r="B176" s="5" t="s">
        <v>559</v>
      </c>
      <c r="C176" t="s">
        <v>37</v>
      </c>
      <c r="D176" s="5" t="s">
        <v>380</v>
      </c>
      <c r="E176">
        <v>25.719960278053627</v>
      </c>
      <c r="F176">
        <v>25.322740814299898</v>
      </c>
      <c r="G176">
        <v>25.074478649453823</v>
      </c>
      <c r="H176">
        <v>25.322740814299898</v>
      </c>
      <c r="I176">
        <v>24.42899702085402</v>
      </c>
      <c r="J176">
        <v>25.273088381330684</v>
      </c>
      <c r="K176">
        <v>24.379344587884809</v>
      </c>
      <c r="L176">
        <v>24.726911618669316</v>
      </c>
      <c r="M176">
        <v>30.703556998342119</v>
      </c>
      <c r="N176">
        <v>31.029792810412093</v>
      </c>
      <c r="O176">
        <v>30.966633906146075</v>
      </c>
      <c r="P176">
        <v>30.805618981435522</v>
      </c>
      <c r="Q176">
        <v>30.368267173640035</v>
      </c>
      <c r="R176">
        <v>30.298411122144987</v>
      </c>
      <c r="S176">
        <v>30.528301886792452</v>
      </c>
      <c r="T176">
        <v>30.606277243255587</v>
      </c>
      <c r="U176">
        <v>30.6563399860987</v>
      </c>
      <c r="V176">
        <v>30.541113610519368</v>
      </c>
      <c r="W176">
        <v>30.392721638425936</v>
      </c>
      <c r="X176">
        <v>30.406626805188612</v>
      </c>
      <c r="Y176">
        <v>30.317733060527203</v>
      </c>
      <c r="Z176">
        <v>30.341073876164558</v>
      </c>
      <c r="AA176">
        <v>30.329155161796546</v>
      </c>
      <c r="AB176">
        <v>30.355856862599023</v>
      </c>
    </row>
    <row r="177" spans="1:28" x14ac:dyDescent="0.3">
      <c r="A177" t="s">
        <v>558</v>
      </c>
      <c r="B177" s="5" t="s">
        <v>559</v>
      </c>
      <c r="C177" t="s">
        <v>381</v>
      </c>
      <c r="D177" s="5" t="s">
        <v>382</v>
      </c>
      <c r="E177">
        <v>2.7152554483744193</v>
      </c>
      <c r="F177">
        <v>2.7509824937477672</v>
      </c>
      <c r="G177">
        <v>2.8224365844944623</v>
      </c>
      <c r="H177">
        <v>2.9653447659878531</v>
      </c>
      <c r="I177">
        <v>2.9653447659878531</v>
      </c>
      <c r="J177">
        <v>3.4583779921400502</v>
      </c>
      <c r="K177">
        <v>3.4690961057520542</v>
      </c>
      <c r="L177">
        <v>3.6155769917827798</v>
      </c>
      <c r="M177">
        <v>3.5834226509467668</v>
      </c>
      <c r="N177">
        <v>3.6798856734548053</v>
      </c>
      <c r="O177">
        <v>3.354769560557342</v>
      </c>
      <c r="P177">
        <v>3.483386923901393</v>
      </c>
      <c r="Q177">
        <v>3.4798142193640587</v>
      </c>
      <c r="R177">
        <v>3.5119685602000716</v>
      </c>
      <c r="S177">
        <v>3.590568060021436</v>
      </c>
      <c r="T177">
        <v>3.6120042872454445</v>
      </c>
      <c r="U177">
        <v>3.6298678099321182</v>
      </c>
      <c r="V177">
        <v>3.6691675598428009</v>
      </c>
      <c r="W177">
        <v>3.7156127188281527</v>
      </c>
      <c r="X177">
        <v>3.7084673097534835</v>
      </c>
      <c r="Y177">
        <v>3.7370489460521612</v>
      </c>
      <c r="Z177">
        <v>3.890675241157556</v>
      </c>
      <c r="AA177">
        <v>3.8335119685602002</v>
      </c>
      <c r="AB177">
        <v>3.9013933547695605</v>
      </c>
    </row>
    <row r="178" spans="1:28" x14ac:dyDescent="0.3">
      <c r="A178" t="s">
        <v>558</v>
      </c>
      <c r="B178" s="5" t="s">
        <v>559</v>
      </c>
      <c r="C178" t="s">
        <v>383</v>
      </c>
      <c r="D178" s="5" t="s">
        <v>384</v>
      </c>
      <c r="E178">
        <v>70.244205693882094</v>
      </c>
      <c r="F178">
        <v>70.250581821659708</v>
      </c>
      <c r="G178">
        <v>70.280868428603299</v>
      </c>
      <c r="H178">
        <v>70.311155035546918</v>
      </c>
      <c r="I178">
        <v>70.387668568878127</v>
      </c>
      <c r="J178">
        <v>70.338253578601723</v>
      </c>
      <c r="K178">
        <v>70.258551981381714</v>
      </c>
      <c r="L178">
        <v>70.178850384161692</v>
      </c>
      <c r="M178">
        <v>70.338253578601723</v>
      </c>
      <c r="N178">
        <v>70.338253578601723</v>
      </c>
      <c r="O178">
        <v>70.338253578601723</v>
      </c>
      <c r="P178">
        <v>70.178850384161692</v>
      </c>
      <c r="Q178">
        <v>70.178850384161692</v>
      </c>
      <c r="R178">
        <v>70.338253578601723</v>
      </c>
      <c r="S178">
        <v>70.338253578601723</v>
      </c>
      <c r="T178">
        <v>70.338253578601723</v>
      </c>
      <c r="U178">
        <v>70.338253578601723</v>
      </c>
      <c r="V178">
        <v>70.339369400962795</v>
      </c>
      <c r="W178">
        <v>70.339209997768364</v>
      </c>
      <c r="X178">
        <v>70.341282239296078</v>
      </c>
      <c r="Y178">
        <v>70.341601045684953</v>
      </c>
      <c r="Z178">
        <v>70.341441642490523</v>
      </c>
      <c r="AA178">
        <v>70.343035674434915</v>
      </c>
      <c r="AB178">
        <v>70.343354480823791</v>
      </c>
    </row>
    <row r="179" spans="1:28" x14ac:dyDescent="0.3">
      <c r="A179" t="s">
        <v>558</v>
      </c>
      <c r="B179" s="5" t="s">
        <v>559</v>
      </c>
      <c r="C179" t="s">
        <v>38</v>
      </c>
      <c r="D179" s="5" t="s">
        <v>385</v>
      </c>
      <c r="E179">
        <v>80.888474886447</v>
      </c>
      <c r="F179">
        <v>80.796148678168976</v>
      </c>
      <c r="G179">
        <v>80.808513795349072</v>
      </c>
      <c r="H179">
        <v>80.726079680815104</v>
      </c>
      <c r="I179">
        <v>80.462290514306446</v>
      </c>
      <c r="J179">
        <v>80.35924787113899</v>
      </c>
      <c r="K179">
        <v>79.868764889661932</v>
      </c>
      <c r="L179">
        <v>79.870413571952611</v>
      </c>
      <c r="M179">
        <v>80.050119941636638</v>
      </c>
      <c r="N179">
        <v>79.9511990041959</v>
      </c>
      <c r="O179">
        <v>79.871237913097957</v>
      </c>
      <c r="P179">
        <v>79.445053540957389</v>
      </c>
      <c r="Q179">
        <v>79.417850283161187</v>
      </c>
      <c r="R179">
        <v>79.417850283161187</v>
      </c>
      <c r="S179">
        <v>79.417850283161187</v>
      </c>
      <c r="T179">
        <v>79.417850283161187</v>
      </c>
      <c r="U179">
        <v>79.417850283161187</v>
      </c>
      <c r="V179">
        <v>79.417850283161187</v>
      </c>
      <c r="W179">
        <v>79.417850283161187</v>
      </c>
      <c r="X179">
        <v>79.417850283161187</v>
      </c>
      <c r="Y179">
        <v>79.417850283161187</v>
      </c>
      <c r="Z179">
        <v>79.417850283161187</v>
      </c>
      <c r="AA179">
        <v>79.417850283161187</v>
      </c>
      <c r="AB179">
        <v>79.417850283161187</v>
      </c>
    </row>
    <row r="180" spans="1:28" x14ac:dyDescent="0.3">
      <c r="A180" t="s">
        <v>558</v>
      </c>
      <c r="B180" s="5" t="s">
        <v>559</v>
      </c>
      <c r="C180" t="s">
        <v>386</v>
      </c>
      <c r="D180" s="5" t="s">
        <v>387</v>
      </c>
      <c r="E180" t="s">
        <v>73</v>
      </c>
      <c r="F180" t="s">
        <v>73</v>
      </c>
      <c r="G180" t="s">
        <v>73</v>
      </c>
      <c r="H180" t="s">
        <v>73</v>
      </c>
      <c r="I180" t="s">
        <v>73</v>
      </c>
      <c r="J180" t="s">
        <v>73</v>
      </c>
      <c r="K180" t="s">
        <v>73</v>
      </c>
      <c r="L180" t="s">
        <v>73</v>
      </c>
      <c r="M180" t="s">
        <v>73</v>
      </c>
      <c r="N180" t="s">
        <v>73</v>
      </c>
      <c r="O180" t="s">
        <v>73</v>
      </c>
      <c r="P180" t="s">
        <v>73</v>
      </c>
      <c r="Q180">
        <v>45.096628582279685</v>
      </c>
      <c r="R180">
        <v>45.040787745478141</v>
      </c>
      <c r="S180">
        <v>44.984946908676591</v>
      </c>
      <c r="T180">
        <v>44.929106071875047</v>
      </c>
      <c r="U180">
        <v>44.873265235073504</v>
      </c>
      <c r="V180">
        <v>44.81742439827196</v>
      </c>
      <c r="W180">
        <v>44.705742724668873</v>
      </c>
      <c r="X180">
        <v>44.705742724668873</v>
      </c>
      <c r="Y180">
        <v>44.705426233918317</v>
      </c>
      <c r="Z180">
        <v>44.708591141423895</v>
      </c>
      <c r="AA180">
        <v>44.708591141423895</v>
      </c>
      <c r="AB180">
        <v>44.858185716772432</v>
      </c>
    </row>
    <row r="181" spans="1:28" x14ac:dyDescent="0.3">
      <c r="A181" t="s">
        <v>558</v>
      </c>
      <c r="B181" s="5" t="s">
        <v>559</v>
      </c>
      <c r="C181" t="s">
        <v>39</v>
      </c>
      <c r="D181" s="5" t="s">
        <v>388</v>
      </c>
      <c r="E181">
        <v>59.651302605210418</v>
      </c>
      <c r="F181">
        <v>59.215277220572894</v>
      </c>
      <c r="G181">
        <v>58.951186277653086</v>
      </c>
      <c r="H181">
        <v>58.398269265439396</v>
      </c>
      <c r="I181">
        <v>58.237509515605588</v>
      </c>
      <c r="J181">
        <v>58.434350517942654</v>
      </c>
      <c r="K181">
        <v>57.342979678544225</v>
      </c>
      <c r="L181">
        <v>56.10787201218168</v>
      </c>
      <c r="M181">
        <v>56.419406575781871</v>
      </c>
      <c r="N181">
        <v>56.090322063129186</v>
      </c>
      <c r="O181">
        <v>55.088898222035553</v>
      </c>
      <c r="P181">
        <v>54.040969832759863</v>
      </c>
      <c r="Q181">
        <v>53.861378221147113</v>
      </c>
      <c r="R181">
        <v>53.443953539513402</v>
      </c>
      <c r="S181">
        <v>53.133683852781829</v>
      </c>
      <c r="T181">
        <v>53.189062184160861</v>
      </c>
      <c r="U181">
        <v>52.577247359697651</v>
      </c>
      <c r="V181">
        <v>52.638713827628145</v>
      </c>
      <c r="W181">
        <v>52.408209711445984</v>
      </c>
      <c r="X181">
        <v>52.458491725872847</v>
      </c>
      <c r="Y181">
        <v>52.331679223284077</v>
      </c>
      <c r="Z181">
        <v>52.484894120832195</v>
      </c>
      <c r="AA181">
        <v>53.357281006681099</v>
      </c>
      <c r="AB181">
        <v>49.575326987893071</v>
      </c>
    </row>
    <row r="182" spans="1:28" x14ac:dyDescent="0.3">
      <c r="A182" t="s">
        <v>558</v>
      </c>
      <c r="B182" s="5" t="s">
        <v>559</v>
      </c>
      <c r="C182" t="s">
        <v>389</v>
      </c>
      <c r="D182" s="5" t="s">
        <v>390</v>
      </c>
      <c r="E182">
        <v>37.474087067453354</v>
      </c>
      <c r="F182">
        <v>37.490033487482059</v>
      </c>
      <c r="G182">
        <v>37.569765587625575</v>
      </c>
      <c r="H182">
        <v>38.04656354648381</v>
      </c>
      <c r="I182">
        <v>36.491787593685217</v>
      </c>
      <c r="J182">
        <v>39.74645192154361</v>
      </c>
      <c r="K182">
        <v>38.752989953755382</v>
      </c>
      <c r="L182">
        <v>37.990751076383347</v>
      </c>
      <c r="M182">
        <v>41.422420666560356</v>
      </c>
      <c r="N182">
        <v>41.613777706904798</v>
      </c>
      <c r="O182">
        <v>41.779620475203316</v>
      </c>
      <c r="P182">
        <v>43.533726678360708</v>
      </c>
      <c r="Q182">
        <v>43.693190878647741</v>
      </c>
      <c r="R182">
        <v>43.693190878647741</v>
      </c>
      <c r="S182">
        <v>43.693190878647741</v>
      </c>
      <c r="T182">
        <v>44.269949751991341</v>
      </c>
      <c r="U182">
        <v>44.431518911670139</v>
      </c>
      <c r="V182">
        <v>44.596319454542517</v>
      </c>
      <c r="W182">
        <v>45.44807965860597</v>
      </c>
      <c r="X182">
        <v>45.447294707285131</v>
      </c>
      <c r="Y182">
        <v>45.457484642741676</v>
      </c>
      <c r="Z182">
        <v>45.457484642741676</v>
      </c>
      <c r="AA182">
        <v>45.457484642741676</v>
      </c>
      <c r="AB182">
        <v>48.608147429679924</v>
      </c>
    </row>
    <row r="183" spans="1:28" x14ac:dyDescent="0.3">
      <c r="A183" t="s">
        <v>558</v>
      </c>
      <c r="B183" s="5" t="s">
        <v>559</v>
      </c>
      <c r="C183" t="s">
        <v>391</v>
      </c>
      <c r="D183" s="5" t="s">
        <v>392</v>
      </c>
      <c r="E183">
        <v>36.538461538461533</v>
      </c>
      <c r="F183">
        <v>35.769230769230766</v>
      </c>
      <c r="G183">
        <v>31.153846153846153</v>
      </c>
      <c r="H183">
        <v>31.153846153846153</v>
      </c>
      <c r="I183">
        <v>30.884615384615383</v>
      </c>
      <c r="J183">
        <v>19.230769230769234</v>
      </c>
      <c r="K183">
        <v>19.26923076923077</v>
      </c>
      <c r="L183">
        <v>19.576923076923077</v>
      </c>
      <c r="M183">
        <v>19.615384615384617</v>
      </c>
      <c r="N183">
        <v>21.153846153846153</v>
      </c>
      <c r="O183">
        <v>21.923076923076923</v>
      </c>
      <c r="P183">
        <v>23.076923076923077</v>
      </c>
      <c r="Q183">
        <v>23.076923076923077</v>
      </c>
      <c r="R183">
        <v>23.076923076923077</v>
      </c>
      <c r="S183">
        <v>23.076923076923077</v>
      </c>
      <c r="T183">
        <v>23.076923076923077</v>
      </c>
      <c r="U183">
        <v>23.076923076923077</v>
      </c>
      <c r="V183">
        <v>23.076923076923077</v>
      </c>
      <c r="W183">
        <v>23.076923076923077</v>
      </c>
      <c r="X183">
        <v>23.076923076923077</v>
      </c>
      <c r="Y183">
        <v>23.076923076923077</v>
      </c>
      <c r="Z183">
        <v>23.076923076923077</v>
      </c>
      <c r="AA183">
        <v>23.076923076923077</v>
      </c>
      <c r="AB183">
        <v>23.076923076923077</v>
      </c>
    </row>
    <row r="184" spans="1:28" x14ac:dyDescent="0.3">
      <c r="A184" t="s">
        <v>558</v>
      </c>
      <c r="B184" s="5" t="s">
        <v>559</v>
      </c>
      <c r="C184" t="s">
        <v>393</v>
      </c>
      <c r="D184" s="5" t="s">
        <v>394</v>
      </c>
      <c r="E184">
        <v>23.278688524590162</v>
      </c>
      <c r="F184">
        <v>22.78688524590164</v>
      </c>
      <c r="G184">
        <v>21.475409836065573</v>
      </c>
      <c r="H184">
        <v>20.327868852459016</v>
      </c>
      <c r="I184">
        <v>18.196721311475411</v>
      </c>
      <c r="J184">
        <v>17.868852459016395</v>
      </c>
      <c r="K184">
        <v>16.557377049180328</v>
      </c>
      <c r="L184">
        <v>16.278688524590166</v>
      </c>
      <c r="M184">
        <v>16.295081967213115</v>
      </c>
      <c r="N184">
        <v>16.295081967213115</v>
      </c>
      <c r="O184">
        <v>16.295081967213115</v>
      </c>
      <c r="P184">
        <v>16.295081967213115</v>
      </c>
      <c r="Q184">
        <v>16.295081967213115</v>
      </c>
      <c r="R184">
        <v>16.295081967213115</v>
      </c>
      <c r="S184">
        <v>16.295081967213115</v>
      </c>
      <c r="T184">
        <v>16.295081967213115</v>
      </c>
      <c r="U184">
        <v>16.295081967213115</v>
      </c>
      <c r="V184">
        <v>16.295081967213115</v>
      </c>
      <c r="W184">
        <v>16.295081967213115</v>
      </c>
      <c r="X184">
        <v>16.295081967213115</v>
      </c>
      <c r="Y184">
        <v>16.295081967213115</v>
      </c>
      <c r="Z184">
        <v>16.295081967213115</v>
      </c>
      <c r="AA184">
        <v>16.295081967213115</v>
      </c>
      <c r="AB184">
        <v>16.295081967213115</v>
      </c>
    </row>
    <row r="185" spans="1:28" x14ac:dyDescent="0.3">
      <c r="A185" t="s">
        <v>558</v>
      </c>
      <c r="B185" s="5" t="s">
        <v>559</v>
      </c>
      <c r="C185" t="s">
        <v>395</v>
      </c>
      <c r="D185" s="5" t="s">
        <v>396</v>
      </c>
      <c r="E185" t="s">
        <v>73</v>
      </c>
      <c r="F185" t="s">
        <v>73</v>
      </c>
      <c r="G185" t="s">
        <v>73</v>
      </c>
      <c r="H185" t="s">
        <v>73</v>
      </c>
      <c r="I185" t="s">
        <v>73</v>
      </c>
      <c r="J185" t="s">
        <v>73</v>
      </c>
      <c r="K185" t="s">
        <v>73</v>
      </c>
      <c r="L185" t="s">
        <v>73</v>
      </c>
      <c r="M185" t="s">
        <v>73</v>
      </c>
      <c r="N185" t="s">
        <v>73</v>
      </c>
      <c r="O185" t="s">
        <v>73</v>
      </c>
      <c r="P185" t="s">
        <v>73</v>
      </c>
      <c r="Q185" t="s">
        <v>73</v>
      </c>
      <c r="R185" t="s">
        <v>73</v>
      </c>
      <c r="S185" t="s">
        <v>73</v>
      </c>
      <c r="T185" t="s">
        <v>73</v>
      </c>
      <c r="U185" t="s">
        <v>73</v>
      </c>
      <c r="V185" t="s">
        <v>73</v>
      </c>
      <c r="W185" t="s">
        <v>73</v>
      </c>
      <c r="X185" t="s">
        <v>73</v>
      </c>
      <c r="Y185" t="s">
        <v>73</v>
      </c>
      <c r="Z185" t="s">
        <v>73</v>
      </c>
      <c r="AA185" t="s">
        <v>73</v>
      </c>
      <c r="AB185" t="s">
        <v>73</v>
      </c>
    </row>
    <row r="186" spans="1:28" x14ac:dyDescent="0.3">
      <c r="A186" t="s">
        <v>558</v>
      </c>
      <c r="B186" s="5" t="s">
        <v>559</v>
      </c>
      <c r="C186" t="s">
        <v>397</v>
      </c>
      <c r="D186" s="5" t="s">
        <v>398</v>
      </c>
      <c r="E186">
        <v>17.948717948717949</v>
      </c>
      <c r="F186">
        <v>17.948717948717949</v>
      </c>
      <c r="G186">
        <v>17.948717948717949</v>
      </c>
      <c r="H186">
        <v>17.948717948717949</v>
      </c>
      <c r="I186">
        <v>17.948717948717949</v>
      </c>
      <c r="J186">
        <v>17.948717948717949</v>
      </c>
      <c r="K186">
        <v>17.948717948717949</v>
      </c>
      <c r="L186">
        <v>17.948717948717949</v>
      </c>
      <c r="M186">
        <v>17.948717948717949</v>
      </c>
      <c r="N186">
        <v>17.948717948717949</v>
      </c>
      <c r="O186">
        <v>17.948717948717949</v>
      </c>
      <c r="P186">
        <v>17.948717948717949</v>
      </c>
      <c r="Q186">
        <v>17.948717948717949</v>
      </c>
      <c r="R186">
        <v>17.948717948717949</v>
      </c>
      <c r="S186">
        <v>17.948717948717949</v>
      </c>
      <c r="T186">
        <v>17.948717948717949</v>
      </c>
      <c r="U186">
        <v>17.948717948717949</v>
      </c>
      <c r="V186">
        <v>17.948717948717949</v>
      </c>
      <c r="W186">
        <v>17.948717948717949</v>
      </c>
      <c r="X186">
        <v>17.948717948717949</v>
      </c>
      <c r="Y186">
        <v>17.948717948717949</v>
      </c>
      <c r="Z186">
        <v>17.948717948717949</v>
      </c>
      <c r="AA186">
        <v>17.948717948717949</v>
      </c>
      <c r="AB186">
        <v>17.948717948717949</v>
      </c>
    </row>
    <row r="187" spans="1:28" x14ac:dyDescent="0.3">
      <c r="A187" t="s">
        <v>558</v>
      </c>
      <c r="B187" s="5" t="s">
        <v>559</v>
      </c>
      <c r="C187" t="s">
        <v>399</v>
      </c>
      <c r="D187" s="5" t="s">
        <v>400</v>
      </c>
      <c r="E187" t="s">
        <v>73</v>
      </c>
      <c r="F187" t="s">
        <v>73</v>
      </c>
      <c r="G187" t="s">
        <v>73</v>
      </c>
      <c r="H187" t="s">
        <v>73</v>
      </c>
      <c r="I187" t="s">
        <v>73</v>
      </c>
      <c r="J187" t="s">
        <v>73</v>
      </c>
      <c r="K187" t="s">
        <v>73</v>
      </c>
      <c r="L187" t="s">
        <v>73</v>
      </c>
      <c r="M187" t="s">
        <v>73</v>
      </c>
      <c r="N187" t="s">
        <v>73</v>
      </c>
      <c r="O187" t="s">
        <v>73</v>
      </c>
      <c r="P187" t="s">
        <v>73</v>
      </c>
      <c r="Q187">
        <v>59.671284796573879</v>
      </c>
      <c r="R187">
        <v>59.664539614561029</v>
      </c>
      <c r="S187">
        <v>59.660042826552463</v>
      </c>
      <c r="T187">
        <v>59.823276231263378</v>
      </c>
      <c r="U187">
        <v>59.986509635974308</v>
      </c>
      <c r="V187">
        <v>60.149743040685223</v>
      </c>
      <c r="W187">
        <v>60.313169164882233</v>
      </c>
      <c r="X187">
        <v>60.313169164882233</v>
      </c>
      <c r="Y187">
        <v>60.313169164882233</v>
      </c>
      <c r="Z187">
        <v>60.313169164882233</v>
      </c>
      <c r="AA187">
        <v>60.313169164882233</v>
      </c>
      <c r="AB187">
        <v>60.313169164882233</v>
      </c>
    </row>
    <row r="188" spans="1:28" x14ac:dyDescent="0.3">
      <c r="A188" t="s">
        <v>558</v>
      </c>
      <c r="B188" s="5" t="s">
        <v>559</v>
      </c>
      <c r="C188" t="s">
        <v>401</v>
      </c>
      <c r="D188" s="5" t="s">
        <v>402</v>
      </c>
      <c r="E188">
        <v>0.54826060895181228</v>
      </c>
      <c r="F188">
        <v>0.53580014056654379</v>
      </c>
      <c r="G188">
        <v>0.4610373302549331</v>
      </c>
      <c r="H188">
        <v>0.50153385250705562</v>
      </c>
      <c r="I188">
        <v>0.48284314992915295</v>
      </c>
      <c r="J188">
        <v>0.45356104922377199</v>
      </c>
      <c r="K188">
        <v>0.45356104922377199</v>
      </c>
      <c r="L188">
        <v>0.43611639348439613</v>
      </c>
      <c r="M188">
        <v>0.44110058083850351</v>
      </c>
      <c r="N188">
        <v>0.50091082908779216</v>
      </c>
      <c r="O188">
        <v>0.48782733728326033</v>
      </c>
      <c r="P188">
        <v>0.4984187354107385</v>
      </c>
      <c r="Q188">
        <v>0.45605314290082571</v>
      </c>
      <c r="R188">
        <v>0.51835548482716798</v>
      </c>
      <c r="S188">
        <v>0.54950665579033919</v>
      </c>
      <c r="T188">
        <v>0.54203037475917804</v>
      </c>
      <c r="U188">
        <v>0.54203037475917804</v>
      </c>
      <c r="V188">
        <v>0.52333967218127542</v>
      </c>
      <c r="W188">
        <v>0.52333967218127542</v>
      </c>
      <c r="X188">
        <v>0.52333967218127542</v>
      </c>
      <c r="Y188">
        <v>0.4984187354107385</v>
      </c>
      <c r="Z188">
        <v>0.48595826702547001</v>
      </c>
      <c r="AA188">
        <v>0.44857686186966461</v>
      </c>
      <c r="AB188">
        <v>0.44503808884824841</v>
      </c>
    </row>
    <row r="189" spans="1:28" x14ac:dyDescent="0.3">
      <c r="A189" t="s">
        <v>558</v>
      </c>
      <c r="B189" s="5" t="s">
        <v>559</v>
      </c>
      <c r="C189" t="s">
        <v>40</v>
      </c>
      <c r="D189" s="5" t="s">
        <v>403</v>
      </c>
      <c r="E189">
        <v>7.301277042232809</v>
      </c>
      <c r="F189">
        <v>7.497182327182939</v>
      </c>
      <c r="G189">
        <v>7.7083083234951069</v>
      </c>
      <c r="H189">
        <v>7.6808128449056152</v>
      </c>
      <c r="I189">
        <v>7.740959204320129</v>
      </c>
      <c r="J189">
        <v>7.8587969697036648</v>
      </c>
      <c r="K189">
        <v>7.7333488486391087</v>
      </c>
      <c r="L189">
        <v>7.6616642080307908</v>
      </c>
      <c r="M189">
        <v>7.5509458076391773</v>
      </c>
      <c r="N189">
        <v>7.5298332080079602</v>
      </c>
      <c r="O189">
        <v>7.5457904054036478</v>
      </c>
      <c r="P189">
        <v>7.5197678988814491</v>
      </c>
      <c r="Q189">
        <v>7.4421913700039548</v>
      </c>
      <c r="R189">
        <v>7.4534350567843006</v>
      </c>
      <c r="S189">
        <v>7.4534105072498456</v>
      </c>
      <c r="T189">
        <v>7.4349886857853749</v>
      </c>
      <c r="U189">
        <v>7.4167470803119713</v>
      </c>
      <c r="V189">
        <v>7.393300602213583</v>
      </c>
      <c r="W189">
        <v>7.3663432902219297</v>
      </c>
      <c r="X189">
        <v>7.3782164604203491</v>
      </c>
      <c r="Y189">
        <v>7.3806717737183263</v>
      </c>
      <c r="Z189">
        <v>7.3733058338243964</v>
      </c>
      <c r="AA189">
        <v>7.3536633274405805</v>
      </c>
      <c r="AB189">
        <v>7.3219240307412763</v>
      </c>
    </row>
    <row r="190" spans="1:28" x14ac:dyDescent="0.3">
      <c r="A190" t="s">
        <v>558</v>
      </c>
      <c r="B190" s="5" t="s">
        <v>559</v>
      </c>
      <c r="C190" t="s">
        <v>41</v>
      </c>
      <c r="D190" s="5" t="s">
        <v>404</v>
      </c>
      <c r="E190">
        <v>39.61727304011243</v>
      </c>
      <c r="F190">
        <v>39.540771350698698</v>
      </c>
      <c r="G190">
        <v>39.465603458442835</v>
      </c>
      <c r="H190">
        <v>39.389477968792285</v>
      </c>
      <c r="I190">
        <v>39.311924123808339</v>
      </c>
      <c r="J190">
        <v>39.234877637662535</v>
      </c>
      <c r="K190">
        <v>39.159052182210125</v>
      </c>
      <c r="L190">
        <v>39.083077776501192</v>
      </c>
      <c r="M190">
        <v>38.999110248911144</v>
      </c>
      <c r="N190">
        <v>38.915451463265107</v>
      </c>
      <c r="O190">
        <v>38.832838878628614</v>
      </c>
      <c r="P190">
        <v>38.750211135043266</v>
      </c>
      <c r="Q190">
        <v>38.667655833813441</v>
      </c>
      <c r="R190">
        <v>38.585375856321875</v>
      </c>
      <c r="S190">
        <v>38.502806407833155</v>
      </c>
      <c r="T190">
        <v>38.420568546424562</v>
      </c>
      <c r="U190">
        <v>38.338660726511485</v>
      </c>
      <c r="V190">
        <v>38.259882464097991</v>
      </c>
      <c r="W190">
        <v>38.182405150339292</v>
      </c>
      <c r="X190">
        <v>38.105034139778077</v>
      </c>
      <c r="Y190">
        <v>38.027106302944368</v>
      </c>
      <c r="Z190">
        <v>37.949692264898459</v>
      </c>
      <c r="AA190">
        <v>37.871293656761658</v>
      </c>
      <c r="AB190">
        <v>37.793894804886804</v>
      </c>
    </row>
    <row r="191" spans="1:28" x14ac:dyDescent="0.3">
      <c r="A191" t="s">
        <v>558</v>
      </c>
      <c r="B191" s="5" t="s">
        <v>559</v>
      </c>
      <c r="C191" t="s">
        <v>405</v>
      </c>
      <c r="D191" s="5" t="s">
        <v>406</v>
      </c>
      <c r="E191">
        <v>74.605506583959084</v>
      </c>
      <c r="F191">
        <v>74.670802045924475</v>
      </c>
      <c r="G191">
        <v>74.866688431820663</v>
      </c>
      <c r="H191">
        <v>75.238302739800645</v>
      </c>
      <c r="I191">
        <v>75.747671188102629</v>
      </c>
      <c r="J191">
        <v>75.328212670915732</v>
      </c>
      <c r="K191">
        <v>75.570440559821378</v>
      </c>
      <c r="L191">
        <v>75.67523415377913</v>
      </c>
      <c r="M191">
        <v>75.680679590503161</v>
      </c>
      <c r="N191">
        <v>75.7351339577434</v>
      </c>
      <c r="O191">
        <v>75.739258291128891</v>
      </c>
      <c r="P191">
        <v>75.777378424004795</v>
      </c>
      <c r="Q191">
        <v>75.810052823612693</v>
      </c>
      <c r="R191">
        <v>75.810052823612693</v>
      </c>
      <c r="S191">
        <v>75.799161357076727</v>
      </c>
      <c r="T191">
        <v>75.788269890540761</v>
      </c>
      <c r="U191">
        <v>75.783510319664543</v>
      </c>
      <c r="V191">
        <v>75.804775908076024</v>
      </c>
      <c r="W191">
        <v>75.792016555029136</v>
      </c>
      <c r="X191">
        <v>75.757414365844355</v>
      </c>
      <c r="Y191">
        <v>75.768534553177574</v>
      </c>
      <c r="Z191">
        <v>74.993067581549852</v>
      </c>
      <c r="AA191">
        <v>74.09464684419757</v>
      </c>
      <c r="AB191">
        <v>74.09464684419757</v>
      </c>
    </row>
    <row r="192" spans="1:28" x14ac:dyDescent="0.3">
      <c r="A192" t="s">
        <v>558</v>
      </c>
      <c r="B192" s="5" t="s">
        <v>559</v>
      </c>
      <c r="C192" t="s">
        <v>407</v>
      </c>
      <c r="D192" s="5" t="s">
        <v>408</v>
      </c>
      <c r="E192">
        <v>32.673621034581309</v>
      </c>
      <c r="F192">
        <v>32.673621034581309</v>
      </c>
      <c r="G192">
        <v>32.659331237496424</v>
      </c>
      <c r="H192">
        <v>32.837953701057444</v>
      </c>
      <c r="I192">
        <v>33.223778222349246</v>
      </c>
      <c r="J192">
        <v>33.380965990282938</v>
      </c>
      <c r="K192">
        <v>33.831094598456701</v>
      </c>
      <c r="L192">
        <v>33.788225207202053</v>
      </c>
      <c r="M192">
        <v>33.773935410117176</v>
      </c>
      <c r="N192">
        <v>34.005430122892257</v>
      </c>
      <c r="O192">
        <v>27.209202629322665</v>
      </c>
      <c r="P192">
        <v>26.807659331237499</v>
      </c>
      <c r="Q192">
        <v>26.214632752214918</v>
      </c>
      <c r="R192">
        <v>26.456844812803659</v>
      </c>
      <c r="S192">
        <v>26.800974161658957</v>
      </c>
      <c r="T192">
        <v>27.076158224655956</v>
      </c>
      <c r="U192">
        <v>27.364363426759851</v>
      </c>
      <c r="V192">
        <v>27.679948123063618</v>
      </c>
      <c r="W192">
        <v>27.772894300742131</v>
      </c>
      <c r="X192">
        <v>27.840622523236547</v>
      </c>
      <c r="Y192">
        <v>27.83125585416817</v>
      </c>
      <c r="Z192">
        <v>27.788745586857843</v>
      </c>
      <c r="AA192">
        <v>28.072627710930181</v>
      </c>
      <c r="AB192">
        <v>27.946537935009726</v>
      </c>
    </row>
    <row r="193" spans="1:28" x14ac:dyDescent="0.3">
      <c r="A193" t="s">
        <v>558</v>
      </c>
      <c r="B193" s="5" t="s">
        <v>559</v>
      </c>
      <c r="C193" t="s">
        <v>409</v>
      </c>
      <c r="D193" s="5" t="s">
        <v>410</v>
      </c>
      <c r="E193">
        <v>38.383382253330325</v>
      </c>
      <c r="F193">
        <v>38.496274554075413</v>
      </c>
      <c r="G193">
        <v>38.609166854820501</v>
      </c>
      <c r="H193">
        <v>38.688191465342065</v>
      </c>
      <c r="I193">
        <v>39.238089862271394</v>
      </c>
      <c r="J193">
        <v>39.867012869722288</v>
      </c>
      <c r="K193">
        <v>40.495935877173181</v>
      </c>
      <c r="L193">
        <v>41.113569654549558</v>
      </c>
      <c r="M193">
        <v>41.74125084669226</v>
      </c>
      <c r="N193">
        <v>41.980921201174084</v>
      </c>
      <c r="O193">
        <v>42.220591555655908</v>
      </c>
      <c r="P193">
        <v>42.460261910137731</v>
      </c>
      <c r="Q193">
        <v>42.331896590652519</v>
      </c>
      <c r="R193">
        <v>42.939602619101372</v>
      </c>
      <c r="S193">
        <v>43.179272973583203</v>
      </c>
      <c r="T193">
        <v>43.418943328065026</v>
      </c>
      <c r="U193">
        <v>43.65861368254685</v>
      </c>
      <c r="V193">
        <v>43.898284037028674</v>
      </c>
      <c r="W193">
        <v>44.137954391510497</v>
      </c>
      <c r="X193">
        <v>44.377624745992321</v>
      </c>
      <c r="Y193">
        <v>44.616391962068185</v>
      </c>
      <c r="Z193">
        <v>44.616391962068185</v>
      </c>
      <c r="AA193">
        <v>44.616391962068185</v>
      </c>
      <c r="AB193">
        <v>44.616391962068185</v>
      </c>
    </row>
    <row r="194" spans="1:28" x14ac:dyDescent="0.3">
      <c r="A194" t="s">
        <v>558</v>
      </c>
      <c r="B194" s="5" t="s">
        <v>559</v>
      </c>
      <c r="C194" t="s">
        <v>411</v>
      </c>
      <c r="D194" s="5" t="s">
        <v>412</v>
      </c>
      <c r="E194">
        <v>42.856583608996068</v>
      </c>
      <c r="F194">
        <v>43.038618880776689</v>
      </c>
      <c r="G194">
        <v>43.220654152557302</v>
      </c>
      <c r="H194">
        <v>43.402689424337922</v>
      </c>
      <c r="I194">
        <v>43.584724696118535</v>
      </c>
      <c r="J194">
        <v>43.766759967899155</v>
      </c>
      <c r="K194">
        <v>43.948795239679775</v>
      </c>
      <c r="L194">
        <v>44.128873142946624</v>
      </c>
      <c r="M194">
        <v>44.310908414727237</v>
      </c>
      <c r="N194">
        <v>44.492943686507857</v>
      </c>
      <c r="O194">
        <v>44.674978958288477</v>
      </c>
      <c r="P194">
        <v>44.682808432343556</v>
      </c>
      <c r="Q194">
        <v>44.690637906398642</v>
      </c>
      <c r="R194">
        <v>44.698986866057275</v>
      </c>
      <c r="S194">
        <v>44.710211591536336</v>
      </c>
      <c r="T194">
        <v>44.718041065591422</v>
      </c>
      <c r="U194">
        <v>44.710211591536336</v>
      </c>
      <c r="V194">
        <v>44.719998434105193</v>
      </c>
      <c r="W194">
        <v>44.717447004247489</v>
      </c>
      <c r="X194">
        <v>45.01947581671201</v>
      </c>
      <c r="Y194">
        <v>45.551683728395545</v>
      </c>
      <c r="Z194">
        <v>45.998160073597056</v>
      </c>
      <c r="AA194">
        <v>45.998160073597056</v>
      </c>
      <c r="AB194">
        <v>43.798077864119477</v>
      </c>
    </row>
    <row r="195" spans="1:28" x14ac:dyDescent="0.3">
      <c r="A195" t="s">
        <v>558</v>
      </c>
      <c r="B195" s="5" t="s">
        <v>559</v>
      </c>
      <c r="C195" t="s">
        <v>413</v>
      </c>
      <c r="D195" s="5" t="s">
        <v>414</v>
      </c>
      <c r="E195">
        <v>22.663080026899799</v>
      </c>
      <c r="F195">
        <v>22.636180228648286</v>
      </c>
      <c r="G195">
        <v>22.609280430396772</v>
      </c>
      <c r="H195">
        <v>22.447881640887694</v>
      </c>
      <c r="I195">
        <v>22.420981842636181</v>
      </c>
      <c r="J195">
        <v>22.394082044384668</v>
      </c>
      <c r="K195">
        <v>22.367182246133154</v>
      </c>
      <c r="L195">
        <v>22.340282447881641</v>
      </c>
      <c r="M195">
        <v>22.649630127774042</v>
      </c>
      <c r="N195">
        <v>22.757229320780095</v>
      </c>
      <c r="O195">
        <v>22.730329522528582</v>
      </c>
      <c r="P195">
        <v>22.770679219905851</v>
      </c>
      <c r="Q195">
        <v>22.804303967720241</v>
      </c>
      <c r="R195">
        <v>22.837928715534634</v>
      </c>
      <c r="S195">
        <v>22.871553463349027</v>
      </c>
      <c r="T195">
        <v>22.905178211163417</v>
      </c>
      <c r="U195">
        <v>22.938802958977806</v>
      </c>
      <c r="V195">
        <v>22.972427706792196</v>
      </c>
      <c r="W195">
        <v>23.006052454606589</v>
      </c>
      <c r="X195">
        <v>22.958977807666443</v>
      </c>
      <c r="Y195">
        <v>22.958977807666443</v>
      </c>
      <c r="Z195">
        <v>22.958977807666443</v>
      </c>
      <c r="AA195">
        <v>22.958977807666443</v>
      </c>
      <c r="AB195">
        <v>22.958977807666443</v>
      </c>
    </row>
    <row r="196" spans="1:28" x14ac:dyDescent="0.3">
      <c r="A196" t="s">
        <v>558</v>
      </c>
      <c r="B196" s="5" t="s">
        <v>559</v>
      </c>
      <c r="C196" t="s">
        <v>415</v>
      </c>
      <c r="D196" s="5" t="s">
        <v>416</v>
      </c>
      <c r="E196">
        <v>62.511491082919655</v>
      </c>
      <c r="F196">
        <v>62.879205736348595</v>
      </c>
      <c r="G196">
        <v>63.246920389777529</v>
      </c>
      <c r="H196">
        <v>63.614635043206469</v>
      </c>
      <c r="I196">
        <v>63.98234969663541</v>
      </c>
      <c r="J196">
        <v>64.717779003493291</v>
      </c>
      <c r="K196">
        <v>65.637065637065632</v>
      </c>
      <c r="L196">
        <v>66.096708953851817</v>
      </c>
      <c r="M196">
        <v>66.832138260709698</v>
      </c>
      <c r="N196">
        <v>67.199852914138631</v>
      </c>
      <c r="O196">
        <v>67.383710240853105</v>
      </c>
      <c r="P196">
        <v>67.383710240853105</v>
      </c>
      <c r="Q196">
        <v>70.785070785070786</v>
      </c>
      <c r="R196">
        <v>70.233498804927379</v>
      </c>
      <c r="S196">
        <v>70.233498804927379</v>
      </c>
      <c r="T196">
        <v>70.233498804927379</v>
      </c>
      <c r="U196">
        <v>70.233498804927379</v>
      </c>
      <c r="V196">
        <v>70.233498804927379</v>
      </c>
      <c r="W196">
        <v>70.233498804927379</v>
      </c>
      <c r="X196">
        <v>70.233498804927379</v>
      </c>
      <c r="Y196">
        <v>70.233498804927379</v>
      </c>
      <c r="Z196">
        <v>70.233498804927379</v>
      </c>
      <c r="AA196">
        <v>70.233498804927379</v>
      </c>
      <c r="AB196">
        <v>70.233498804927379</v>
      </c>
    </row>
    <row r="197" spans="1:28" x14ac:dyDescent="0.3">
      <c r="A197" t="s">
        <v>558</v>
      </c>
      <c r="B197" s="5" t="s">
        <v>559</v>
      </c>
      <c r="C197" t="s">
        <v>417</v>
      </c>
      <c r="D197" s="5" t="s">
        <v>418</v>
      </c>
      <c r="E197">
        <v>41.666666666666671</v>
      </c>
      <c r="F197">
        <v>41.666666666666671</v>
      </c>
      <c r="G197">
        <v>41.666666666666671</v>
      </c>
      <c r="H197">
        <v>41.666666666666671</v>
      </c>
      <c r="I197">
        <v>41.666666666666671</v>
      </c>
      <c r="J197">
        <v>41.666666666666671</v>
      </c>
      <c r="K197">
        <v>43.055555555555557</v>
      </c>
      <c r="L197">
        <v>43.055555555555557</v>
      </c>
      <c r="M197">
        <v>43.055555555555557</v>
      </c>
      <c r="N197">
        <v>44.444444444444443</v>
      </c>
      <c r="O197">
        <v>44.444444444444443</v>
      </c>
      <c r="P197">
        <v>44.444444444444443</v>
      </c>
      <c r="Q197">
        <v>45.833333333333329</v>
      </c>
      <c r="R197">
        <v>45.833333333333329</v>
      </c>
      <c r="S197">
        <v>47.222222222222221</v>
      </c>
      <c r="T197">
        <v>48.611111111111107</v>
      </c>
      <c r="U197">
        <v>48.611111111111107</v>
      </c>
      <c r="V197">
        <v>48.611111111111107</v>
      </c>
      <c r="W197">
        <v>48.611111111111107</v>
      </c>
      <c r="X197">
        <v>48.611111111111107</v>
      </c>
      <c r="Y197">
        <v>48.611111111111107</v>
      </c>
      <c r="Z197">
        <v>48.611111111111107</v>
      </c>
      <c r="AA197">
        <v>48.611111111111107</v>
      </c>
      <c r="AB197">
        <v>48.611111111111107</v>
      </c>
    </row>
    <row r="198" spans="1:28" x14ac:dyDescent="0.3">
      <c r="A198" t="s">
        <v>558</v>
      </c>
      <c r="B198" s="5" t="s">
        <v>559</v>
      </c>
      <c r="C198" t="s">
        <v>419</v>
      </c>
      <c r="D198" s="5" t="s">
        <v>420</v>
      </c>
      <c r="E198">
        <v>13.060428849902534</v>
      </c>
      <c r="F198">
        <v>11.695906432748536</v>
      </c>
      <c r="G198">
        <v>11.695906432748536</v>
      </c>
      <c r="H198">
        <v>11.695906432748536</v>
      </c>
      <c r="I198">
        <v>10.721247563352826</v>
      </c>
      <c r="J198">
        <v>10.526315789473683</v>
      </c>
      <c r="K198">
        <v>10.526315789473683</v>
      </c>
      <c r="L198">
        <v>10.526315789473683</v>
      </c>
      <c r="M198">
        <v>10.526315789473683</v>
      </c>
      <c r="N198">
        <v>10.526315789473683</v>
      </c>
      <c r="O198">
        <v>10.526315789473683</v>
      </c>
      <c r="P198">
        <v>10.526315789473683</v>
      </c>
      <c r="Q198">
        <v>10.526315789473683</v>
      </c>
      <c r="R198">
        <v>10.526315789473683</v>
      </c>
      <c r="S198">
        <v>10.526315789473683</v>
      </c>
      <c r="T198">
        <v>10.526315789473683</v>
      </c>
      <c r="U198">
        <v>10.526315789473683</v>
      </c>
      <c r="V198">
        <v>10.526315789473683</v>
      </c>
      <c r="W198">
        <v>10.526315789473683</v>
      </c>
      <c r="X198">
        <v>10.526315789473683</v>
      </c>
      <c r="Y198">
        <v>10.526315789473683</v>
      </c>
      <c r="Z198">
        <v>10.526315789473683</v>
      </c>
      <c r="AA198">
        <v>10.526315789473683</v>
      </c>
      <c r="AB198">
        <v>10.526315789473683</v>
      </c>
    </row>
    <row r="199" spans="1:28" x14ac:dyDescent="0.3">
      <c r="A199" t="s">
        <v>558</v>
      </c>
      <c r="B199" s="5" t="s">
        <v>559</v>
      </c>
      <c r="C199" t="s">
        <v>421</v>
      </c>
      <c r="D199" s="5" t="s">
        <v>422</v>
      </c>
      <c r="E199">
        <v>61.476570545829048</v>
      </c>
      <c r="F199">
        <v>61.1418640576725</v>
      </c>
      <c r="G199">
        <v>62.84114315139032</v>
      </c>
      <c r="H199">
        <v>62.976313079299693</v>
      </c>
      <c r="I199">
        <v>63.272399588053553</v>
      </c>
      <c r="J199">
        <v>63.233779608650877</v>
      </c>
      <c r="K199">
        <v>63.117919670442845</v>
      </c>
      <c r="L199">
        <v>63.111483007209067</v>
      </c>
      <c r="M199">
        <v>63.600669412976316</v>
      </c>
      <c r="N199">
        <v>63.008496395468597</v>
      </c>
      <c r="O199">
        <v>64.611225540679712</v>
      </c>
      <c r="P199">
        <v>64.830072090628221</v>
      </c>
      <c r="Q199">
        <v>63.864572605561278</v>
      </c>
      <c r="R199">
        <v>63.999742533470652</v>
      </c>
      <c r="S199">
        <v>62.828269824922756</v>
      </c>
      <c r="T199">
        <v>63.298146240988672</v>
      </c>
      <c r="U199">
        <v>62.452368692070024</v>
      </c>
      <c r="V199">
        <v>62.711766220391354</v>
      </c>
      <c r="W199">
        <v>62.438851699279098</v>
      </c>
      <c r="X199">
        <v>62.438851699279098</v>
      </c>
      <c r="Y199">
        <v>62.438851699279098</v>
      </c>
      <c r="Z199">
        <v>62.438851699279098</v>
      </c>
      <c r="AA199">
        <v>62.438851699279098</v>
      </c>
      <c r="AB199">
        <v>62.438851699279098</v>
      </c>
    </row>
    <row r="200" spans="1:28" x14ac:dyDescent="0.3">
      <c r="A200" t="s">
        <v>558</v>
      </c>
      <c r="B200" s="5" t="s">
        <v>559</v>
      </c>
      <c r="C200" t="s">
        <v>423</v>
      </c>
      <c r="D200" s="5" t="s">
        <v>424</v>
      </c>
      <c r="E200">
        <v>52.595402985850349</v>
      </c>
      <c r="F200">
        <v>53.230773228694304</v>
      </c>
      <c r="G200">
        <v>53.527019476891489</v>
      </c>
      <c r="H200">
        <v>52.80979171809831</v>
      </c>
      <c r="I200">
        <v>53.545210035991317</v>
      </c>
      <c r="J200">
        <v>53.562101269441165</v>
      </c>
      <c r="K200">
        <v>52.613593544950163</v>
      </c>
      <c r="L200">
        <v>51.329859802762371</v>
      </c>
      <c r="M200">
        <v>50.832218078817093</v>
      </c>
      <c r="N200">
        <v>50.5580603666697</v>
      </c>
      <c r="O200">
        <v>50.689292257318449</v>
      </c>
      <c r="P200">
        <v>49.695308135077894</v>
      </c>
      <c r="Q200">
        <v>49.903200239075915</v>
      </c>
      <c r="R200">
        <v>49.923989449475719</v>
      </c>
      <c r="S200">
        <v>50.094201109624102</v>
      </c>
      <c r="T200">
        <v>50.090303132674144</v>
      </c>
      <c r="U200">
        <v>49.8005535127269</v>
      </c>
      <c r="V200">
        <v>49.327598976131384</v>
      </c>
      <c r="W200">
        <v>49.117108220833387</v>
      </c>
      <c r="X200">
        <v>49.005366214934448</v>
      </c>
      <c r="Y200">
        <v>49.065135194833879</v>
      </c>
      <c r="Z200">
        <v>49.490014682379844</v>
      </c>
      <c r="AA200">
        <v>50.02533685017476</v>
      </c>
      <c r="AB200">
        <v>50.138378181723688</v>
      </c>
    </row>
    <row r="201" spans="1:28" x14ac:dyDescent="0.3">
      <c r="A201" t="s">
        <v>558</v>
      </c>
      <c r="B201" s="5" t="s">
        <v>559</v>
      </c>
      <c r="C201" t="s">
        <v>425</v>
      </c>
      <c r="D201" s="5" t="s">
        <v>426</v>
      </c>
      <c r="E201">
        <v>75.543166003447325</v>
      </c>
      <c r="F201">
        <v>75.543166003447325</v>
      </c>
      <c r="G201">
        <v>75.223969527376426</v>
      </c>
      <c r="H201">
        <v>74.883493286234113</v>
      </c>
      <c r="I201">
        <v>74.585576575234612</v>
      </c>
      <c r="J201">
        <v>74.223820569020916</v>
      </c>
      <c r="K201">
        <v>73.840784797735836</v>
      </c>
      <c r="L201">
        <v>73.521588321664936</v>
      </c>
      <c r="M201">
        <v>73.09599302023706</v>
      </c>
      <c r="N201">
        <v>72.787436426701845</v>
      </c>
      <c r="O201">
        <v>72.351201242738284</v>
      </c>
      <c r="P201">
        <v>72.006469048581707</v>
      </c>
      <c r="Q201">
        <v>73.576117719660374</v>
      </c>
      <c r="R201">
        <v>75.145766390739041</v>
      </c>
      <c r="S201">
        <v>76.715415061817708</v>
      </c>
      <c r="T201">
        <v>78.28506373289639</v>
      </c>
      <c r="U201">
        <v>79.854712403975057</v>
      </c>
      <c r="V201">
        <v>81.424361075053724</v>
      </c>
      <c r="W201">
        <v>82.994009746132406</v>
      </c>
      <c r="X201">
        <v>84.563658417211073</v>
      </c>
      <c r="Y201">
        <v>84.558764071244653</v>
      </c>
      <c r="Z201">
        <v>84.553656927627515</v>
      </c>
      <c r="AA201">
        <v>84.553656927627515</v>
      </c>
      <c r="AB201">
        <v>84.221563211542147</v>
      </c>
    </row>
    <row r="202" spans="1:28" x14ac:dyDescent="0.3">
      <c r="A202" t="s">
        <v>558</v>
      </c>
      <c r="B202" s="5" t="s">
        <v>559</v>
      </c>
      <c r="C202" t="s">
        <v>427</v>
      </c>
      <c r="D202" s="5" t="s">
        <v>428</v>
      </c>
      <c r="E202">
        <v>1.0526315789473684</v>
      </c>
      <c r="F202">
        <v>1.0526315789473684</v>
      </c>
      <c r="G202">
        <v>1.0526315789473684</v>
      </c>
      <c r="H202">
        <v>1.0526315789473684</v>
      </c>
      <c r="I202">
        <v>1.0526315789473684</v>
      </c>
      <c r="J202">
        <v>1.0526315789473684</v>
      </c>
      <c r="K202">
        <v>1.0526315789473684</v>
      </c>
      <c r="L202">
        <v>1.0526315789473684</v>
      </c>
      <c r="M202">
        <v>1.0526315789473684</v>
      </c>
      <c r="N202">
        <v>1.0526315789473684</v>
      </c>
      <c r="O202">
        <v>1.0526315789473684</v>
      </c>
      <c r="P202">
        <v>1.0526315789473684</v>
      </c>
      <c r="Q202">
        <v>1.0526315789473684</v>
      </c>
      <c r="R202">
        <v>1.0526315789473684</v>
      </c>
      <c r="S202">
        <v>1.0526315789473684</v>
      </c>
      <c r="T202">
        <v>1.0526315789473684</v>
      </c>
      <c r="U202">
        <v>1.0526315789473684</v>
      </c>
      <c r="V202">
        <v>1.0526315789473684</v>
      </c>
      <c r="W202">
        <v>1.0526315789473684</v>
      </c>
      <c r="X202">
        <v>1.0526315789473684</v>
      </c>
      <c r="Y202">
        <v>1.0526315789473684</v>
      </c>
      <c r="Z202">
        <v>1.0526315789473684</v>
      </c>
      <c r="AA202">
        <v>1.0526315789473684</v>
      </c>
      <c r="AB202">
        <v>1.0526315789473684</v>
      </c>
    </row>
    <row r="203" spans="1:28" x14ac:dyDescent="0.3">
      <c r="A203" t="s">
        <v>558</v>
      </c>
      <c r="B203" s="5" t="s">
        <v>559</v>
      </c>
      <c r="C203" t="s">
        <v>429</v>
      </c>
      <c r="D203" s="5" t="s">
        <v>430</v>
      </c>
      <c r="E203">
        <v>66.666666666666657</v>
      </c>
      <c r="F203">
        <v>56.666666666666664</v>
      </c>
      <c r="G203">
        <v>56.666666666666664</v>
      </c>
      <c r="H203">
        <v>56.666666666666664</v>
      </c>
      <c r="I203">
        <v>56.666666666666664</v>
      </c>
      <c r="J203">
        <v>56.666666666666664</v>
      </c>
      <c r="K203">
        <v>56.666666666666664</v>
      </c>
      <c r="L203">
        <v>60</v>
      </c>
      <c r="M203">
        <v>60</v>
      </c>
      <c r="N203">
        <v>60</v>
      </c>
      <c r="O203">
        <v>60</v>
      </c>
      <c r="P203">
        <v>60</v>
      </c>
      <c r="Q203">
        <v>60</v>
      </c>
      <c r="R203">
        <v>60</v>
      </c>
      <c r="S203">
        <v>60</v>
      </c>
      <c r="T203">
        <v>60</v>
      </c>
      <c r="U203">
        <v>60</v>
      </c>
      <c r="V203">
        <v>60</v>
      </c>
      <c r="W203">
        <v>60</v>
      </c>
      <c r="X203">
        <v>60</v>
      </c>
      <c r="Y203">
        <v>60</v>
      </c>
      <c r="Z203">
        <v>60</v>
      </c>
      <c r="AA203">
        <v>60</v>
      </c>
      <c r="AB203">
        <v>60</v>
      </c>
    </row>
    <row r="204" spans="1:28" x14ac:dyDescent="0.3">
      <c r="A204" t="s">
        <v>558</v>
      </c>
      <c r="B204" s="5" t="s">
        <v>559</v>
      </c>
      <c r="C204" t="s">
        <v>431</v>
      </c>
      <c r="D204" s="5" t="s">
        <v>432</v>
      </c>
      <c r="E204">
        <v>62.619488514088381</v>
      </c>
      <c r="F204">
        <v>63.119963965767475</v>
      </c>
      <c r="G204">
        <v>64.12091486912567</v>
      </c>
      <c r="H204">
        <v>65.622341224162952</v>
      </c>
      <c r="I204">
        <v>66.3730544016816</v>
      </c>
      <c r="J204">
        <v>66.3730544016816</v>
      </c>
      <c r="K204">
        <v>67.37775887092738</v>
      </c>
      <c r="L204">
        <v>68.38246334017316</v>
      </c>
      <c r="M204">
        <v>69.637405535258495</v>
      </c>
      <c r="N204">
        <v>70.642110004504275</v>
      </c>
      <c r="O204">
        <v>71.140035906642723</v>
      </c>
      <c r="P204">
        <v>71.638739277877519</v>
      </c>
      <c r="Q204">
        <v>71.888090963494903</v>
      </c>
      <c r="R204">
        <v>71.888090963494903</v>
      </c>
      <c r="S204">
        <v>71.888090963494903</v>
      </c>
      <c r="T204">
        <v>71.888090963494903</v>
      </c>
      <c r="U204">
        <v>71.888090963494903</v>
      </c>
      <c r="V204">
        <v>71.888090963494903</v>
      </c>
      <c r="W204">
        <v>71.888090963494903</v>
      </c>
      <c r="X204">
        <v>71.888090963494903</v>
      </c>
      <c r="Y204">
        <v>71.888090963494903</v>
      </c>
      <c r="Z204">
        <v>71.888090963494903</v>
      </c>
      <c r="AA204">
        <v>71.888090963494903</v>
      </c>
      <c r="AB204">
        <v>71.888090963494903</v>
      </c>
    </row>
    <row r="205" spans="1:28" x14ac:dyDescent="0.3">
      <c r="A205" t="s">
        <v>558</v>
      </c>
      <c r="B205" s="5" t="s">
        <v>559</v>
      </c>
      <c r="C205" t="s">
        <v>433</v>
      </c>
      <c r="D205" s="5" t="s">
        <v>434</v>
      </c>
      <c r="E205">
        <v>71.469750582549409</v>
      </c>
      <c r="F205">
        <v>71.433503063778375</v>
      </c>
      <c r="G205">
        <v>71.453723202264641</v>
      </c>
      <c r="H205">
        <v>71.382953015500391</v>
      </c>
      <c r="I205">
        <v>71.381226913384197</v>
      </c>
      <c r="J205">
        <v>71.28999965480341</v>
      </c>
      <c r="K205">
        <v>71.25793979563656</v>
      </c>
      <c r="L205">
        <v>71.230559439352362</v>
      </c>
      <c r="M205">
        <v>71.276669198370499</v>
      </c>
      <c r="N205">
        <v>71.24905061106125</v>
      </c>
      <c r="O205">
        <v>71.233515155699791</v>
      </c>
      <c r="P205">
        <v>71.257681419595386</v>
      </c>
      <c r="Q205">
        <v>71.285300006904649</v>
      </c>
      <c r="R205">
        <v>71.680591037768409</v>
      </c>
      <c r="S205">
        <v>71.658409432236013</v>
      </c>
      <c r="T205">
        <v>71.653230678934548</v>
      </c>
      <c r="U205">
        <v>71.665314436637956</v>
      </c>
      <c r="V205">
        <v>71.619195580873466</v>
      </c>
      <c r="W205">
        <v>71.330686917500856</v>
      </c>
      <c r="X205">
        <v>71.299620296858819</v>
      </c>
      <c r="Y205">
        <v>71.299620296858819</v>
      </c>
      <c r="Z205">
        <v>71.299620296858819</v>
      </c>
      <c r="AA205">
        <v>71.299620296858819</v>
      </c>
      <c r="AB205">
        <v>71.299620296858819</v>
      </c>
    </row>
    <row r="206" spans="1:28" x14ac:dyDescent="0.3">
      <c r="A206" t="s">
        <v>558</v>
      </c>
      <c r="B206" s="5" t="s">
        <v>559</v>
      </c>
      <c r="C206" t="s">
        <v>43</v>
      </c>
      <c r="D206" s="5" t="s">
        <v>435</v>
      </c>
      <c r="E206">
        <v>7.7020557589411442</v>
      </c>
      <c r="F206">
        <v>7.9132638693325816</v>
      </c>
      <c r="G206">
        <v>7.9695860321036331</v>
      </c>
      <c r="H206">
        <v>7.8006195437904813</v>
      </c>
      <c r="I206">
        <v>7.8006195437904813</v>
      </c>
      <c r="J206">
        <v>7.8428611658687695</v>
      </c>
      <c r="K206">
        <v>7.5837792171219371</v>
      </c>
      <c r="L206">
        <v>7.4992959729653617</v>
      </c>
      <c r="M206">
        <v>7.5978597578146996</v>
      </c>
      <c r="N206">
        <v>5.4618417347226131</v>
      </c>
      <c r="O206">
        <v>5.5237961137707687</v>
      </c>
      <c r="P206">
        <v>5.4702900591382715</v>
      </c>
      <c r="Q206">
        <v>5.3041396789636721</v>
      </c>
      <c r="R206">
        <v>5.3421571388341311</v>
      </c>
      <c r="S206">
        <v>5.3858068149816951</v>
      </c>
      <c r="T206">
        <v>5.3900309771895243</v>
      </c>
      <c r="U206">
        <v>5.4041115178822867</v>
      </c>
      <c r="V206">
        <v>5.4041115178822867</v>
      </c>
      <c r="W206">
        <v>5.3752464094621235</v>
      </c>
      <c r="X206">
        <v>5.4970430864545197</v>
      </c>
      <c r="Y206">
        <v>5.4885947620388622</v>
      </c>
      <c r="Z206">
        <v>5.5133976344691638</v>
      </c>
      <c r="AA206">
        <v>5.5133976344691638</v>
      </c>
      <c r="AB206">
        <v>5.5153998873556747</v>
      </c>
    </row>
    <row r="207" spans="1:28" x14ac:dyDescent="0.3">
      <c r="A207" t="s">
        <v>558</v>
      </c>
      <c r="B207" s="5" t="s">
        <v>559</v>
      </c>
      <c r="C207" t="s">
        <v>436</v>
      </c>
      <c r="D207" s="5" t="s">
        <v>437</v>
      </c>
      <c r="E207">
        <v>70.119456041003588</v>
      </c>
      <c r="F207">
        <v>70.073988343735792</v>
      </c>
      <c r="G207">
        <v>70.16905716529574</v>
      </c>
      <c r="H207">
        <v>70.086388624808819</v>
      </c>
      <c r="I207">
        <v>70.479064192121683</v>
      </c>
      <c r="J207">
        <v>70.086388624808819</v>
      </c>
      <c r="K207">
        <v>73.732071260281899</v>
      </c>
      <c r="L207">
        <v>72.942586698631843</v>
      </c>
      <c r="M207">
        <v>73.095523498532629</v>
      </c>
      <c r="N207">
        <v>71.611623196792465</v>
      </c>
      <c r="O207">
        <v>71.194147067333517</v>
      </c>
      <c r="P207">
        <v>70.946141445872769</v>
      </c>
      <c r="Q207">
        <v>71.020543132311005</v>
      </c>
      <c r="R207">
        <v>71.302442855371382</v>
      </c>
      <c r="S207">
        <v>71.227214483528286</v>
      </c>
      <c r="T207">
        <v>70.838672343239779</v>
      </c>
      <c r="U207">
        <v>71.714883644029271</v>
      </c>
      <c r="V207">
        <v>72.195066754846451</v>
      </c>
      <c r="W207">
        <v>71.71852023312529</v>
      </c>
      <c r="X207">
        <v>72.422998801306164</v>
      </c>
      <c r="Y207">
        <v>71.340049187781602</v>
      </c>
      <c r="Z207">
        <v>71.157529037324849</v>
      </c>
      <c r="AA207">
        <v>71.981641797214081</v>
      </c>
      <c r="AB207">
        <v>70.307322779316337</v>
      </c>
    </row>
    <row r="208" spans="1:28" x14ac:dyDescent="0.3">
      <c r="A208" t="s">
        <v>558</v>
      </c>
      <c r="B208" s="5" t="s">
        <v>559</v>
      </c>
      <c r="C208" t="s">
        <v>45</v>
      </c>
      <c r="D208" s="5" t="s">
        <v>438</v>
      </c>
      <c r="E208">
        <v>45.230584855576126</v>
      </c>
      <c r="F208">
        <v>45.29007020362544</v>
      </c>
      <c r="G208">
        <v>45.0848730397122</v>
      </c>
      <c r="H208">
        <v>45.080367433900321</v>
      </c>
      <c r="I208">
        <v>45.075861828088435</v>
      </c>
      <c r="J208">
        <v>45.071356222276556</v>
      </c>
      <c r="K208">
        <v>45.06685061646467</v>
      </c>
      <c r="L208">
        <v>45.062345010652791</v>
      </c>
      <c r="M208">
        <v>45.354955123958455</v>
      </c>
      <c r="N208">
        <v>45.576134822715034</v>
      </c>
      <c r="O208">
        <v>45.797314510539586</v>
      </c>
      <c r="P208">
        <v>46.018494209296172</v>
      </c>
      <c r="Q208">
        <v>46.239673908052758</v>
      </c>
      <c r="R208">
        <v>46.333018796556843</v>
      </c>
      <c r="S208">
        <v>46.42636368506092</v>
      </c>
      <c r="T208">
        <v>46.519708562632964</v>
      </c>
      <c r="U208">
        <v>46.613053451137034</v>
      </c>
      <c r="V208">
        <v>46.706398339641126</v>
      </c>
      <c r="W208">
        <v>46.581714549020383</v>
      </c>
      <c r="X208">
        <v>46.45703075839964</v>
      </c>
      <c r="Y208">
        <v>46.332346967778889</v>
      </c>
      <c r="Z208">
        <v>46.207663188090194</v>
      </c>
      <c r="AA208">
        <v>46.082979397469451</v>
      </c>
      <c r="AB208">
        <v>46.082979397469451</v>
      </c>
    </row>
    <row r="209" spans="1:28" x14ac:dyDescent="0.3">
      <c r="A209" t="s">
        <v>558</v>
      </c>
      <c r="B209" s="5" t="s">
        <v>559</v>
      </c>
      <c r="C209" t="s">
        <v>439</v>
      </c>
      <c r="D209" s="5" t="s">
        <v>440</v>
      </c>
      <c r="E209">
        <v>85.46451834076106</v>
      </c>
      <c r="F209">
        <v>85.487372871671809</v>
      </c>
      <c r="G209">
        <v>85.264541195291969</v>
      </c>
      <c r="H209">
        <v>85.287395726202718</v>
      </c>
      <c r="I209">
        <v>84.727459718889278</v>
      </c>
      <c r="J209">
        <v>84.744600617072336</v>
      </c>
      <c r="K209">
        <v>83.961832933379043</v>
      </c>
      <c r="L209">
        <v>83.133356187864251</v>
      </c>
      <c r="M209">
        <v>83.841846646097579</v>
      </c>
      <c r="N209">
        <v>84.641755227973945</v>
      </c>
      <c r="O209">
        <v>82.464861158724716</v>
      </c>
      <c r="P209">
        <v>82.99622900239973</v>
      </c>
      <c r="Q209">
        <v>81.344989144097809</v>
      </c>
      <c r="R209">
        <v>81.97177465432523</v>
      </c>
      <c r="S209">
        <v>82.705405096560398</v>
      </c>
      <c r="T209">
        <v>82.662552851102731</v>
      </c>
      <c r="U209">
        <v>81.506684950291401</v>
      </c>
      <c r="V209">
        <v>81.264426922637412</v>
      </c>
      <c r="W209">
        <v>81.081019312078624</v>
      </c>
      <c r="X209">
        <v>80.718203633870417</v>
      </c>
      <c r="Y209">
        <v>80.353102502571133</v>
      </c>
      <c r="Z209">
        <v>80.390812478573878</v>
      </c>
      <c r="AA209">
        <v>80.87352873957262</v>
      </c>
      <c r="AB209">
        <v>81.354130956462129</v>
      </c>
    </row>
    <row r="210" spans="1:28" x14ac:dyDescent="0.3">
      <c r="A210" t="s">
        <v>558</v>
      </c>
      <c r="B210" s="5" t="s">
        <v>559</v>
      </c>
      <c r="C210" t="s">
        <v>441</v>
      </c>
      <c r="D210" s="5" t="s">
        <v>442</v>
      </c>
      <c r="E210">
        <v>62.683931049510853</v>
      </c>
      <c r="F210">
        <v>62.68481410196118</v>
      </c>
      <c r="G210">
        <v>62.044775194936584</v>
      </c>
      <c r="H210">
        <v>61.634360152061248</v>
      </c>
      <c r="I210">
        <v>61.222476385386813</v>
      </c>
      <c r="J210">
        <v>60.807756814860191</v>
      </c>
      <c r="K210">
        <v>60.392336813123784</v>
      </c>
      <c r="L210">
        <v>59.958622334764577</v>
      </c>
      <c r="M210">
        <v>59.545791309892728</v>
      </c>
      <c r="N210">
        <v>59.133606303547467</v>
      </c>
      <c r="O210">
        <v>58.725555871637923</v>
      </c>
      <c r="P210">
        <v>58.321420622336852</v>
      </c>
      <c r="Q210">
        <v>57.907296925195041</v>
      </c>
      <c r="R210">
        <v>57.504893423193337</v>
      </c>
      <c r="S210">
        <v>58.610933272753563</v>
      </c>
      <c r="T210">
        <v>57.984566500226961</v>
      </c>
      <c r="U210">
        <v>57.980530696269327</v>
      </c>
      <c r="V210">
        <v>57.952554313780681</v>
      </c>
      <c r="W210">
        <v>57.923406727842632</v>
      </c>
      <c r="X210">
        <v>58.007059277502236</v>
      </c>
      <c r="Y210">
        <v>58.283217973448323</v>
      </c>
      <c r="Z210">
        <v>58.301202987384627</v>
      </c>
      <c r="AA210">
        <v>58.479253469858307</v>
      </c>
      <c r="AB210">
        <v>58.055145807330078</v>
      </c>
    </row>
    <row r="211" spans="1:28" x14ac:dyDescent="0.3">
      <c r="A211" t="s">
        <v>558</v>
      </c>
      <c r="B211" s="5" t="s">
        <v>559</v>
      </c>
      <c r="C211" t="s">
        <v>443</v>
      </c>
      <c r="D211" s="5" t="s">
        <v>444</v>
      </c>
      <c r="E211">
        <v>14.35602953240361</v>
      </c>
      <c r="F211">
        <v>14.520098441345365</v>
      </c>
      <c r="G211">
        <v>14.602132895816242</v>
      </c>
      <c r="H211">
        <v>14.766201804757998</v>
      </c>
      <c r="I211">
        <v>14.848236259228875</v>
      </c>
      <c r="J211">
        <v>15.012305168170631</v>
      </c>
      <c r="K211">
        <v>15.176374077112387</v>
      </c>
      <c r="L211">
        <v>15.340442986054143</v>
      </c>
      <c r="M211">
        <v>15.340442986054143</v>
      </c>
      <c r="N211">
        <v>15.340442986054143</v>
      </c>
      <c r="O211">
        <v>15.340442986054143</v>
      </c>
      <c r="P211">
        <v>15.340442986054143</v>
      </c>
      <c r="Q211">
        <v>15.340442986054143</v>
      </c>
      <c r="R211">
        <v>15.340442986054143</v>
      </c>
      <c r="S211">
        <v>15.340442986054143</v>
      </c>
      <c r="T211">
        <v>15.340442986054143</v>
      </c>
      <c r="U211">
        <v>15.340442986054143</v>
      </c>
      <c r="V211">
        <v>15.340442986054143</v>
      </c>
      <c r="W211">
        <v>15.340442986054143</v>
      </c>
      <c r="X211">
        <v>15.340442986054143</v>
      </c>
      <c r="Y211">
        <v>15.340442986054143</v>
      </c>
      <c r="Z211">
        <v>15.340442986054143</v>
      </c>
      <c r="AA211">
        <v>15.340442986054143</v>
      </c>
      <c r="AB211">
        <v>15.340442986054143</v>
      </c>
    </row>
    <row r="212" spans="1:28" x14ac:dyDescent="0.3">
      <c r="A212" t="s">
        <v>558</v>
      </c>
      <c r="B212" s="5" t="s">
        <v>559</v>
      </c>
      <c r="C212" t="s">
        <v>445</v>
      </c>
      <c r="D212" s="5" t="s">
        <v>446</v>
      </c>
      <c r="E212">
        <v>24.528087976872058</v>
      </c>
      <c r="F212">
        <v>24.531489144606315</v>
      </c>
      <c r="G212">
        <v>24.531489144606315</v>
      </c>
      <c r="H212">
        <v>24.420384331953969</v>
      </c>
      <c r="I212">
        <v>24.477070460858226</v>
      </c>
      <c r="J212">
        <v>24.482739073748654</v>
      </c>
      <c r="K212">
        <v>24.437390170625246</v>
      </c>
      <c r="L212">
        <v>24.441925060937589</v>
      </c>
      <c r="M212">
        <v>24.488407686639079</v>
      </c>
      <c r="N212">
        <v>24.375035428830564</v>
      </c>
      <c r="O212">
        <v>24.375035428830564</v>
      </c>
      <c r="P212">
        <v>24.375035428830564</v>
      </c>
      <c r="Q212">
        <v>24.375035428830564</v>
      </c>
      <c r="R212">
        <v>24.375035428830564</v>
      </c>
      <c r="S212">
        <v>24.375035428830564</v>
      </c>
      <c r="T212">
        <v>24.375035428830564</v>
      </c>
      <c r="U212">
        <v>24.375035428830564</v>
      </c>
      <c r="V212">
        <v>24.375035428830564</v>
      </c>
      <c r="W212">
        <v>24.375035428830564</v>
      </c>
      <c r="X212">
        <v>24.375035428830564</v>
      </c>
      <c r="Y212">
        <v>24.375035428830564</v>
      </c>
      <c r="Z212">
        <v>24.375035428830564</v>
      </c>
      <c r="AA212">
        <v>24.375035428830564</v>
      </c>
      <c r="AB212">
        <v>24.375035428830564</v>
      </c>
    </row>
    <row r="213" spans="1:28" x14ac:dyDescent="0.3">
      <c r="A213" t="s">
        <v>558</v>
      </c>
      <c r="B213" s="5" t="s">
        <v>559</v>
      </c>
      <c r="C213" t="s">
        <v>447</v>
      </c>
      <c r="D213" s="5" t="s">
        <v>448</v>
      </c>
      <c r="E213">
        <v>28.226065710795346</v>
      </c>
      <c r="F213">
        <v>30.483139927352216</v>
      </c>
      <c r="G213">
        <v>30.445982933505071</v>
      </c>
      <c r="H213">
        <v>30.757570871093627</v>
      </c>
      <c r="I213">
        <v>31.59157609572032</v>
      </c>
      <c r="J213">
        <v>32.138461882705691</v>
      </c>
      <c r="K213">
        <v>32.219185089275726</v>
      </c>
      <c r="L213">
        <v>32.194344729618187</v>
      </c>
      <c r="M213">
        <v>32.739967774111875</v>
      </c>
      <c r="N213">
        <v>32.906810929716521</v>
      </c>
      <c r="O213">
        <v>34.345056081508105</v>
      </c>
      <c r="P213">
        <v>34.373284304337275</v>
      </c>
      <c r="Q213">
        <v>34.433112037695764</v>
      </c>
      <c r="R213">
        <v>34.672670445129832</v>
      </c>
      <c r="S213">
        <v>34.699126594356208</v>
      </c>
      <c r="T213">
        <v>38.763430052044939</v>
      </c>
      <c r="U213">
        <v>38.84079428948872</v>
      </c>
      <c r="V213">
        <v>38.827962718927388</v>
      </c>
      <c r="W213">
        <v>38.734450226367059</v>
      </c>
      <c r="X213">
        <v>39.524102747352671</v>
      </c>
      <c r="Y213">
        <v>39.434768320736111</v>
      </c>
      <c r="Z213">
        <v>39.434768320736111</v>
      </c>
      <c r="AA213">
        <v>39.29119513510237</v>
      </c>
      <c r="AB213">
        <v>39.214737627979538</v>
      </c>
    </row>
    <row r="214" spans="1:28" x14ac:dyDescent="0.3">
      <c r="A214" t="s">
        <v>558</v>
      </c>
      <c r="B214" s="5" t="s">
        <v>559</v>
      </c>
      <c r="C214" t="s">
        <v>449</v>
      </c>
      <c r="D214" s="5" t="s">
        <v>450</v>
      </c>
      <c r="E214">
        <v>20</v>
      </c>
      <c r="F214">
        <v>20</v>
      </c>
      <c r="G214">
        <v>17.142857142857142</v>
      </c>
      <c r="H214">
        <v>17.142857142857142</v>
      </c>
      <c r="I214">
        <v>17.142857142857142</v>
      </c>
      <c r="J214">
        <v>17.142857142857142</v>
      </c>
      <c r="K214">
        <v>11.428571428571429</v>
      </c>
      <c r="L214">
        <v>11.428571428571429</v>
      </c>
      <c r="M214">
        <v>11.428571428571429</v>
      </c>
      <c r="N214">
        <v>11.428571428571429</v>
      </c>
      <c r="O214">
        <v>11.428571428571429</v>
      </c>
      <c r="P214">
        <v>11.428571428571429</v>
      </c>
      <c r="Q214">
        <v>11.428571428571429</v>
      </c>
      <c r="R214">
        <v>11.428571428571429</v>
      </c>
      <c r="S214">
        <v>11.428571428571429</v>
      </c>
      <c r="T214">
        <v>11.428571428571429</v>
      </c>
      <c r="U214">
        <v>11.428571428571429</v>
      </c>
      <c r="V214">
        <v>11.428571428571429</v>
      </c>
      <c r="W214">
        <v>9.4285714285714288</v>
      </c>
      <c r="X214">
        <v>9.4285714285714288</v>
      </c>
      <c r="Y214">
        <v>9.4285714285714288</v>
      </c>
      <c r="Z214">
        <v>9.4285714285714288</v>
      </c>
      <c r="AA214">
        <v>9.4285714285714288</v>
      </c>
      <c r="AB214">
        <v>9.4285714285714288</v>
      </c>
    </row>
    <row r="215" spans="1:28" x14ac:dyDescent="0.3">
      <c r="A215" t="s">
        <v>558</v>
      </c>
      <c r="B215" s="5" t="s">
        <v>559</v>
      </c>
      <c r="C215" t="s">
        <v>451</v>
      </c>
      <c r="D215" s="5" t="s">
        <v>452</v>
      </c>
      <c r="E215">
        <v>77.776262458471763</v>
      </c>
      <c r="F215">
        <v>77.227392026578073</v>
      </c>
      <c r="G215">
        <v>77.870946843853815</v>
      </c>
      <c r="H215">
        <v>77.325066445182728</v>
      </c>
      <c r="I215">
        <v>77.391661129568107</v>
      </c>
      <c r="J215">
        <v>77.6106146179402</v>
      </c>
      <c r="K215">
        <v>77.481777408637882</v>
      </c>
      <c r="L215">
        <v>77.629385382059795</v>
      </c>
      <c r="M215">
        <v>77.932956810631239</v>
      </c>
      <c r="N215">
        <v>71.387043189368768</v>
      </c>
      <c r="O215">
        <v>62.275747508305642</v>
      </c>
      <c r="P215">
        <v>64.324983388704325</v>
      </c>
      <c r="Q215">
        <v>66.55194352159468</v>
      </c>
      <c r="R215">
        <v>68.842043189368766</v>
      </c>
      <c r="S215">
        <v>69.843106312292363</v>
      </c>
      <c r="T215">
        <v>71.495315614617937</v>
      </c>
      <c r="U215">
        <v>72.162491694352155</v>
      </c>
      <c r="V215">
        <v>71.387790697674419</v>
      </c>
      <c r="W215">
        <v>71.227724252491697</v>
      </c>
      <c r="X215">
        <v>70.652375415282393</v>
      </c>
      <c r="Y215">
        <v>67.751428571428562</v>
      </c>
      <c r="Z215">
        <v>64.929460580912874</v>
      </c>
      <c r="AA215">
        <v>64.929460580912874</v>
      </c>
      <c r="AB215">
        <v>64.929460580912874</v>
      </c>
    </row>
    <row r="216" spans="1:28" x14ac:dyDescent="0.3">
      <c r="A216" t="s">
        <v>558</v>
      </c>
      <c r="B216" s="5" t="s">
        <v>559</v>
      </c>
      <c r="C216" t="s">
        <v>453</v>
      </c>
      <c r="D216" s="5" t="s">
        <v>454</v>
      </c>
      <c r="E216">
        <v>44.830198685531371</v>
      </c>
      <c r="F216">
        <v>44.690039206773115</v>
      </c>
      <c r="G216">
        <v>44.805576074398168</v>
      </c>
      <c r="H216">
        <v>44.50063450574843</v>
      </c>
      <c r="I216">
        <v>44.618065420383736</v>
      </c>
      <c r="J216">
        <v>44.553667822035344</v>
      </c>
      <c r="K216">
        <v>44.750648711101007</v>
      </c>
      <c r="L216">
        <v>44.750648711101007</v>
      </c>
      <c r="M216">
        <v>44.542303539973858</v>
      </c>
      <c r="N216">
        <v>44.419190484307819</v>
      </c>
      <c r="O216">
        <v>44.659734454609165</v>
      </c>
      <c r="P216">
        <v>44.419190484307819</v>
      </c>
      <c r="Q216">
        <v>44.511998787809915</v>
      </c>
      <c r="R216">
        <v>44.508210693789415</v>
      </c>
      <c r="S216">
        <v>44.418432865503718</v>
      </c>
      <c r="T216">
        <v>44.382445972309029</v>
      </c>
      <c r="U216">
        <v>44.293804572229483</v>
      </c>
      <c r="V216">
        <v>44.419190484307819</v>
      </c>
      <c r="W216">
        <v>44.419190484307819</v>
      </c>
      <c r="X216">
        <v>44.419190484307819</v>
      </c>
      <c r="Y216">
        <v>44.419190484307819</v>
      </c>
      <c r="Z216">
        <v>44.419190484307819</v>
      </c>
      <c r="AA216">
        <v>44.419190484307819</v>
      </c>
      <c r="AB216">
        <v>44.419190484307819</v>
      </c>
    </row>
    <row r="217" spans="1:28" x14ac:dyDescent="0.3">
      <c r="A217" t="s">
        <v>558</v>
      </c>
      <c r="B217" s="5" t="s">
        <v>559</v>
      </c>
      <c r="C217" t="s">
        <v>455</v>
      </c>
      <c r="D217" s="5" t="s">
        <v>456</v>
      </c>
      <c r="E217">
        <v>30.301725877399484</v>
      </c>
      <c r="F217">
        <v>30.34073635642126</v>
      </c>
      <c r="G217">
        <v>30.422792881260175</v>
      </c>
      <c r="H217">
        <v>30.816933238273315</v>
      </c>
      <c r="I217">
        <v>30.800790971091889</v>
      </c>
      <c r="J217">
        <v>30.61919046530085</v>
      </c>
      <c r="K217">
        <v>31.003914499791495</v>
      </c>
      <c r="L217">
        <v>30.917822408157225</v>
      </c>
      <c r="M217">
        <v>31.056376868131132</v>
      </c>
      <c r="N217">
        <v>31.727626145092081</v>
      </c>
      <c r="O217">
        <v>31.525847805324258</v>
      </c>
      <c r="P217">
        <v>31.794885591681354</v>
      </c>
      <c r="Q217">
        <v>32.063923378038446</v>
      </c>
      <c r="R217">
        <v>31.930749673791688</v>
      </c>
      <c r="S217">
        <v>31.932094862723471</v>
      </c>
      <c r="T217">
        <v>31.933440051655253</v>
      </c>
      <c r="U217">
        <v>31.933440051655253</v>
      </c>
      <c r="V217">
        <v>32.067958944833805</v>
      </c>
      <c r="W217">
        <v>32.067958944833805</v>
      </c>
      <c r="X217">
        <v>32.067958944833805</v>
      </c>
      <c r="Y217">
        <v>32.067958944833805</v>
      </c>
      <c r="Z217">
        <v>32.067958944833805</v>
      </c>
      <c r="AA217">
        <v>32.067958944833805</v>
      </c>
      <c r="AB217">
        <v>32.067958944833805</v>
      </c>
    </row>
    <row r="218" spans="1:28" x14ac:dyDescent="0.3">
      <c r="A218" t="s">
        <v>558</v>
      </c>
      <c r="B218" s="5" t="s">
        <v>559</v>
      </c>
      <c r="C218" t="s">
        <v>457</v>
      </c>
      <c r="D218" s="5" t="s">
        <v>458</v>
      </c>
      <c r="E218">
        <v>39.078088147860932</v>
      </c>
      <c r="F218">
        <v>39.281676618844514</v>
      </c>
      <c r="G218">
        <v>39.878808065141527</v>
      </c>
      <c r="H218">
        <v>40.351344707250867</v>
      </c>
      <c r="I218">
        <v>41.249623885226832</v>
      </c>
      <c r="J218">
        <v>41.503208995734781</v>
      </c>
      <c r="K218">
        <v>42.009862220498903</v>
      </c>
      <c r="L218">
        <v>41.744124079100423</v>
      </c>
      <c r="M218">
        <v>42.366322088664852</v>
      </c>
      <c r="N218">
        <v>41.9757303864547</v>
      </c>
      <c r="O218">
        <v>41.713353754685279</v>
      </c>
      <c r="P218">
        <v>42.231384257464136</v>
      </c>
      <c r="Q218">
        <v>41.851291715135062</v>
      </c>
      <c r="R218">
        <v>41.844252811167117</v>
      </c>
      <c r="S218">
        <v>41.838765412950757</v>
      </c>
      <c r="T218">
        <v>41.8325022618586</v>
      </c>
      <c r="U218">
        <v>41.827532118392142</v>
      </c>
      <c r="V218">
        <v>41.821786222049887</v>
      </c>
      <c r="W218">
        <v>41.816816078583429</v>
      </c>
      <c r="X218">
        <v>41.819602946878639</v>
      </c>
      <c r="Y218">
        <v>41.816959803541423</v>
      </c>
      <c r="Z218">
        <v>41.809145405195814</v>
      </c>
      <c r="AA218">
        <v>41.797710740597132</v>
      </c>
      <c r="AB218">
        <v>41.79170634612899</v>
      </c>
    </row>
    <row r="219" spans="1:28" x14ac:dyDescent="0.3">
      <c r="A219" t="s">
        <v>558</v>
      </c>
      <c r="B219" s="5" t="s">
        <v>559</v>
      </c>
      <c r="C219" t="s">
        <v>459</v>
      </c>
      <c r="D219" s="5" t="s">
        <v>460</v>
      </c>
      <c r="E219">
        <v>42.329755926127852</v>
      </c>
      <c r="F219">
        <v>42.391185976659962</v>
      </c>
      <c r="G219">
        <v>42.454933090273215</v>
      </c>
      <c r="H219">
        <v>42.647065571376459</v>
      </c>
      <c r="I219">
        <v>42.322602605079197</v>
      </c>
      <c r="J219">
        <v>42.419528001177184</v>
      </c>
      <c r="K219">
        <v>42.550242442937218</v>
      </c>
      <c r="L219">
        <v>42.704418063001434</v>
      </c>
      <c r="M219">
        <v>42.820184489406515</v>
      </c>
      <c r="N219">
        <v>43.085733762569426</v>
      </c>
      <c r="O219">
        <v>43.302092582411134</v>
      </c>
      <c r="P219">
        <v>43.562526357227966</v>
      </c>
      <c r="Q219">
        <v>45.778704267174156</v>
      </c>
      <c r="R219">
        <v>45.881052780918608</v>
      </c>
      <c r="S219">
        <v>45.978044469002093</v>
      </c>
      <c r="T219">
        <v>46.050617910114063</v>
      </c>
      <c r="U219">
        <v>46.161669441718566</v>
      </c>
      <c r="V219">
        <v>46.246059439260172</v>
      </c>
      <c r="W219">
        <v>46.369558172823446</v>
      </c>
      <c r="X219">
        <v>46.419178950687872</v>
      </c>
      <c r="Y219">
        <v>46.456975549582559</v>
      </c>
      <c r="Z219">
        <v>46.510566224191322</v>
      </c>
      <c r="AA219">
        <v>46.541210005602046</v>
      </c>
      <c r="AB219" t="s">
        <v>73</v>
      </c>
    </row>
    <row r="220" spans="1:28" x14ac:dyDescent="0.3">
      <c r="A220" t="s">
        <v>558</v>
      </c>
      <c r="B220" s="5" t="s">
        <v>559</v>
      </c>
      <c r="C220" t="s">
        <v>461</v>
      </c>
      <c r="D220" s="5" t="s">
        <v>462</v>
      </c>
      <c r="E220">
        <v>37.05242493184668</v>
      </c>
      <c r="F220">
        <v>37.235005726427133</v>
      </c>
      <c r="G220">
        <v>37.379199593622666</v>
      </c>
      <c r="H220">
        <v>37.574218873330985</v>
      </c>
      <c r="I220">
        <v>37.539125647539514</v>
      </c>
      <c r="J220">
        <v>38.245523492722576</v>
      </c>
      <c r="K220">
        <v>38.273750865044256</v>
      </c>
      <c r="L220">
        <v>38.493010320834685</v>
      </c>
      <c r="M220">
        <v>38.644717127765652</v>
      </c>
      <c r="N220">
        <v>38.802928592116992</v>
      </c>
      <c r="O220">
        <v>39.009539276878286</v>
      </c>
      <c r="P220">
        <v>39.135763361479057</v>
      </c>
      <c r="Q220">
        <v>39.449088680025376</v>
      </c>
      <c r="R220">
        <v>39.745853160258157</v>
      </c>
      <c r="S220">
        <v>39.920743816453637</v>
      </c>
      <c r="T220">
        <v>40.212423594206363</v>
      </c>
      <c r="U220">
        <v>40.300092838870718</v>
      </c>
      <c r="V220">
        <v>40.475866835143016</v>
      </c>
      <c r="W220">
        <v>40.804326658397621</v>
      </c>
      <c r="X220">
        <v>40.948869742806949</v>
      </c>
      <c r="Y220">
        <v>41.120325555480626</v>
      </c>
      <c r="Z220">
        <v>41.373999391760108</v>
      </c>
      <c r="AA220">
        <v>41.432820014386834</v>
      </c>
      <c r="AB220" t="s">
        <v>73</v>
      </c>
    </row>
    <row r="221" spans="1:28" x14ac:dyDescent="0.3">
      <c r="A221" t="s">
        <v>558</v>
      </c>
      <c r="B221" s="5" t="s">
        <v>559</v>
      </c>
      <c r="C221" t="s">
        <v>463</v>
      </c>
      <c r="D221" s="5" t="s">
        <v>464</v>
      </c>
      <c r="E221">
        <v>36.33395741560782</v>
      </c>
      <c r="F221">
        <v>36.313948766184396</v>
      </c>
      <c r="G221">
        <v>36.355485445996678</v>
      </c>
      <c r="H221">
        <v>36.412516320285143</v>
      </c>
      <c r="I221">
        <v>36.483718471192567</v>
      </c>
      <c r="J221">
        <v>36.487870729367778</v>
      </c>
      <c r="K221">
        <v>36.503735303811354</v>
      </c>
      <c r="L221">
        <v>36.516735083283265</v>
      </c>
      <c r="M221">
        <v>36.444620737367913</v>
      </c>
      <c r="N221">
        <v>36.41796386859199</v>
      </c>
      <c r="O221">
        <v>36.466549139072164</v>
      </c>
      <c r="P221">
        <v>36.487118524382289</v>
      </c>
      <c r="Q221">
        <v>39.818855101634391</v>
      </c>
      <c r="R221">
        <v>39.870569748544327</v>
      </c>
      <c r="S221">
        <v>39.837999621389073</v>
      </c>
      <c r="T221">
        <v>39.870863411001451</v>
      </c>
      <c r="U221">
        <v>39.936385897088577</v>
      </c>
      <c r="V221">
        <v>39.98521537678247</v>
      </c>
      <c r="W221">
        <v>39.970860288989876</v>
      </c>
      <c r="X221">
        <v>39.907787134641126</v>
      </c>
      <c r="Y221">
        <v>39.968728608243822</v>
      </c>
      <c r="Z221">
        <v>39.967336622811288</v>
      </c>
      <c r="AA221">
        <v>40.875467129826148</v>
      </c>
      <c r="AB221" t="s">
        <v>73</v>
      </c>
    </row>
    <row r="222" spans="1:28" x14ac:dyDescent="0.3">
      <c r="A222" t="s">
        <v>558</v>
      </c>
      <c r="B222" s="5" t="s">
        <v>559</v>
      </c>
      <c r="C222" t="s">
        <v>465</v>
      </c>
      <c r="D222" s="5" t="s">
        <v>466</v>
      </c>
      <c r="E222">
        <v>3.6041836599476755</v>
      </c>
      <c r="F222">
        <v>3.5950666002789626</v>
      </c>
      <c r="G222">
        <v>3.5696397546960426</v>
      </c>
      <c r="H222">
        <v>3.5863680812478718</v>
      </c>
      <c r="I222">
        <v>3.5650310401329532</v>
      </c>
      <c r="J222">
        <v>3.5397798411005952</v>
      </c>
      <c r="K222">
        <v>3.5377975443156875</v>
      </c>
      <c r="L222">
        <v>3.5305458510139363</v>
      </c>
      <c r="M222">
        <v>3.5326034248919416</v>
      </c>
      <c r="N222">
        <v>3.5702419714408244</v>
      </c>
      <c r="O222">
        <v>3.575511367957668</v>
      </c>
      <c r="P222">
        <v>3.5805298408308524</v>
      </c>
      <c r="Q222">
        <v>3.5634670330620257</v>
      </c>
      <c r="R222">
        <v>3.5873047792096515</v>
      </c>
      <c r="S222">
        <v>3.5985963431743162</v>
      </c>
      <c r="T222">
        <v>3.6181683873797352</v>
      </c>
      <c r="U222">
        <v>3.6156591509431433</v>
      </c>
      <c r="V222">
        <v>3.6131499145065509</v>
      </c>
      <c r="W222">
        <v>3.6131499145065509</v>
      </c>
      <c r="X222">
        <v>3.6181683873797352</v>
      </c>
      <c r="Y222">
        <v>3.6231868602529196</v>
      </c>
      <c r="Z222">
        <v>3.625696096689512</v>
      </c>
      <c r="AA222">
        <v>3.6106406780699585</v>
      </c>
      <c r="AB222" t="s">
        <v>73</v>
      </c>
    </row>
    <row r="223" spans="1:28" x14ac:dyDescent="0.3">
      <c r="A223" t="s">
        <v>558</v>
      </c>
      <c r="B223" s="5" t="s">
        <v>559</v>
      </c>
      <c r="C223" t="s">
        <v>467</v>
      </c>
      <c r="D223" s="5" t="s">
        <v>468</v>
      </c>
      <c r="E223">
        <v>53.490188412525598</v>
      </c>
      <c r="F223">
        <v>52.071144077345153</v>
      </c>
      <c r="G223">
        <v>50.434433458201269</v>
      </c>
      <c r="H223">
        <v>49.595843971284104</v>
      </c>
      <c r="I223">
        <v>48.846856872541281</v>
      </c>
      <c r="J223">
        <v>48.882773009849352</v>
      </c>
      <c r="K223">
        <v>48.731612965210445</v>
      </c>
      <c r="L223">
        <v>47.769314373615934</v>
      </c>
      <c r="M223">
        <v>47.994909542767147</v>
      </c>
      <c r="N223">
        <v>47.916337985972703</v>
      </c>
      <c r="O223">
        <v>47.052212068144783</v>
      </c>
      <c r="P223">
        <v>47.214204919539689</v>
      </c>
      <c r="Q223">
        <v>46.880341419721795</v>
      </c>
      <c r="R223">
        <v>46.95652213255827</v>
      </c>
      <c r="S223">
        <v>46.862198091769066</v>
      </c>
      <c r="T223">
        <v>46.955071802716418</v>
      </c>
      <c r="U223">
        <v>46.683137024393552</v>
      </c>
      <c r="V223">
        <v>46.633657892167413</v>
      </c>
      <c r="W223">
        <v>46.721132122800839</v>
      </c>
      <c r="X223">
        <v>47.160790806891164</v>
      </c>
      <c r="Y223">
        <v>46.302810250810381</v>
      </c>
      <c r="Z223">
        <v>46.188871541648879</v>
      </c>
      <c r="AA223">
        <v>45.485944352374453</v>
      </c>
      <c r="AB223" t="s">
        <v>73</v>
      </c>
    </row>
    <row r="224" spans="1:28" x14ac:dyDescent="0.3">
      <c r="A224" t="s">
        <v>558</v>
      </c>
      <c r="B224" s="5" t="s">
        <v>559</v>
      </c>
      <c r="C224" t="s">
        <v>469</v>
      </c>
      <c r="D224" s="5" t="s">
        <v>470</v>
      </c>
      <c r="E224">
        <v>40.382766344007102</v>
      </c>
      <c r="F224">
        <v>40.465689749740477</v>
      </c>
      <c r="G224">
        <v>40.503293106313819</v>
      </c>
      <c r="H224">
        <v>40.504335972054967</v>
      </c>
      <c r="I224">
        <v>40.45009129695439</v>
      </c>
      <c r="J224">
        <v>39.98301886428267</v>
      </c>
      <c r="K224">
        <v>40.020056826667599</v>
      </c>
      <c r="L224">
        <v>40.071121966497095</v>
      </c>
      <c r="M224">
        <v>39.824959141189488</v>
      </c>
      <c r="N224">
        <v>39.77094772187823</v>
      </c>
      <c r="O224">
        <v>39.778020128452297</v>
      </c>
      <c r="P224">
        <v>39.766598781498459</v>
      </c>
      <c r="Q224">
        <v>39.745451000287666</v>
      </c>
      <c r="R224">
        <v>39.68684658505844</v>
      </c>
      <c r="S224">
        <v>39.578428800023175</v>
      </c>
      <c r="T224">
        <v>39.609522739982026</v>
      </c>
      <c r="U224">
        <v>39.555969173266327</v>
      </c>
      <c r="V224">
        <v>39.579729951588028</v>
      </c>
      <c r="W224">
        <v>39.557910982490739</v>
      </c>
      <c r="X224">
        <v>39.734830908204103</v>
      </c>
      <c r="Y224">
        <v>39.851093533068131</v>
      </c>
      <c r="Z224">
        <v>39.86973189113138</v>
      </c>
      <c r="AA224">
        <v>39.892602057567984</v>
      </c>
      <c r="AB224" t="s">
        <v>73</v>
      </c>
    </row>
    <row r="225" spans="1:28" x14ac:dyDescent="0.3">
      <c r="A225" t="s">
        <v>558</v>
      </c>
      <c r="B225" s="5" t="s">
        <v>559</v>
      </c>
      <c r="C225" t="s">
        <v>471</v>
      </c>
      <c r="D225" s="5" t="s">
        <v>472</v>
      </c>
      <c r="E225">
        <v>50.931899800765905</v>
      </c>
      <c r="F225">
        <v>51.01797237912966</v>
      </c>
      <c r="G225">
        <v>50.71249190661748</v>
      </c>
      <c r="H225">
        <v>49.801667876796571</v>
      </c>
      <c r="I225">
        <v>48.037137862075319</v>
      </c>
      <c r="J225">
        <v>48.698760102774273</v>
      </c>
      <c r="K225">
        <v>48.767996700832882</v>
      </c>
      <c r="L225">
        <v>48.418998248650112</v>
      </c>
      <c r="M225">
        <v>48.109683706266665</v>
      </c>
      <c r="N225">
        <v>47.971339834307756</v>
      </c>
      <c r="O225">
        <v>47.646424369804947</v>
      </c>
      <c r="P225">
        <v>48.475928663055619</v>
      </c>
      <c r="Q225">
        <v>48.088254518629874</v>
      </c>
      <c r="R225">
        <v>47.466835977574874</v>
      </c>
      <c r="S225">
        <v>47.550262929382789</v>
      </c>
      <c r="T225">
        <v>46.515712268550672</v>
      </c>
      <c r="U225">
        <v>46.254805442534241</v>
      </c>
      <c r="V225">
        <v>47.533019613185139</v>
      </c>
      <c r="W225">
        <v>46.99186897438473</v>
      </c>
      <c r="X225">
        <v>47.107343303896428</v>
      </c>
      <c r="Y225">
        <v>46.812312583023157</v>
      </c>
      <c r="Z225">
        <v>47.108122187872233</v>
      </c>
      <c r="AA225">
        <v>47.123120497379396</v>
      </c>
      <c r="AB225" t="s">
        <v>73</v>
      </c>
    </row>
    <row r="226" spans="1:28" x14ac:dyDescent="0.3">
      <c r="A226" t="s">
        <v>558</v>
      </c>
      <c r="B226" s="5" t="s">
        <v>559</v>
      </c>
      <c r="C226" t="s">
        <v>473</v>
      </c>
      <c r="D226" s="5" t="s">
        <v>474</v>
      </c>
      <c r="E226">
        <v>48.13286296182023</v>
      </c>
      <c r="F226">
        <v>48.265333925235097</v>
      </c>
      <c r="G226">
        <v>48.356290697716126</v>
      </c>
      <c r="H226">
        <v>47.447221398943881</v>
      </c>
      <c r="I226">
        <v>47.539067637762749</v>
      </c>
      <c r="J226">
        <v>47.607196460198828</v>
      </c>
      <c r="K226">
        <v>47.796316141328518</v>
      </c>
      <c r="L226">
        <v>47.943782399248597</v>
      </c>
      <c r="M226">
        <v>48.048922355391184</v>
      </c>
      <c r="N226">
        <v>48.148613772253121</v>
      </c>
      <c r="O226">
        <v>48.153586929750055</v>
      </c>
      <c r="P226">
        <v>48.19362600773573</v>
      </c>
      <c r="Q226">
        <v>48.176353760494898</v>
      </c>
      <c r="R226">
        <v>48.191758975904726</v>
      </c>
      <c r="S226">
        <v>48.155815150864242</v>
      </c>
      <c r="T226">
        <v>48.246137434057033</v>
      </c>
      <c r="U226">
        <v>48.230899057342974</v>
      </c>
      <c r="V226">
        <v>48.360510002410003</v>
      </c>
      <c r="W226">
        <v>48.354715090899433</v>
      </c>
      <c r="X226">
        <v>48.320114468690321</v>
      </c>
      <c r="Y226">
        <v>48.302766802710806</v>
      </c>
      <c r="Z226">
        <v>48.271480556094147</v>
      </c>
      <c r="AA226">
        <v>48.26592570347929</v>
      </c>
      <c r="AB226" t="s">
        <v>73</v>
      </c>
    </row>
    <row r="227" spans="1:28" x14ac:dyDescent="0.3">
      <c r="A227" t="s">
        <v>558</v>
      </c>
      <c r="B227" s="5" t="s">
        <v>559</v>
      </c>
      <c r="C227" t="s">
        <v>475</v>
      </c>
      <c r="D227" s="5" t="s">
        <v>476</v>
      </c>
      <c r="E227">
        <v>48.337730099617183</v>
      </c>
      <c r="F227">
        <v>48.471001602640158</v>
      </c>
      <c r="G227">
        <v>48.562577562104316</v>
      </c>
      <c r="H227">
        <v>47.646499037787336</v>
      </c>
      <c r="I227">
        <v>47.738757262044288</v>
      </c>
      <c r="J227">
        <v>47.804113147349064</v>
      </c>
      <c r="K227">
        <v>47.994369898312591</v>
      </c>
      <c r="L227">
        <v>48.142821260114829</v>
      </c>
      <c r="M227">
        <v>48.244994742689393</v>
      </c>
      <c r="N227">
        <v>48.344814406813896</v>
      </c>
      <c r="O227">
        <v>48.349375801217171</v>
      </c>
      <c r="P227">
        <v>48.392313699879828</v>
      </c>
      <c r="Q227">
        <v>48.374960904224565</v>
      </c>
      <c r="R227">
        <v>48.390489058406459</v>
      </c>
      <c r="S227">
        <v>48.354404936653637</v>
      </c>
      <c r="T227">
        <v>48.445318376642668</v>
      </c>
      <c r="U227">
        <v>48.43173496018035</v>
      </c>
      <c r="V227">
        <v>48.562656768923866</v>
      </c>
      <c r="W227">
        <v>48.556783510168302</v>
      </c>
      <c r="X227">
        <v>48.522120158634294</v>
      </c>
      <c r="Y227">
        <v>48.504528532632989</v>
      </c>
      <c r="Z227">
        <v>48.472889983291651</v>
      </c>
      <c r="AA227">
        <v>48.467351744618739</v>
      </c>
      <c r="AB227" t="s">
        <v>73</v>
      </c>
    </row>
    <row r="228" spans="1:28" x14ac:dyDescent="0.3">
      <c r="A228" t="s">
        <v>558</v>
      </c>
      <c r="B228" s="5" t="s">
        <v>559</v>
      </c>
      <c r="C228" t="s">
        <v>477</v>
      </c>
      <c r="D228" s="5" t="s">
        <v>478</v>
      </c>
      <c r="E228">
        <v>46.819107027760559</v>
      </c>
      <c r="F228">
        <v>46.258438507916459</v>
      </c>
      <c r="G228">
        <v>45.959050656897716</v>
      </c>
      <c r="H228">
        <v>45.565131315346363</v>
      </c>
      <c r="I228">
        <v>45.35185609301076</v>
      </c>
      <c r="J228">
        <v>45.452516702236828</v>
      </c>
      <c r="K228">
        <v>44.942168478673977</v>
      </c>
      <c r="L228">
        <v>44.534096104447542</v>
      </c>
      <c r="M228">
        <v>44.82146333980009</v>
      </c>
      <c r="N228">
        <v>44.497035673576384</v>
      </c>
      <c r="O228">
        <v>44.306539305895257</v>
      </c>
      <c r="P228">
        <v>43.874518658078358</v>
      </c>
      <c r="Q228">
        <v>43.729667910899039</v>
      </c>
      <c r="R228">
        <v>43.61818618717264</v>
      </c>
      <c r="S228">
        <v>43.032745480540157</v>
      </c>
      <c r="T228">
        <v>42.980349199672816</v>
      </c>
      <c r="U228">
        <v>42.741285150812971</v>
      </c>
      <c r="V228">
        <v>42.726214995305256</v>
      </c>
      <c r="W228">
        <v>42.512240351689947</v>
      </c>
      <c r="X228">
        <v>42.812102371830996</v>
      </c>
      <c r="Y228">
        <v>42.427092490566231</v>
      </c>
      <c r="Z228">
        <v>42.359004791814584</v>
      </c>
      <c r="AA228">
        <v>42.616361855428401</v>
      </c>
      <c r="AB228" t="s">
        <v>73</v>
      </c>
    </row>
    <row r="229" spans="1:28" x14ac:dyDescent="0.3">
      <c r="A229" t="s">
        <v>558</v>
      </c>
      <c r="B229" s="5" t="s">
        <v>559</v>
      </c>
      <c r="C229" t="s">
        <v>479</v>
      </c>
      <c r="D229" s="5" t="s">
        <v>480</v>
      </c>
      <c r="E229">
        <v>30.078387191822554</v>
      </c>
      <c r="F229">
        <v>29.969651471303628</v>
      </c>
      <c r="G229">
        <v>29.832879829745934</v>
      </c>
      <c r="H229">
        <v>29.704610068574226</v>
      </c>
      <c r="I229">
        <v>29.632655481097768</v>
      </c>
      <c r="J229">
        <v>29.586843891092212</v>
      </c>
      <c r="K229">
        <v>29.545070231345846</v>
      </c>
      <c r="L229">
        <v>29.387962527143756</v>
      </c>
      <c r="M229">
        <v>29.374412327306803</v>
      </c>
      <c r="N229">
        <v>29.291906885182236</v>
      </c>
      <c r="O229">
        <v>29.418916631945393</v>
      </c>
      <c r="P229">
        <v>29.330439352007772</v>
      </c>
      <c r="Q229">
        <v>29.293272577724526</v>
      </c>
      <c r="R229">
        <v>29.27021024072743</v>
      </c>
      <c r="S229">
        <v>29.213934578914134</v>
      </c>
      <c r="T229">
        <v>29.178148648271925</v>
      </c>
      <c r="U229">
        <v>29.141628456893379</v>
      </c>
      <c r="V229">
        <v>29.127473415360498</v>
      </c>
      <c r="W229">
        <v>29.076562200823698</v>
      </c>
      <c r="X229">
        <v>29.262966351584556</v>
      </c>
      <c r="Y229">
        <v>29.196057145536546</v>
      </c>
      <c r="Z229">
        <v>29.197071368869793</v>
      </c>
      <c r="AA229">
        <v>29.203547716643346</v>
      </c>
      <c r="AB229" t="s">
        <v>73</v>
      </c>
    </row>
    <row r="230" spans="1:28" x14ac:dyDescent="0.3">
      <c r="A230" t="s">
        <v>558</v>
      </c>
      <c r="B230" s="5" t="s">
        <v>559</v>
      </c>
      <c r="C230" t="s">
        <v>481</v>
      </c>
      <c r="D230" s="5" t="s">
        <v>482</v>
      </c>
      <c r="E230">
        <v>69.017617362689521</v>
      </c>
      <c r="F230">
        <v>68.932468041963986</v>
      </c>
      <c r="G230">
        <v>68.732240000495992</v>
      </c>
      <c r="H230">
        <v>68.508716411998464</v>
      </c>
      <c r="I230">
        <v>68.400587610241502</v>
      </c>
      <c r="J230">
        <v>68.268022268368767</v>
      </c>
      <c r="K230">
        <v>67.569001826642165</v>
      </c>
      <c r="L230">
        <v>67.239203216817259</v>
      </c>
      <c r="M230">
        <v>67.023725730969801</v>
      </c>
      <c r="N230">
        <v>66.883384103118388</v>
      </c>
      <c r="O230">
        <v>67.760155603292858</v>
      </c>
      <c r="P230">
        <v>67.525316741763561</v>
      </c>
      <c r="Q230">
        <v>67.509044399193058</v>
      </c>
      <c r="R230">
        <v>67.465123459820504</v>
      </c>
      <c r="S230">
        <v>67.498572246365683</v>
      </c>
      <c r="T230">
        <v>67.34961937596843</v>
      </c>
      <c r="U230">
        <v>67.310499023931655</v>
      </c>
      <c r="V230">
        <v>67.233147091982232</v>
      </c>
      <c r="W230">
        <v>67.105172395621395</v>
      </c>
      <c r="X230">
        <v>67.734377731929925</v>
      </c>
      <c r="Y230">
        <v>67.819782608232003</v>
      </c>
      <c r="Z230">
        <v>67.876059638514761</v>
      </c>
      <c r="AA230">
        <v>67.974493512930124</v>
      </c>
      <c r="AB230" t="s">
        <v>73</v>
      </c>
    </row>
    <row r="231" spans="1:28" x14ac:dyDescent="0.3">
      <c r="A231" t="s">
        <v>558</v>
      </c>
      <c r="B231" s="5" t="s">
        <v>559</v>
      </c>
      <c r="C231" t="s">
        <v>483</v>
      </c>
      <c r="D231" s="5" t="s">
        <v>484</v>
      </c>
      <c r="E231">
        <v>28.743083387285751</v>
      </c>
      <c r="F231">
        <v>28.676199883256928</v>
      </c>
      <c r="G231">
        <v>28.572281155519828</v>
      </c>
      <c r="H231">
        <v>28.467116578607079</v>
      </c>
      <c r="I231">
        <v>28.403160769866417</v>
      </c>
      <c r="J231">
        <v>28.338970557203076</v>
      </c>
      <c r="K231">
        <v>28.324479105828519</v>
      </c>
      <c r="L231">
        <v>28.195124001249805</v>
      </c>
      <c r="M231">
        <v>28.151178134328067</v>
      </c>
      <c r="N231">
        <v>28.112514884086526</v>
      </c>
      <c r="O231">
        <v>28.312589563635569</v>
      </c>
      <c r="P231">
        <v>28.260041711458459</v>
      </c>
      <c r="Q231">
        <v>28.236065263944589</v>
      </c>
      <c r="R231">
        <v>28.231827417130376</v>
      </c>
      <c r="S231">
        <v>28.232452908668911</v>
      </c>
      <c r="T231">
        <v>28.204065360179374</v>
      </c>
      <c r="U231">
        <v>28.180269866533546</v>
      </c>
      <c r="V231">
        <v>28.156242659415316</v>
      </c>
      <c r="W231">
        <v>28.126690671020956</v>
      </c>
      <c r="X231">
        <v>28.308046412550016</v>
      </c>
      <c r="Y231">
        <v>28.300180507301469</v>
      </c>
      <c r="Z231">
        <v>28.304665329844912</v>
      </c>
      <c r="AA231">
        <v>28.296092382822557</v>
      </c>
      <c r="AB231" t="s">
        <v>73</v>
      </c>
    </row>
    <row r="232" spans="1:28" x14ac:dyDescent="0.3">
      <c r="A232" t="s">
        <v>558</v>
      </c>
      <c r="B232" s="5" t="s">
        <v>559</v>
      </c>
      <c r="C232" t="s">
        <v>485</v>
      </c>
      <c r="D232" s="5" t="s">
        <v>486</v>
      </c>
      <c r="E232">
        <v>45.711740735349281</v>
      </c>
      <c r="F232">
        <v>45.165121884969267</v>
      </c>
      <c r="G232">
        <v>44.576331733143533</v>
      </c>
      <c r="H232">
        <v>44.123298923979995</v>
      </c>
      <c r="I232">
        <v>43.842235142962231</v>
      </c>
      <c r="J232">
        <v>43.824158321356428</v>
      </c>
      <c r="K232">
        <v>43.398003080413815</v>
      </c>
      <c r="L232">
        <v>42.86477965062118</v>
      </c>
      <c r="M232">
        <v>43.071250781808317</v>
      </c>
      <c r="N232">
        <v>42.802856381180142</v>
      </c>
      <c r="O232">
        <v>42.403779591608554</v>
      </c>
      <c r="P232">
        <v>42.16213821745869</v>
      </c>
      <c r="Q232">
        <v>41.92994274407485</v>
      </c>
      <c r="R232">
        <v>41.816230347911755</v>
      </c>
      <c r="S232">
        <v>41.394354095903985</v>
      </c>
      <c r="T232">
        <v>41.349002939849484</v>
      </c>
      <c r="U232">
        <v>41.103153763103506</v>
      </c>
      <c r="V232">
        <v>41.093584717508762</v>
      </c>
      <c r="W232">
        <v>40.965330490972491</v>
      </c>
      <c r="X232">
        <v>41.2743552952453</v>
      </c>
      <c r="Y232">
        <v>40.779671396761309</v>
      </c>
      <c r="Z232">
        <v>40.714601653722085</v>
      </c>
      <c r="AA232">
        <v>40.711301579216922</v>
      </c>
      <c r="AB232" t="s">
        <v>73</v>
      </c>
    </row>
    <row r="233" spans="1:28" x14ac:dyDescent="0.3">
      <c r="A233" t="s">
        <v>558</v>
      </c>
      <c r="B233" s="5" t="s">
        <v>559</v>
      </c>
      <c r="C233" t="s">
        <v>487</v>
      </c>
      <c r="D233" s="5" t="s">
        <v>488</v>
      </c>
      <c r="E233">
        <v>31.776678855906059</v>
      </c>
      <c r="F233">
        <v>31.902059200433289</v>
      </c>
      <c r="G233">
        <v>31.97869037444832</v>
      </c>
      <c r="H233">
        <v>32.164020435748441</v>
      </c>
      <c r="I233">
        <v>31.993840160333228</v>
      </c>
      <c r="J233">
        <v>32.368630739764889</v>
      </c>
      <c r="K233">
        <v>32.46812026675596</v>
      </c>
      <c r="L233">
        <v>32.634843316485714</v>
      </c>
      <c r="M233">
        <v>32.632606826972491</v>
      </c>
      <c r="N233">
        <v>32.769043728206817</v>
      </c>
      <c r="O233">
        <v>32.998898012141815</v>
      </c>
      <c r="P233">
        <v>33.198133151474664</v>
      </c>
      <c r="Q233">
        <v>36.123630713883664</v>
      </c>
      <c r="R233">
        <v>36.268048129455124</v>
      </c>
      <c r="S233">
        <v>36.361669240481476</v>
      </c>
      <c r="T233">
        <v>36.439014742890187</v>
      </c>
      <c r="U233">
        <v>36.563735449549824</v>
      </c>
      <c r="V233">
        <v>36.674825235452083</v>
      </c>
      <c r="W233">
        <v>36.781773708413525</v>
      </c>
      <c r="X233">
        <v>36.823781929073995</v>
      </c>
      <c r="Y233">
        <v>36.908495565209222</v>
      </c>
      <c r="Z233">
        <v>37.003060902007576</v>
      </c>
      <c r="AA233">
        <v>37.082584726451785</v>
      </c>
      <c r="AB233" t="s">
        <v>73</v>
      </c>
    </row>
    <row r="234" spans="1:28" x14ac:dyDescent="0.3">
      <c r="A234" t="s">
        <v>558</v>
      </c>
      <c r="B234" s="5" t="s">
        <v>559</v>
      </c>
      <c r="C234" t="s">
        <v>489</v>
      </c>
      <c r="D234" s="5" t="s">
        <v>490</v>
      </c>
      <c r="E234">
        <v>35.475117992315333</v>
      </c>
      <c r="F234">
        <v>35.62163129242235</v>
      </c>
      <c r="G234">
        <v>35.733677721560412</v>
      </c>
      <c r="H234">
        <v>35.92906502552686</v>
      </c>
      <c r="I234">
        <v>35.732891287919188</v>
      </c>
      <c r="J234">
        <v>36.188288604666141</v>
      </c>
      <c r="K234">
        <v>36.335893306968138</v>
      </c>
      <c r="L234">
        <v>36.537788209952147</v>
      </c>
      <c r="M234">
        <v>36.664680942002555</v>
      </c>
      <c r="N234">
        <v>36.898048985562667</v>
      </c>
      <c r="O234">
        <v>37.165720568297708</v>
      </c>
      <c r="P234">
        <v>37.381276328111227</v>
      </c>
      <c r="Q234">
        <v>39.763416280844496</v>
      </c>
      <c r="R234">
        <v>40.006263487655197</v>
      </c>
      <c r="S234">
        <v>40.168438605544608</v>
      </c>
      <c r="T234">
        <v>40.358642238244386</v>
      </c>
      <c r="U234">
        <v>40.450980918155018</v>
      </c>
      <c r="V234">
        <v>40.607790638563038</v>
      </c>
      <c r="W234">
        <v>40.831434263061055</v>
      </c>
      <c r="X234">
        <v>40.938376015715761</v>
      </c>
      <c r="Y234">
        <v>41.047133543225385</v>
      </c>
      <c r="Z234">
        <v>41.172337597243221</v>
      </c>
      <c r="AA234">
        <v>41.23430384039407</v>
      </c>
      <c r="AB234" t="s">
        <v>73</v>
      </c>
    </row>
    <row r="235" spans="1:28" x14ac:dyDescent="0.3">
      <c r="A235" t="s">
        <v>558</v>
      </c>
      <c r="B235" s="5" t="s">
        <v>559</v>
      </c>
      <c r="C235" t="s">
        <v>491</v>
      </c>
      <c r="D235" s="5" t="s">
        <v>492</v>
      </c>
      <c r="E235">
        <v>30.49729302669326</v>
      </c>
      <c r="F235">
        <v>30.461116407199434</v>
      </c>
      <c r="G235">
        <v>30.227506428763075</v>
      </c>
      <c r="H235">
        <v>30.032241785191584</v>
      </c>
      <c r="I235">
        <v>29.154153438107148</v>
      </c>
      <c r="J235">
        <v>29.430807776825908</v>
      </c>
      <c r="K235">
        <v>29.362060993949441</v>
      </c>
      <c r="L235">
        <v>29.087740205575063</v>
      </c>
      <c r="M235">
        <v>28.920255385840321</v>
      </c>
      <c r="N235">
        <v>28.780142879059209</v>
      </c>
      <c r="O235">
        <v>28.567242017161949</v>
      </c>
      <c r="P235">
        <v>28.910101050566038</v>
      </c>
      <c r="Q235">
        <v>28.751456005826892</v>
      </c>
      <c r="R235">
        <v>28.454123070262064</v>
      </c>
      <c r="S235">
        <v>28.477283503738374</v>
      </c>
      <c r="T235">
        <v>27.962016171707468</v>
      </c>
      <c r="U235">
        <v>27.833055406242551</v>
      </c>
      <c r="V235">
        <v>28.397829807289916</v>
      </c>
      <c r="W235">
        <v>28.1021277437927</v>
      </c>
      <c r="X235">
        <v>28.158937023123976</v>
      </c>
      <c r="Y235">
        <v>27.941279381431123</v>
      </c>
      <c r="Z235">
        <v>28.150915463498983</v>
      </c>
      <c r="AA235">
        <v>28.256300578549791</v>
      </c>
      <c r="AB235" t="s">
        <v>73</v>
      </c>
    </row>
    <row r="236" spans="1:28" x14ac:dyDescent="0.3">
      <c r="A236" t="s">
        <v>558</v>
      </c>
      <c r="B236" s="5" t="s">
        <v>559</v>
      </c>
      <c r="C236" t="s">
        <v>493</v>
      </c>
      <c r="D236" s="5" t="s">
        <v>494</v>
      </c>
      <c r="E236">
        <v>36.51866723558058</v>
      </c>
      <c r="F236">
        <v>36.481991137287771</v>
      </c>
      <c r="G236">
        <v>36.487171195948974</v>
      </c>
      <c r="H236">
        <v>36.253112032135604</v>
      </c>
      <c r="I236">
        <v>36.278193011744492</v>
      </c>
      <c r="J236">
        <v>36.039570293407202</v>
      </c>
      <c r="K236">
        <v>36.052293830471577</v>
      </c>
      <c r="L236">
        <v>36.058373597355022</v>
      </c>
      <c r="M236">
        <v>35.966680133305871</v>
      </c>
      <c r="N236">
        <v>35.9459704848204</v>
      </c>
      <c r="O236">
        <v>36.041541668604161</v>
      </c>
      <c r="P236">
        <v>36.019110254085028</v>
      </c>
      <c r="Q236">
        <v>36.009715401621477</v>
      </c>
      <c r="R236">
        <v>36.019246842417218</v>
      </c>
      <c r="S236">
        <v>35.944889926589845</v>
      </c>
      <c r="T236">
        <v>35.969394741890461</v>
      </c>
      <c r="U236">
        <v>35.925481383345328</v>
      </c>
      <c r="V236">
        <v>35.902357931752562</v>
      </c>
      <c r="W236">
        <v>35.824026768981952</v>
      </c>
      <c r="X236">
        <v>35.826960775683318</v>
      </c>
      <c r="Y236">
        <v>35.816243527384742</v>
      </c>
      <c r="Z236">
        <v>35.769194992015287</v>
      </c>
      <c r="AA236">
        <v>35.690221969144069</v>
      </c>
      <c r="AB236" t="s">
        <v>73</v>
      </c>
    </row>
    <row r="237" spans="1:28" x14ac:dyDescent="0.3">
      <c r="A237" t="s">
        <v>558</v>
      </c>
      <c r="B237" s="5" t="s">
        <v>559</v>
      </c>
      <c r="C237" t="s">
        <v>495</v>
      </c>
      <c r="D237" s="5" t="s">
        <v>496</v>
      </c>
      <c r="E237">
        <v>36.714364805160557</v>
      </c>
      <c r="F237">
        <v>36.723417420701672</v>
      </c>
      <c r="G237">
        <v>36.74795950214164</v>
      </c>
      <c r="H237">
        <v>36.617535627018839</v>
      </c>
      <c r="I237">
        <v>36.599174014082536</v>
      </c>
      <c r="J237">
        <v>36.505689437515734</v>
      </c>
      <c r="K237">
        <v>36.546000735382918</v>
      </c>
      <c r="L237">
        <v>36.59185034690293</v>
      </c>
      <c r="M237">
        <v>36.544227899309213</v>
      </c>
      <c r="N237">
        <v>36.574018689602966</v>
      </c>
      <c r="O237">
        <v>36.686886148390705</v>
      </c>
      <c r="P237">
        <v>36.722221134230921</v>
      </c>
      <c r="Q237">
        <v>37.266334140947187</v>
      </c>
      <c r="R237">
        <v>37.317611848908903</v>
      </c>
      <c r="S237">
        <v>37.297464695032922</v>
      </c>
      <c r="T237">
        <v>37.355424047793122</v>
      </c>
      <c r="U237">
        <v>37.355448892892952</v>
      </c>
      <c r="V237">
        <v>37.375704042918152</v>
      </c>
      <c r="W237">
        <v>37.366961765160077</v>
      </c>
      <c r="X237">
        <v>37.381778255703743</v>
      </c>
      <c r="Y237">
        <v>37.405135295411405</v>
      </c>
      <c r="Z237">
        <v>37.396064600691489</v>
      </c>
      <c r="AA237">
        <v>37.360328421550989</v>
      </c>
      <c r="AB237" t="s">
        <v>73</v>
      </c>
    </row>
    <row r="238" spans="1:28" x14ac:dyDescent="0.3">
      <c r="A238" t="s">
        <v>558</v>
      </c>
      <c r="B238" s="5" t="s">
        <v>559</v>
      </c>
      <c r="C238" t="s">
        <v>497</v>
      </c>
      <c r="D238" s="5" t="s">
        <v>498</v>
      </c>
      <c r="E238">
        <v>43.73274788096807</v>
      </c>
      <c r="F238">
        <v>43.739698370525225</v>
      </c>
      <c r="G238">
        <v>43.758575458194493</v>
      </c>
      <c r="H238">
        <v>43.797764148063287</v>
      </c>
      <c r="I238">
        <v>43.880731091094951</v>
      </c>
      <c r="J238">
        <v>43.94338785549489</v>
      </c>
      <c r="K238">
        <v>44.019443751652723</v>
      </c>
      <c r="L238">
        <v>44.106477612105635</v>
      </c>
      <c r="M238">
        <v>44.00551248549796</v>
      </c>
      <c r="N238">
        <v>44.062722830844464</v>
      </c>
      <c r="O238">
        <v>44.128226517748395</v>
      </c>
      <c r="P238">
        <v>44.444237218211249</v>
      </c>
      <c r="Q238">
        <v>44.697162402842245</v>
      </c>
      <c r="R238">
        <v>44.749314555349301</v>
      </c>
      <c r="S238">
        <v>44.900905912702228</v>
      </c>
      <c r="T238">
        <v>45.162042903002508</v>
      </c>
      <c r="U238">
        <v>45.273527523557284</v>
      </c>
      <c r="V238">
        <v>45.415181655744448</v>
      </c>
      <c r="W238">
        <v>45.817044419807438</v>
      </c>
      <c r="X238">
        <v>45.695297720449553</v>
      </c>
      <c r="Y238">
        <v>45.945698207723765</v>
      </c>
      <c r="Z238">
        <v>46.102493887076186</v>
      </c>
      <c r="AA238">
        <v>46.080079534998184</v>
      </c>
      <c r="AB238" t="s">
        <v>73</v>
      </c>
    </row>
    <row r="239" spans="1:28" x14ac:dyDescent="0.3">
      <c r="A239" t="s">
        <v>558</v>
      </c>
      <c r="B239" s="5" t="s">
        <v>559</v>
      </c>
      <c r="C239" t="s">
        <v>499</v>
      </c>
      <c r="D239" s="5" t="s">
        <v>500</v>
      </c>
      <c r="E239">
        <v>35.556161082477793</v>
      </c>
      <c r="F239">
        <v>35.74797182810731</v>
      </c>
      <c r="G239">
        <v>35.85118376139026</v>
      </c>
      <c r="H239">
        <v>36.086913345847712</v>
      </c>
      <c r="I239">
        <v>35.873516661926814</v>
      </c>
      <c r="J239">
        <v>36.310832533482788</v>
      </c>
      <c r="K239">
        <v>36.453134294661844</v>
      </c>
      <c r="L239">
        <v>36.645001943691703</v>
      </c>
      <c r="M239">
        <v>36.786363277858591</v>
      </c>
      <c r="N239">
        <v>37.008396415466564</v>
      </c>
      <c r="O239">
        <v>37.202688581407635</v>
      </c>
      <c r="P239">
        <v>37.389755940636967</v>
      </c>
      <c r="Q239">
        <v>39.843504736932509</v>
      </c>
      <c r="R239">
        <v>40.03947534919287</v>
      </c>
      <c r="S239">
        <v>40.166444866979667</v>
      </c>
      <c r="T239">
        <v>40.290002577143838</v>
      </c>
      <c r="U239">
        <v>40.415813124654285</v>
      </c>
      <c r="V239">
        <v>40.557042780163307</v>
      </c>
      <c r="W239">
        <v>40.691155281913254</v>
      </c>
      <c r="X239">
        <v>40.780067429218079</v>
      </c>
      <c r="Y239">
        <v>40.86684381044364</v>
      </c>
      <c r="Z239">
        <v>40.950920391752661</v>
      </c>
      <c r="AA239">
        <v>41.061717958723037</v>
      </c>
      <c r="AB239" t="s">
        <v>73</v>
      </c>
    </row>
    <row r="240" spans="1:28" x14ac:dyDescent="0.3">
      <c r="A240" t="s">
        <v>558</v>
      </c>
      <c r="B240" s="5" t="s">
        <v>559</v>
      </c>
      <c r="C240" t="s">
        <v>501</v>
      </c>
      <c r="D240" s="5" t="s">
        <v>502</v>
      </c>
      <c r="E240">
        <v>37.325283653126476</v>
      </c>
      <c r="F240">
        <v>37.477082276721987</v>
      </c>
      <c r="G240">
        <v>37.562047306540592</v>
      </c>
      <c r="H240">
        <v>37.755257725775536</v>
      </c>
      <c r="I240">
        <v>37.594818521338681</v>
      </c>
      <c r="J240">
        <v>37.951594360777982</v>
      </c>
      <c r="K240">
        <v>38.079644012342939</v>
      </c>
      <c r="L240">
        <v>38.249002760448725</v>
      </c>
      <c r="M240">
        <v>38.338283598457885</v>
      </c>
      <c r="N240">
        <v>38.524877490643682</v>
      </c>
      <c r="O240">
        <v>38.691429445179772</v>
      </c>
      <c r="P240">
        <v>38.906173971542032</v>
      </c>
      <c r="Q240">
        <v>40.783695984170052</v>
      </c>
      <c r="R240">
        <v>40.951810080906064</v>
      </c>
      <c r="S240">
        <v>41.083593333732452</v>
      </c>
      <c r="T240">
        <v>41.23457820074524</v>
      </c>
      <c r="U240">
        <v>41.357619766529922</v>
      </c>
      <c r="V240">
        <v>41.498934678128769</v>
      </c>
      <c r="W240">
        <v>41.68496088222436</v>
      </c>
      <c r="X240">
        <v>41.73302533339784</v>
      </c>
      <c r="Y240">
        <v>41.85154329096838</v>
      </c>
      <c r="Z240">
        <v>41.949719185372395</v>
      </c>
      <c r="AA240">
        <v>42.03462954297926</v>
      </c>
      <c r="AB240" t="s">
        <v>73</v>
      </c>
    </row>
    <row r="241" spans="1:28" x14ac:dyDescent="0.3">
      <c r="A241" t="s">
        <v>558</v>
      </c>
      <c r="B241" s="5" t="s">
        <v>559</v>
      </c>
      <c r="C241" t="s">
        <v>503</v>
      </c>
      <c r="D241" s="5" t="s">
        <v>504</v>
      </c>
      <c r="E241">
        <v>34.858661140569907</v>
      </c>
      <c r="F241">
        <v>34.761714816449839</v>
      </c>
      <c r="G241">
        <v>34.743065489097809</v>
      </c>
      <c r="H241">
        <v>34.393985872605704</v>
      </c>
      <c r="I241">
        <v>34.36812627495744</v>
      </c>
      <c r="J241">
        <v>34.372025431228735</v>
      </c>
      <c r="K241">
        <v>34.393943292653276</v>
      </c>
      <c r="L241">
        <v>34.391088464098743</v>
      </c>
      <c r="M241">
        <v>34.430073392221686</v>
      </c>
      <c r="N241">
        <v>34.442199097995086</v>
      </c>
      <c r="O241">
        <v>34.571990580994481</v>
      </c>
      <c r="P241">
        <v>34.554841852744559</v>
      </c>
      <c r="Q241">
        <v>34.557178015478044</v>
      </c>
      <c r="R241">
        <v>34.604236002333892</v>
      </c>
      <c r="S241">
        <v>34.564602155779532</v>
      </c>
      <c r="T241">
        <v>34.583634387320551</v>
      </c>
      <c r="U241">
        <v>34.57597009219495</v>
      </c>
      <c r="V241">
        <v>34.539091395094118</v>
      </c>
      <c r="W241">
        <v>34.44345356219069</v>
      </c>
      <c r="X241">
        <v>34.305658765094968</v>
      </c>
      <c r="Y241">
        <v>34.228177183670965</v>
      </c>
      <c r="Z241">
        <v>34.126312106699736</v>
      </c>
      <c r="AA241">
        <v>34.21271521218528</v>
      </c>
      <c r="AB241" t="s">
        <v>73</v>
      </c>
    </row>
    <row r="242" spans="1:28" x14ac:dyDescent="0.3">
      <c r="A242" t="s">
        <v>558</v>
      </c>
      <c r="B242" s="5" t="s">
        <v>559</v>
      </c>
      <c r="C242" t="s">
        <v>505</v>
      </c>
      <c r="D242" s="5" t="s">
        <v>506</v>
      </c>
      <c r="E242">
        <v>33.625611367544842</v>
      </c>
      <c r="F242">
        <v>33.497740815660563</v>
      </c>
      <c r="G242">
        <v>33.530764032653273</v>
      </c>
      <c r="H242">
        <v>33.534538898002673</v>
      </c>
      <c r="I242">
        <v>33.602752027742234</v>
      </c>
      <c r="J242">
        <v>33.658276394944757</v>
      </c>
      <c r="K242">
        <v>33.642445422124581</v>
      </c>
      <c r="L242">
        <v>33.696436026451984</v>
      </c>
      <c r="M242">
        <v>33.43660763374784</v>
      </c>
      <c r="N242">
        <v>33.295152550220571</v>
      </c>
      <c r="O242">
        <v>33.362354842685853</v>
      </c>
      <c r="P242">
        <v>33.284324261675479</v>
      </c>
      <c r="Q242">
        <v>33.283934250358982</v>
      </c>
      <c r="R242">
        <v>33.287585859691383</v>
      </c>
      <c r="S242">
        <v>33.082276581794048</v>
      </c>
      <c r="T242">
        <v>33.131483531635595</v>
      </c>
      <c r="U242">
        <v>32.99488546545129</v>
      </c>
      <c r="V242">
        <v>32.834270859275136</v>
      </c>
      <c r="W242">
        <v>32.595980379765884</v>
      </c>
      <c r="X242">
        <v>32.456952131207721</v>
      </c>
      <c r="Y242">
        <v>32.434655464174682</v>
      </c>
      <c r="Z242">
        <v>32.282724009312851</v>
      </c>
      <c r="AA242">
        <v>32.037944875970034</v>
      </c>
      <c r="AB242" t="s">
        <v>73</v>
      </c>
    </row>
    <row r="243" spans="1:28" x14ac:dyDescent="0.3">
      <c r="A243" t="s">
        <v>558</v>
      </c>
      <c r="B243" s="5" t="s">
        <v>559</v>
      </c>
      <c r="C243" t="s">
        <v>507</v>
      </c>
      <c r="D243" s="5" t="s">
        <v>508</v>
      </c>
      <c r="E243">
        <v>34.469634253295041</v>
      </c>
      <c r="F243">
        <v>34.324471803181545</v>
      </c>
      <c r="G243">
        <v>34.341818962326315</v>
      </c>
      <c r="H243">
        <v>34.359353471632815</v>
      </c>
      <c r="I243">
        <v>34.411084805739691</v>
      </c>
      <c r="J243">
        <v>34.477209858153628</v>
      </c>
      <c r="K243">
        <v>34.474351909499944</v>
      </c>
      <c r="L243">
        <v>34.547306861798702</v>
      </c>
      <c r="M243">
        <v>34.26503311336279</v>
      </c>
      <c r="N243">
        <v>34.120365868588586</v>
      </c>
      <c r="O243">
        <v>34.236261558494697</v>
      </c>
      <c r="P243">
        <v>34.160515841362098</v>
      </c>
      <c r="Q243">
        <v>34.198434410198224</v>
      </c>
      <c r="R243">
        <v>34.215889564135274</v>
      </c>
      <c r="S243">
        <v>34.000551288028802</v>
      </c>
      <c r="T243">
        <v>34.0758729588375</v>
      </c>
      <c r="U243">
        <v>33.956392234933219</v>
      </c>
      <c r="V243">
        <v>33.798141215047316</v>
      </c>
      <c r="W243">
        <v>33.557120206240633</v>
      </c>
      <c r="X243">
        <v>33.429449542796796</v>
      </c>
      <c r="Y243">
        <v>33.430912622600736</v>
      </c>
      <c r="Z243">
        <v>33.273929951242451</v>
      </c>
      <c r="AA243">
        <v>33.005406242648093</v>
      </c>
      <c r="AB243" t="s">
        <v>73</v>
      </c>
    </row>
    <row r="244" spans="1:28" x14ac:dyDescent="0.3">
      <c r="A244" t="s">
        <v>558</v>
      </c>
      <c r="B244" s="5" t="s">
        <v>559</v>
      </c>
      <c r="C244" t="s">
        <v>509</v>
      </c>
      <c r="D244" s="5" t="s">
        <v>510</v>
      </c>
      <c r="E244">
        <v>33.498956795823851</v>
      </c>
      <c r="F244">
        <v>33.365770269283907</v>
      </c>
      <c r="G244">
        <v>33.398093930701684</v>
      </c>
      <c r="H244">
        <v>33.403034305534149</v>
      </c>
      <c r="I244">
        <v>33.477553577201874</v>
      </c>
      <c r="J244">
        <v>33.528342173963971</v>
      </c>
      <c r="K244">
        <v>33.513176411265405</v>
      </c>
      <c r="L244">
        <v>33.568372096574464</v>
      </c>
      <c r="M244">
        <v>33.3094600561531</v>
      </c>
      <c r="N244">
        <v>33.169692258840875</v>
      </c>
      <c r="O244">
        <v>33.239833891867505</v>
      </c>
      <c r="P244">
        <v>33.164562271999415</v>
      </c>
      <c r="Q244">
        <v>33.163857351903495</v>
      </c>
      <c r="R244">
        <v>33.166881891374928</v>
      </c>
      <c r="S244">
        <v>32.963365909109577</v>
      </c>
      <c r="T244">
        <v>33.015182014369714</v>
      </c>
      <c r="U244">
        <v>32.878542079169783</v>
      </c>
      <c r="V244">
        <v>32.713076502727375</v>
      </c>
      <c r="W244">
        <v>32.473577502656852</v>
      </c>
      <c r="X244">
        <v>32.328608501669436</v>
      </c>
      <c r="Y244">
        <v>32.306172412586847</v>
      </c>
      <c r="Z244">
        <v>32.153290923587832</v>
      </c>
      <c r="AA244">
        <v>31.906972706520062</v>
      </c>
      <c r="AB244" t="s">
        <v>73</v>
      </c>
    </row>
    <row r="245" spans="1:28" x14ac:dyDescent="0.3">
      <c r="A245" t="s">
        <v>558</v>
      </c>
      <c r="B245" s="5" t="s">
        <v>559</v>
      </c>
      <c r="C245" t="s">
        <v>511</v>
      </c>
      <c r="D245" s="5" t="s">
        <v>512</v>
      </c>
      <c r="E245">
        <v>35.096055095565085</v>
      </c>
      <c r="F245">
        <v>35.267943355965436</v>
      </c>
      <c r="G245">
        <v>35.354977335057143</v>
      </c>
      <c r="H245">
        <v>35.602763682631284</v>
      </c>
      <c r="I245">
        <v>35.418792320760694</v>
      </c>
      <c r="J245">
        <v>35.826511699074878</v>
      </c>
      <c r="K245">
        <v>35.971975074356259</v>
      </c>
      <c r="L245">
        <v>36.150983438539136</v>
      </c>
      <c r="M245">
        <v>36.308341965191616</v>
      </c>
      <c r="N245">
        <v>36.542793614276491</v>
      </c>
      <c r="O245">
        <v>36.795616227864684</v>
      </c>
      <c r="P245">
        <v>37.007116833328013</v>
      </c>
      <c r="Q245">
        <v>39.510038802792963</v>
      </c>
      <c r="R245">
        <v>39.709012358976729</v>
      </c>
      <c r="S245">
        <v>39.845601567181525</v>
      </c>
      <c r="T245">
        <v>39.969200439235152</v>
      </c>
      <c r="U245">
        <v>40.09623258868821</v>
      </c>
      <c r="V245">
        <v>40.242726795576431</v>
      </c>
      <c r="W245">
        <v>40.375777409361689</v>
      </c>
      <c r="X245">
        <v>40.456298026135492</v>
      </c>
      <c r="Y245">
        <v>40.536335611675618</v>
      </c>
      <c r="Z245">
        <v>40.619994456417515</v>
      </c>
      <c r="AA245">
        <v>40.675027919323021</v>
      </c>
      <c r="AB245" t="s">
        <v>73</v>
      </c>
    </row>
    <row r="246" spans="1:28" x14ac:dyDescent="0.3">
      <c r="A246" t="s">
        <v>558</v>
      </c>
      <c r="B246" s="5" t="s">
        <v>559</v>
      </c>
      <c r="C246" t="s">
        <v>513</v>
      </c>
      <c r="D246" s="5" t="s">
        <v>514</v>
      </c>
      <c r="E246">
        <v>42.14795283779182</v>
      </c>
      <c r="F246">
        <v>42.173884435228203</v>
      </c>
      <c r="G246">
        <v>42.218062357012542</v>
      </c>
      <c r="H246">
        <v>42.054525825401512</v>
      </c>
      <c r="I246">
        <v>42.07751677298932</v>
      </c>
      <c r="J246">
        <v>41.964145958395072</v>
      </c>
      <c r="K246">
        <v>42.005453749141097</v>
      </c>
      <c r="L246">
        <v>42.068942930787131</v>
      </c>
      <c r="M246">
        <v>42.014514403580321</v>
      </c>
      <c r="N246">
        <v>42.049289815470765</v>
      </c>
      <c r="O246">
        <v>42.199906852713625</v>
      </c>
      <c r="P246">
        <v>42.23521645360303</v>
      </c>
      <c r="Q246">
        <v>42.755026670386947</v>
      </c>
      <c r="R246">
        <v>42.817706489596496</v>
      </c>
      <c r="S246">
        <v>42.794513424416031</v>
      </c>
      <c r="T246">
        <v>42.868023586384247</v>
      </c>
      <c r="U246">
        <v>42.877515351684082</v>
      </c>
      <c r="V246">
        <v>42.908544037179915</v>
      </c>
      <c r="W246">
        <v>42.89776019192702</v>
      </c>
      <c r="X246">
        <v>42.914632837129759</v>
      </c>
      <c r="Y246">
        <v>42.953981434827369</v>
      </c>
      <c r="Z246">
        <v>42.94345386495894</v>
      </c>
      <c r="AA246">
        <v>42.912154342604346</v>
      </c>
      <c r="AB246" t="s">
        <v>73</v>
      </c>
    </row>
    <row r="247" spans="1:28" x14ac:dyDescent="0.3">
      <c r="A247" t="s">
        <v>558</v>
      </c>
      <c r="B247" s="5" t="s">
        <v>559</v>
      </c>
      <c r="C247" t="s">
        <v>515</v>
      </c>
      <c r="D247" s="5" t="s">
        <v>516</v>
      </c>
      <c r="E247">
        <v>36.318635942515911</v>
      </c>
      <c r="F247">
        <v>36.572612288819158</v>
      </c>
      <c r="G247">
        <v>36.690319828694093</v>
      </c>
      <c r="H247">
        <v>36.938951174999438</v>
      </c>
      <c r="I247">
        <v>36.873094674845461</v>
      </c>
      <c r="J247">
        <v>37.405530816916794</v>
      </c>
      <c r="K247">
        <v>37.519585306896914</v>
      </c>
      <c r="L247">
        <v>37.625294588751558</v>
      </c>
      <c r="M247">
        <v>37.746023851644026</v>
      </c>
      <c r="N247">
        <v>37.955940514419808</v>
      </c>
      <c r="O247">
        <v>38.207384670052249</v>
      </c>
      <c r="P247">
        <v>38.418076949051262</v>
      </c>
      <c r="Q247">
        <v>41.837435962553201</v>
      </c>
      <c r="R247">
        <v>42.034475281814231</v>
      </c>
      <c r="S247">
        <v>42.157303958447777</v>
      </c>
      <c r="T247">
        <v>42.239140211044514</v>
      </c>
      <c r="U247">
        <v>42.390675109787814</v>
      </c>
      <c r="V247">
        <v>42.524121389211409</v>
      </c>
      <c r="W247">
        <v>42.638071464130725</v>
      </c>
      <c r="X247">
        <v>42.708626662643923</v>
      </c>
      <c r="Y247">
        <v>42.777654872889755</v>
      </c>
      <c r="Z247">
        <v>42.848857425997075</v>
      </c>
      <c r="AA247">
        <v>42.992999429426213</v>
      </c>
      <c r="AB247" t="s">
        <v>73</v>
      </c>
    </row>
    <row r="248" spans="1:28" x14ac:dyDescent="0.3">
      <c r="A248" t="s">
        <v>558</v>
      </c>
      <c r="B248" s="5" t="s">
        <v>559</v>
      </c>
      <c r="C248" t="s">
        <v>517</v>
      </c>
      <c r="D248" s="5" t="s">
        <v>518</v>
      </c>
      <c r="E248">
        <v>41.688452513686151</v>
      </c>
      <c r="F248">
        <v>41.706158842028351</v>
      </c>
      <c r="G248">
        <v>41.769063730746069</v>
      </c>
      <c r="H248">
        <v>41.789825147866125</v>
      </c>
      <c r="I248">
        <v>41.800269608248357</v>
      </c>
      <c r="J248">
        <v>41.894630034777059</v>
      </c>
      <c r="K248">
        <v>41.957711580998364</v>
      </c>
      <c r="L248">
        <v>42.06235834117949</v>
      </c>
      <c r="M248">
        <v>42.17047893342076</v>
      </c>
      <c r="N248">
        <v>42.306008783367929</v>
      </c>
      <c r="O248">
        <v>42.344416254353597</v>
      </c>
      <c r="P248">
        <v>42.496801231176704</v>
      </c>
      <c r="Q248">
        <v>42.633115632364614</v>
      </c>
      <c r="R248">
        <v>42.741373317490826</v>
      </c>
      <c r="S248">
        <v>42.804300568189845</v>
      </c>
      <c r="T248">
        <v>43.013642825761643</v>
      </c>
      <c r="U248">
        <v>43.087588941123258</v>
      </c>
      <c r="V248">
        <v>43.158696963889554</v>
      </c>
      <c r="W248">
        <v>43.288540298002765</v>
      </c>
      <c r="X248">
        <v>43.273275979898585</v>
      </c>
      <c r="Y248">
        <v>43.383615311140318</v>
      </c>
      <c r="Z248">
        <v>43.455697961788182</v>
      </c>
      <c r="AA248">
        <v>43.477845827765073</v>
      </c>
      <c r="AB248" t="s">
        <v>73</v>
      </c>
    </row>
    <row r="249" spans="1:28" x14ac:dyDescent="0.3">
      <c r="A249" t="s">
        <v>558</v>
      </c>
      <c r="B249" s="5" t="s">
        <v>559</v>
      </c>
      <c r="C249" t="s">
        <v>519</v>
      </c>
      <c r="D249" s="5" t="s">
        <v>520</v>
      </c>
      <c r="E249">
        <v>36.545222169342956</v>
      </c>
      <c r="F249">
        <v>36.622632741893661</v>
      </c>
      <c r="G249">
        <v>36.668222597823132</v>
      </c>
      <c r="H249">
        <v>36.737967235820818</v>
      </c>
      <c r="I249">
        <v>36.752282529209431</v>
      </c>
      <c r="J249">
        <v>35.418753318396924</v>
      </c>
      <c r="K249">
        <v>35.466709367519314</v>
      </c>
      <c r="L249">
        <v>35.491088466835215</v>
      </c>
      <c r="M249">
        <v>35.254021900078023</v>
      </c>
      <c r="N249">
        <v>35.227910824590644</v>
      </c>
      <c r="O249">
        <v>35.255417509570833</v>
      </c>
      <c r="P249">
        <v>35.325693108517861</v>
      </c>
      <c r="Q249">
        <v>35.351697296382632</v>
      </c>
      <c r="R249">
        <v>35.391586950704728</v>
      </c>
      <c r="S249">
        <v>35.357631284481513</v>
      </c>
      <c r="T249">
        <v>35.363312625820818</v>
      </c>
      <c r="U249">
        <v>35.455331571891513</v>
      </c>
      <c r="V249">
        <v>35.561241844372866</v>
      </c>
      <c r="W249">
        <v>35.563956352895445</v>
      </c>
      <c r="X249">
        <v>35.450367379094011</v>
      </c>
      <c r="Y249">
        <v>35.572616255510781</v>
      </c>
      <c r="Z249">
        <v>35.52181665552235</v>
      </c>
      <c r="AA249">
        <v>36.356812089891193</v>
      </c>
      <c r="AB249" t="s">
        <v>73</v>
      </c>
    </row>
    <row r="250" spans="1:28" x14ac:dyDescent="0.3">
      <c r="A250" t="s">
        <v>558</v>
      </c>
      <c r="B250" s="5" t="s">
        <v>559</v>
      </c>
      <c r="C250" t="s">
        <v>521</v>
      </c>
      <c r="D250" s="5" t="s">
        <v>522</v>
      </c>
      <c r="E250">
        <v>28.405025613263074</v>
      </c>
      <c r="F250">
        <v>28.501945346452036</v>
      </c>
      <c r="G250">
        <v>28.549513819837987</v>
      </c>
      <c r="H250">
        <v>28.629870376661639</v>
      </c>
      <c r="I250">
        <v>28.641847670172567</v>
      </c>
      <c r="J250">
        <v>26.966845196705219</v>
      </c>
      <c r="K250">
        <v>27.029913905969067</v>
      </c>
      <c r="L250">
        <v>27.060332207201611</v>
      </c>
      <c r="M250">
        <v>26.763282516680885</v>
      </c>
      <c r="N250">
        <v>26.743228607765985</v>
      </c>
      <c r="O250">
        <v>26.782268970101516</v>
      </c>
      <c r="P250">
        <v>26.870882030604932</v>
      </c>
      <c r="Q250">
        <v>26.906134668867164</v>
      </c>
      <c r="R250">
        <v>26.957655652243727</v>
      </c>
      <c r="S250">
        <v>26.921623113933173</v>
      </c>
      <c r="T250">
        <v>26.928757956793181</v>
      </c>
      <c r="U250">
        <v>27.042854538150525</v>
      </c>
      <c r="V250">
        <v>27.159984098133819</v>
      </c>
      <c r="W250">
        <v>27.163197718737411</v>
      </c>
      <c r="X250">
        <v>27.018735581683472</v>
      </c>
      <c r="Y250">
        <v>27.169693206957721</v>
      </c>
      <c r="Z250">
        <v>27.105334204020338</v>
      </c>
      <c r="AA250">
        <v>27.163389196017569</v>
      </c>
      <c r="AB250" t="s">
        <v>73</v>
      </c>
    </row>
    <row r="251" spans="1:28" x14ac:dyDescent="0.3">
      <c r="A251" t="s">
        <v>558</v>
      </c>
      <c r="B251" s="5" t="s">
        <v>559</v>
      </c>
      <c r="C251" t="s">
        <v>523</v>
      </c>
      <c r="D251" s="5" t="s">
        <v>524</v>
      </c>
      <c r="E251">
        <v>28.375484418593324</v>
      </c>
      <c r="F251">
        <v>28.472790559217099</v>
      </c>
      <c r="G251">
        <v>28.52000242519901</v>
      </c>
      <c r="H251">
        <v>28.600733139578804</v>
      </c>
      <c r="I251">
        <v>28.612677694263489</v>
      </c>
      <c r="J251">
        <v>26.936541951848856</v>
      </c>
      <c r="K251">
        <v>26.999725670120309</v>
      </c>
      <c r="L251">
        <v>27.030073880143803</v>
      </c>
      <c r="M251">
        <v>26.732664804008394</v>
      </c>
      <c r="N251">
        <v>26.716509020339259</v>
      </c>
      <c r="O251">
        <v>26.76102589186916</v>
      </c>
      <c r="P251">
        <v>26.848465506836593</v>
      </c>
      <c r="Q251">
        <v>26.882406393878927</v>
      </c>
      <c r="R251">
        <v>26.932587094799874</v>
      </c>
      <c r="S251">
        <v>26.895933836128172</v>
      </c>
      <c r="T251">
        <v>26.902084075059708</v>
      </c>
      <c r="U251">
        <v>27.015849628446659</v>
      </c>
      <c r="V251">
        <v>27.133496479627425</v>
      </c>
      <c r="W251">
        <v>27.136807887130807</v>
      </c>
      <c r="X251">
        <v>26.992603840475262</v>
      </c>
      <c r="Y251">
        <v>27.145389220162926</v>
      </c>
      <c r="Z251">
        <v>27.082662906726497</v>
      </c>
      <c r="AA251">
        <v>27.163389196017558</v>
      </c>
      <c r="AB251" t="s">
        <v>73</v>
      </c>
    </row>
    <row r="252" spans="1:28" x14ac:dyDescent="0.3">
      <c r="A252" t="s">
        <v>558</v>
      </c>
      <c r="B252" s="5" t="s">
        <v>559</v>
      </c>
      <c r="C252" t="s">
        <v>525</v>
      </c>
      <c r="D252" s="5" t="s">
        <v>526</v>
      </c>
      <c r="E252">
        <v>43.187189986146272</v>
      </c>
      <c r="F252">
        <v>43.172466850953363</v>
      </c>
      <c r="G252">
        <v>43.203560804014785</v>
      </c>
      <c r="H252">
        <v>42.966427334615162</v>
      </c>
      <c r="I252">
        <v>43.006955796555111</v>
      </c>
      <c r="J252">
        <v>42.778219298634824</v>
      </c>
      <c r="K252">
        <v>42.80520246869164</v>
      </c>
      <c r="L252">
        <v>42.861170940126414</v>
      </c>
      <c r="M252">
        <v>42.775516394679101</v>
      </c>
      <c r="N252">
        <v>42.779098107993619</v>
      </c>
      <c r="O252">
        <v>42.911780075161808</v>
      </c>
      <c r="P252">
        <v>42.915832495727095</v>
      </c>
      <c r="Q252">
        <v>42.955430947117769</v>
      </c>
      <c r="R252">
        <v>42.988774502854639</v>
      </c>
      <c r="S252">
        <v>42.933690400597825</v>
      </c>
      <c r="T252">
        <v>43.005373509107201</v>
      </c>
      <c r="U252">
        <v>42.983843109744704</v>
      </c>
      <c r="V252">
        <v>42.992512193538225</v>
      </c>
      <c r="W252">
        <v>42.954483142261445</v>
      </c>
      <c r="X252">
        <v>42.959630200928537</v>
      </c>
      <c r="Y252">
        <v>42.992497739244335</v>
      </c>
      <c r="Z252">
        <v>42.964112252601851</v>
      </c>
      <c r="AA252">
        <v>42.894494943716929</v>
      </c>
      <c r="AB252" t="s">
        <v>73</v>
      </c>
    </row>
    <row r="253" spans="1:28" x14ac:dyDescent="0.3">
      <c r="A253" t="s">
        <v>558</v>
      </c>
      <c r="B253" s="5" t="s">
        <v>559</v>
      </c>
      <c r="C253" t="s">
        <v>527</v>
      </c>
      <c r="D253" s="5" t="s">
        <v>528</v>
      </c>
      <c r="E253">
        <v>26.241054782650334</v>
      </c>
      <c r="F253">
        <v>26.272286822432402</v>
      </c>
      <c r="G253">
        <v>26.211762374690831</v>
      </c>
      <c r="H253">
        <v>26.203763506227311</v>
      </c>
      <c r="I253">
        <v>26.195764637763794</v>
      </c>
      <c r="J253">
        <v>26.187765769300277</v>
      </c>
      <c r="K253">
        <v>26.128629307280338</v>
      </c>
      <c r="L253">
        <v>26.085468516343397</v>
      </c>
      <c r="M253">
        <v>26.074544869934762</v>
      </c>
      <c r="N253">
        <v>26.042744617917762</v>
      </c>
      <c r="O253">
        <v>26.010944365900766</v>
      </c>
      <c r="P253">
        <v>25.97890671616906</v>
      </c>
      <c r="Q253">
        <v>26.122151972741882</v>
      </c>
      <c r="R253">
        <v>26.156205730847081</v>
      </c>
      <c r="S253">
        <v>26.190259488952286</v>
      </c>
      <c r="T253">
        <v>26.224368455828344</v>
      </c>
      <c r="U253">
        <v>26.258090961308369</v>
      </c>
      <c r="V253">
        <v>26.278154816876928</v>
      </c>
      <c r="W253">
        <v>26.216440410081916</v>
      </c>
      <c r="X253">
        <v>26.142414441863618</v>
      </c>
      <c r="Y253">
        <v>26.048016442717806</v>
      </c>
      <c r="Z253">
        <v>26.234332466890653</v>
      </c>
      <c r="AA253">
        <v>26.175599924487798</v>
      </c>
      <c r="AB253" t="s">
        <v>73</v>
      </c>
    </row>
    <row r="254" spans="1:28" x14ac:dyDescent="0.3">
      <c r="A254" t="s">
        <v>558</v>
      </c>
      <c r="B254" s="5" t="s">
        <v>559</v>
      </c>
      <c r="C254" t="s">
        <v>529</v>
      </c>
      <c r="D254" s="5" t="s">
        <v>530</v>
      </c>
      <c r="E254" t="s">
        <v>73</v>
      </c>
      <c r="F254" t="s">
        <v>73</v>
      </c>
      <c r="G254" t="s">
        <v>73</v>
      </c>
      <c r="H254" t="s">
        <v>73</v>
      </c>
      <c r="I254" t="s">
        <v>73</v>
      </c>
      <c r="J254" t="s">
        <v>73</v>
      </c>
      <c r="K254" t="s">
        <v>73</v>
      </c>
      <c r="L254" t="s">
        <v>73</v>
      </c>
      <c r="M254" t="s">
        <v>73</v>
      </c>
      <c r="N254" t="s">
        <v>73</v>
      </c>
      <c r="O254" t="s">
        <v>73</v>
      </c>
      <c r="P254" t="s">
        <v>73</v>
      </c>
      <c r="Q254" t="s">
        <v>73</v>
      </c>
      <c r="R254" t="s">
        <v>73</v>
      </c>
      <c r="S254" t="s">
        <v>73</v>
      </c>
      <c r="T254" t="s">
        <v>73</v>
      </c>
      <c r="U254" t="s">
        <v>73</v>
      </c>
      <c r="V254" t="s">
        <v>73</v>
      </c>
      <c r="W254" t="s">
        <v>73</v>
      </c>
      <c r="X254" t="s">
        <v>73</v>
      </c>
      <c r="Y254" t="s">
        <v>73</v>
      </c>
      <c r="Z254" t="s">
        <v>73</v>
      </c>
      <c r="AA254" t="s">
        <v>73</v>
      </c>
      <c r="AB254" t="s">
        <v>73</v>
      </c>
    </row>
    <row r="255" spans="1:28" x14ac:dyDescent="0.3">
      <c r="A255" t="s">
        <v>558</v>
      </c>
      <c r="B255" s="5" t="s">
        <v>559</v>
      </c>
      <c r="C255" t="s">
        <v>531</v>
      </c>
      <c r="D255" s="5" t="s">
        <v>532</v>
      </c>
      <c r="E255">
        <v>37.799424299984949</v>
      </c>
      <c r="F255">
        <v>37.690051806477491</v>
      </c>
      <c r="G255">
        <v>37.358395864136192</v>
      </c>
      <c r="H255">
        <v>37.07773260884268</v>
      </c>
      <c r="I255">
        <v>35.847045985238545</v>
      </c>
      <c r="J255">
        <v>36.265424751173526</v>
      </c>
      <c r="K255">
        <v>36.147017401507298</v>
      </c>
      <c r="L255">
        <v>35.74860751275542</v>
      </c>
      <c r="M255">
        <v>35.400338866539897</v>
      </c>
      <c r="N255">
        <v>35.170585412543957</v>
      </c>
      <c r="O255">
        <v>34.83025846762483</v>
      </c>
      <c r="P255">
        <v>35.277390968078791</v>
      </c>
      <c r="Q255">
        <v>35.067633736964218</v>
      </c>
      <c r="R255">
        <v>34.655609426350281</v>
      </c>
      <c r="S255">
        <v>34.675206509750431</v>
      </c>
      <c r="T255">
        <v>33.915993372169041</v>
      </c>
      <c r="U255">
        <v>33.724955404368067</v>
      </c>
      <c r="V255">
        <v>34.472251230625595</v>
      </c>
      <c r="W255">
        <v>34.038769221663713</v>
      </c>
      <c r="X255">
        <v>34.105969206573008</v>
      </c>
      <c r="Y255">
        <v>33.836792468697766</v>
      </c>
      <c r="Z255">
        <v>34.148350684938656</v>
      </c>
      <c r="AA255">
        <v>34.048573717882078</v>
      </c>
      <c r="AB255" t="s">
        <v>73</v>
      </c>
    </row>
    <row r="256" spans="1:28" x14ac:dyDescent="0.3">
      <c r="A256" t="s">
        <v>558</v>
      </c>
      <c r="B256" s="5" t="s">
        <v>559</v>
      </c>
      <c r="C256" t="s">
        <v>533</v>
      </c>
      <c r="D256" s="5" t="s">
        <v>534</v>
      </c>
      <c r="E256">
        <v>27.183558906418632</v>
      </c>
      <c r="F256">
        <v>27.153431647350899</v>
      </c>
      <c r="G256">
        <v>26.500547248313445</v>
      </c>
      <c r="H256">
        <v>27.048176919468691</v>
      </c>
      <c r="I256">
        <v>26.999900206495788</v>
      </c>
      <c r="J256">
        <v>27.473535530325712</v>
      </c>
      <c r="K256">
        <v>27.94538446939282</v>
      </c>
      <c r="L256">
        <v>27.884067915383156</v>
      </c>
      <c r="M256">
        <v>27.603763668481832</v>
      </c>
      <c r="N256">
        <v>27.747200607325869</v>
      </c>
      <c r="O256">
        <v>27.73724871162241</v>
      </c>
      <c r="P256">
        <v>27.736781588217042</v>
      </c>
      <c r="Q256">
        <v>27.764048840137978</v>
      </c>
      <c r="R256">
        <v>26.598383842056464</v>
      </c>
      <c r="S256">
        <v>26.678713618266766</v>
      </c>
      <c r="T256">
        <v>26.807351791590161</v>
      </c>
      <c r="U256">
        <v>26.841293962815655</v>
      </c>
      <c r="V256">
        <v>26.850245314242805</v>
      </c>
      <c r="W256">
        <v>26.841374155202644</v>
      </c>
      <c r="X256">
        <v>26.811843531525767</v>
      </c>
      <c r="Y256">
        <v>26.780866294676958</v>
      </c>
      <c r="Z256">
        <v>26.699800304090676</v>
      </c>
      <c r="AA256">
        <v>26.683964961549375</v>
      </c>
      <c r="AB256" t="s">
        <v>73</v>
      </c>
    </row>
    <row r="257" spans="1:28" x14ac:dyDescent="0.3">
      <c r="A257" t="s">
        <v>558</v>
      </c>
      <c r="B257" s="5" t="s">
        <v>559</v>
      </c>
      <c r="C257" t="s">
        <v>535</v>
      </c>
      <c r="D257" s="5" t="s">
        <v>536</v>
      </c>
      <c r="E257">
        <v>11.767912772585669</v>
      </c>
      <c r="F257">
        <v>11.719626168224298</v>
      </c>
      <c r="G257">
        <v>11.660436137071651</v>
      </c>
      <c r="H257">
        <v>11.632398753894082</v>
      </c>
      <c r="I257">
        <v>11.542056074766355</v>
      </c>
      <c r="J257">
        <v>11.576323987538942</v>
      </c>
      <c r="K257">
        <v>11.566978193146417</v>
      </c>
      <c r="L257">
        <v>11.498442367601246</v>
      </c>
      <c r="M257">
        <v>11.431464174454829</v>
      </c>
      <c r="N257">
        <v>11.366043613707165</v>
      </c>
      <c r="O257">
        <v>11.551401869158878</v>
      </c>
      <c r="P257">
        <v>11.688473520249222</v>
      </c>
      <c r="Q257">
        <v>11.809968847352025</v>
      </c>
      <c r="R257">
        <v>11.892523364485982</v>
      </c>
      <c r="S257">
        <v>12.021806853582554</v>
      </c>
      <c r="T257">
        <v>12.176323987538941</v>
      </c>
      <c r="U257">
        <v>12.074922118380062</v>
      </c>
      <c r="V257">
        <v>12.014029618082619</v>
      </c>
      <c r="W257">
        <v>11.896648480124707</v>
      </c>
      <c r="X257">
        <v>11.795946999220577</v>
      </c>
      <c r="Y257">
        <v>11.777240841777084</v>
      </c>
      <c r="Z257">
        <v>11.777240841777084</v>
      </c>
      <c r="AA257">
        <v>11.777240841777084</v>
      </c>
      <c r="AB257" t="s">
        <v>73</v>
      </c>
    </row>
    <row r="258" spans="1:28" x14ac:dyDescent="0.3">
      <c r="A258" t="s">
        <v>558</v>
      </c>
      <c r="B258" s="5" t="s">
        <v>559</v>
      </c>
      <c r="C258" t="s">
        <v>537</v>
      </c>
      <c r="D258" s="5" t="s">
        <v>538</v>
      </c>
      <c r="E258">
        <v>37.301270721729196</v>
      </c>
      <c r="F258">
        <v>37.27802967041373</v>
      </c>
      <c r="G258">
        <v>36.91712162363492</v>
      </c>
      <c r="H258">
        <v>36.62596837719996</v>
      </c>
      <c r="I258">
        <v>35.189329063495741</v>
      </c>
      <c r="J258">
        <v>35.666778294582379</v>
      </c>
      <c r="K258">
        <v>35.563761397960242</v>
      </c>
      <c r="L258">
        <v>35.143590103535232</v>
      </c>
      <c r="M258">
        <v>34.858249057872229</v>
      </c>
      <c r="N258">
        <v>34.633535193957336</v>
      </c>
      <c r="O258">
        <v>34.324187551614429</v>
      </c>
      <c r="P258">
        <v>34.893396564519499</v>
      </c>
      <c r="Q258">
        <v>34.667219471985291</v>
      </c>
      <c r="R258">
        <v>34.188594678720634</v>
      </c>
      <c r="S258">
        <v>34.234487654896114</v>
      </c>
      <c r="T258">
        <v>33.389550282866978</v>
      </c>
      <c r="U258">
        <v>33.200744550259905</v>
      </c>
      <c r="V258">
        <v>34.147987797995654</v>
      </c>
      <c r="W258">
        <v>33.661332230153612</v>
      </c>
      <c r="X258">
        <v>33.757504102813279</v>
      </c>
      <c r="Y258">
        <v>33.426590559544621</v>
      </c>
      <c r="Z258">
        <v>33.823994838408673</v>
      </c>
      <c r="AA258">
        <v>33.783714703063147</v>
      </c>
      <c r="AB258" t="s">
        <v>73</v>
      </c>
    </row>
    <row r="259" spans="1:28" x14ac:dyDescent="0.3">
      <c r="A259" t="s">
        <v>558</v>
      </c>
      <c r="B259" s="5" t="s">
        <v>559</v>
      </c>
      <c r="C259" t="s">
        <v>539</v>
      </c>
      <c r="D259" s="5" t="s">
        <v>540</v>
      </c>
      <c r="E259">
        <v>37.606601715779469</v>
      </c>
      <c r="F259">
        <v>37.738040769084066</v>
      </c>
      <c r="G259">
        <v>37.846411650937064</v>
      </c>
      <c r="H259">
        <v>38.044016201242641</v>
      </c>
      <c r="I259">
        <v>38.069512710040136</v>
      </c>
      <c r="J259">
        <v>38.463118498810424</v>
      </c>
      <c r="K259">
        <v>38.568947680566943</v>
      </c>
      <c r="L259">
        <v>38.729917687987196</v>
      </c>
      <c r="M259">
        <v>38.858094475128368</v>
      </c>
      <c r="N259">
        <v>39.079170191213578</v>
      </c>
      <c r="O259">
        <v>39.324919578633803</v>
      </c>
      <c r="P259">
        <v>39.57019007176838</v>
      </c>
      <c r="Q259">
        <v>41.823551703576271</v>
      </c>
      <c r="R259">
        <v>42.041698499302754</v>
      </c>
      <c r="S259">
        <v>42.216533727086649</v>
      </c>
      <c r="T259">
        <v>42.396786373783577</v>
      </c>
      <c r="U259">
        <v>42.503396270396465</v>
      </c>
      <c r="V259">
        <v>42.652552622099357</v>
      </c>
      <c r="W259">
        <v>42.869706533442553</v>
      </c>
      <c r="X259">
        <v>42.955827989255155</v>
      </c>
      <c r="Y259">
        <v>43.048751526999126</v>
      </c>
      <c r="Z259">
        <v>43.19167968503011</v>
      </c>
      <c r="AA259">
        <v>43.255022246478291</v>
      </c>
      <c r="AB259" t="s">
        <v>73</v>
      </c>
    </row>
    <row r="260" spans="1:28" x14ac:dyDescent="0.3">
      <c r="A260" t="s">
        <v>558</v>
      </c>
      <c r="B260" s="5" t="s">
        <v>559</v>
      </c>
      <c r="C260" t="s">
        <v>541</v>
      </c>
      <c r="D260" s="5" t="s">
        <v>542</v>
      </c>
      <c r="E260">
        <v>12.856037754179567</v>
      </c>
      <c r="F260">
        <v>12.835852323380552</v>
      </c>
      <c r="G260">
        <v>12.580477945878123</v>
      </c>
      <c r="H260">
        <v>12.785274117568139</v>
      </c>
      <c r="I260">
        <v>12.71491852073542</v>
      </c>
      <c r="J260">
        <v>12.874661633642447</v>
      </c>
      <c r="K260">
        <v>13.314785063397801</v>
      </c>
      <c r="L260">
        <v>13.282085878430077</v>
      </c>
      <c r="M260">
        <v>13.173115742721944</v>
      </c>
      <c r="N260">
        <v>13.24112027434847</v>
      </c>
      <c r="O260">
        <v>13.256422379865144</v>
      </c>
      <c r="P260">
        <v>13.270260309253127</v>
      </c>
      <c r="Q260">
        <v>13.281757797974898</v>
      </c>
      <c r="R260">
        <v>12.888463539782803</v>
      </c>
      <c r="S260">
        <v>12.935759918763029</v>
      </c>
      <c r="T260">
        <v>13.007734290031316</v>
      </c>
      <c r="U260">
        <v>13.01071453147734</v>
      </c>
      <c r="V260">
        <v>12.993941911532042</v>
      </c>
      <c r="W260">
        <v>12.991247195736429</v>
      </c>
      <c r="X260">
        <v>12.974193813328148</v>
      </c>
      <c r="Y260">
        <v>12.963732525468799</v>
      </c>
      <c r="Z260">
        <v>12.934873215961792</v>
      </c>
      <c r="AA260">
        <v>12.920463300026963</v>
      </c>
      <c r="AB260" t="s">
        <v>73</v>
      </c>
    </row>
    <row r="261" spans="1:28" x14ac:dyDescent="0.3">
      <c r="A261" t="s">
        <v>558</v>
      </c>
      <c r="B261" s="5" t="s">
        <v>559</v>
      </c>
      <c r="C261" t="s">
        <v>543</v>
      </c>
      <c r="D261" s="5" t="s">
        <v>544</v>
      </c>
      <c r="E261">
        <v>58.981913826458715</v>
      </c>
      <c r="F261">
        <v>58.840968258138481</v>
      </c>
      <c r="G261">
        <v>58.844849411258927</v>
      </c>
      <c r="H261">
        <v>58.745432181327473</v>
      </c>
      <c r="I261">
        <v>58.790496669939429</v>
      </c>
      <c r="J261">
        <v>58.769587647188317</v>
      </c>
      <c r="K261">
        <v>58.663250331482686</v>
      </c>
      <c r="L261">
        <v>58.548848107001625</v>
      </c>
      <c r="M261">
        <v>58.630482905828444</v>
      </c>
      <c r="N261">
        <v>58.721795595185789</v>
      </c>
      <c r="O261">
        <v>58.571220761345309</v>
      </c>
      <c r="P261">
        <v>58.599358331961795</v>
      </c>
      <c r="Q261">
        <v>58.579806991797994</v>
      </c>
      <c r="R261">
        <v>58.583554725035903</v>
      </c>
      <c r="S261">
        <v>58.586130895859021</v>
      </c>
      <c r="T261">
        <v>58.59477589019486</v>
      </c>
      <c r="U261">
        <v>58.565917986810462</v>
      </c>
      <c r="V261">
        <v>58.454633084028991</v>
      </c>
      <c r="W261">
        <v>58.414900594978079</v>
      </c>
      <c r="X261">
        <v>58.443457969274945</v>
      </c>
      <c r="Y261">
        <v>58.285447608462476</v>
      </c>
      <c r="Z261">
        <v>58.269528863074811</v>
      </c>
      <c r="AA261">
        <v>58.259902510001467</v>
      </c>
      <c r="AB261" t="s">
        <v>73</v>
      </c>
    </row>
    <row r="262" spans="1:28" x14ac:dyDescent="0.3">
      <c r="A262" t="s">
        <v>558</v>
      </c>
      <c r="B262" s="5" t="s">
        <v>559</v>
      </c>
      <c r="C262" t="s">
        <v>545</v>
      </c>
      <c r="D262" s="5" t="s">
        <v>546</v>
      </c>
      <c r="E262">
        <v>58.981913826458715</v>
      </c>
      <c r="F262">
        <v>58.840968258138481</v>
      </c>
      <c r="G262">
        <v>58.844849411258927</v>
      </c>
      <c r="H262">
        <v>58.745432181327473</v>
      </c>
      <c r="I262">
        <v>58.790496669939429</v>
      </c>
      <c r="J262">
        <v>58.769587647188317</v>
      </c>
      <c r="K262">
        <v>58.663250331482686</v>
      </c>
      <c r="L262">
        <v>58.548848107001625</v>
      </c>
      <c r="M262">
        <v>58.630482905828444</v>
      </c>
      <c r="N262">
        <v>58.721795595185789</v>
      </c>
      <c r="O262">
        <v>58.571220761345309</v>
      </c>
      <c r="P262">
        <v>58.599358331961795</v>
      </c>
      <c r="Q262">
        <v>58.579806991797994</v>
      </c>
      <c r="R262">
        <v>58.583554725035903</v>
      </c>
      <c r="S262">
        <v>58.586130895859021</v>
      </c>
      <c r="T262">
        <v>58.59477589019486</v>
      </c>
      <c r="U262">
        <v>58.565917986810462</v>
      </c>
      <c r="V262">
        <v>58.454633084028991</v>
      </c>
      <c r="W262">
        <v>58.414900594978079</v>
      </c>
      <c r="X262">
        <v>58.443457969274945</v>
      </c>
      <c r="Y262">
        <v>58.285447608462476</v>
      </c>
      <c r="Z262">
        <v>58.269528863074811</v>
      </c>
      <c r="AA262">
        <v>58.259902510001467</v>
      </c>
      <c r="AB262" t="s">
        <v>73</v>
      </c>
    </row>
    <row r="263" spans="1:28" x14ac:dyDescent="0.3">
      <c r="A263" t="s">
        <v>558</v>
      </c>
      <c r="B263" s="5" t="s">
        <v>559</v>
      </c>
      <c r="C263" t="s">
        <v>547</v>
      </c>
      <c r="D263" s="5" t="s">
        <v>548</v>
      </c>
      <c r="E263">
        <v>40.082371319279417</v>
      </c>
      <c r="F263">
        <v>40.195394176398338</v>
      </c>
      <c r="G263">
        <v>40.293400046164585</v>
      </c>
      <c r="H263">
        <v>40.486761888616428</v>
      </c>
      <c r="I263">
        <v>40.299678855220321</v>
      </c>
      <c r="J263">
        <v>40.65435277736826</v>
      </c>
      <c r="K263">
        <v>40.741725046978083</v>
      </c>
      <c r="L263">
        <v>40.923428333360761</v>
      </c>
      <c r="M263">
        <v>41.054390684084289</v>
      </c>
      <c r="N263">
        <v>41.274549832741677</v>
      </c>
      <c r="O263">
        <v>41.486844577952361</v>
      </c>
      <c r="P263">
        <v>41.690545227742014</v>
      </c>
      <c r="Q263">
        <v>43.382131981620077</v>
      </c>
      <c r="R263">
        <v>43.558088224173027</v>
      </c>
      <c r="S263">
        <v>43.684570219780689</v>
      </c>
      <c r="T263">
        <v>43.840108806679709</v>
      </c>
      <c r="U263">
        <v>43.942307851754506</v>
      </c>
      <c r="V263">
        <v>44.061297370518894</v>
      </c>
      <c r="W263">
        <v>44.262401640009003</v>
      </c>
      <c r="X263">
        <v>44.347964795167947</v>
      </c>
      <c r="Y263">
        <v>44.436365661347985</v>
      </c>
      <c r="Z263">
        <v>44.565713201505176</v>
      </c>
      <c r="AA263">
        <v>44.607025551357893</v>
      </c>
      <c r="AB263" t="s">
        <v>73</v>
      </c>
    </row>
    <row r="264" spans="1:28" x14ac:dyDescent="0.3">
      <c r="A264" t="s">
        <v>558</v>
      </c>
      <c r="B264" s="5" t="s">
        <v>559</v>
      </c>
      <c r="C264" t="s">
        <v>549</v>
      </c>
      <c r="D264" s="5" t="s">
        <v>550</v>
      </c>
      <c r="E264">
        <v>40.554820398330484</v>
      </c>
      <c r="F264">
        <v>40.672194579389654</v>
      </c>
      <c r="G264">
        <v>40.778058336348266</v>
      </c>
      <c r="H264">
        <v>40.926187614591441</v>
      </c>
      <c r="I264">
        <v>40.911479824740631</v>
      </c>
      <c r="J264">
        <v>41.261737503831185</v>
      </c>
      <c r="K264">
        <v>41.323010651728893</v>
      </c>
      <c r="L264">
        <v>41.472577081731913</v>
      </c>
      <c r="M264">
        <v>41.638546236272298</v>
      </c>
      <c r="N264">
        <v>41.847723534186251</v>
      </c>
      <c r="O264">
        <v>42.037367498578412</v>
      </c>
      <c r="P264">
        <v>42.220770001055598</v>
      </c>
      <c r="Q264">
        <v>43.930889644561056</v>
      </c>
      <c r="R264">
        <v>44.102647884394614</v>
      </c>
      <c r="S264">
        <v>44.22771676121846</v>
      </c>
      <c r="T264">
        <v>44.380012359498259</v>
      </c>
      <c r="U264">
        <v>44.480292277483542</v>
      </c>
      <c r="V264">
        <v>44.597462418784289</v>
      </c>
      <c r="W264">
        <v>44.792614914987134</v>
      </c>
      <c r="X264">
        <v>44.86983192642959</v>
      </c>
      <c r="Y264">
        <v>44.950050313903098</v>
      </c>
      <c r="Z264">
        <v>45.072886730183392</v>
      </c>
      <c r="AA264">
        <v>45.130017268259991</v>
      </c>
      <c r="AB264" t="s">
        <v>73</v>
      </c>
    </row>
    <row r="265" spans="1:28" x14ac:dyDescent="0.3">
      <c r="A265" t="s">
        <v>558</v>
      </c>
      <c r="B265" s="5" t="s">
        <v>559</v>
      </c>
      <c r="C265" t="s">
        <v>551</v>
      </c>
      <c r="D265" s="5" t="s">
        <v>552</v>
      </c>
      <c r="E265">
        <v>40.082371319279424</v>
      </c>
      <c r="F265">
        <v>40.195394176398338</v>
      </c>
      <c r="G265">
        <v>40.293400046164585</v>
      </c>
      <c r="H265">
        <v>40.486761888616428</v>
      </c>
      <c r="I265">
        <v>40.299678855220321</v>
      </c>
      <c r="J265">
        <v>40.65435277736826</v>
      </c>
      <c r="K265">
        <v>40.741725046978083</v>
      </c>
      <c r="L265">
        <v>40.923428333360761</v>
      </c>
      <c r="M265">
        <v>41.054390684084289</v>
      </c>
      <c r="N265">
        <v>41.274549832741677</v>
      </c>
      <c r="O265">
        <v>41.486844577952368</v>
      </c>
      <c r="P265">
        <v>41.690545227742007</v>
      </c>
      <c r="Q265">
        <v>43.382131981620077</v>
      </c>
      <c r="R265">
        <v>43.558088224173027</v>
      </c>
      <c r="S265">
        <v>43.684570219780682</v>
      </c>
      <c r="T265">
        <v>43.840108806679709</v>
      </c>
      <c r="U265">
        <v>43.942307851754514</v>
      </c>
      <c r="V265">
        <v>44.061297370518894</v>
      </c>
      <c r="W265">
        <v>44.262401640009003</v>
      </c>
      <c r="X265">
        <v>44.347964795167961</v>
      </c>
      <c r="Y265">
        <v>44.436365661347992</v>
      </c>
      <c r="Z265">
        <v>44.565713201505169</v>
      </c>
      <c r="AA265">
        <v>44.6070255513579</v>
      </c>
      <c r="AB265" t="s">
        <v>73</v>
      </c>
    </row>
    <row r="266" spans="1:28" x14ac:dyDescent="0.3">
      <c r="A266" t="s">
        <v>558</v>
      </c>
      <c r="B266" s="5" t="s">
        <v>559</v>
      </c>
      <c r="C266" t="s">
        <v>553</v>
      </c>
      <c r="D266" s="5" t="s">
        <v>554</v>
      </c>
      <c r="E266">
        <v>43.830543107846502</v>
      </c>
      <c r="F266">
        <v>43.801898539314678</v>
      </c>
      <c r="G266">
        <v>43.819333896540883</v>
      </c>
      <c r="H266">
        <v>43.471398028336374</v>
      </c>
      <c r="I266">
        <v>43.524789770397696</v>
      </c>
      <c r="J266">
        <v>43.157454446430002</v>
      </c>
      <c r="K266">
        <v>43.168079553155778</v>
      </c>
      <c r="L266">
        <v>43.203205889470532</v>
      </c>
      <c r="M266">
        <v>43.03458098493585</v>
      </c>
      <c r="N266">
        <v>42.981684641778443</v>
      </c>
      <c r="O266">
        <v>43.154743556289397</v>
      </c>
      <c r="P266">
        <v>43.095273111077951</v>
      </c>
      <c r="Q266">
        <v>43.093456012112533</v>
      </c>
      <c r="R266">
        <v>43.094722373610061</v>
      </c>
      <c r="S266">
        <v>42.989098516646614</v>
      </c>
      <c r="T266">
        <v>43.001831618584568</v>
      </c>
      <c r="U266">
        <v>42.939407602086305</v>
      </c>
      <c r="V266">
        <v>42.921322787284439</v>
      </c>
      <c r="W266">
        <v>42.811382100245368</v>
      </c>
      <c r="X266">
        <v>42.825272636610997</v>
      </c>
      <c r="Y266">
        <v>42.824940829391515</v>
      </c>
      <c r="Z266">
        <v>42.753586942441068</v>
      </c>
      <c r="AA266">
        <v>42.644743424746707</v>
      </c>
      <c r="AB266" t="s">
        <v>73</v>
      </c>
    </row>
    <row r="267" spans="1:28" x14ac:dyDescent="0.3">
      <c r="A267" t="s">
        <v>558</v>
      </c>
      <c r="B267" s="5" t="s">
        <v>559</v>
      </c>
      <c r="C267" t="s">
        <v>555</v>
      </c>
      <c r="D267" s="5" t="s">
        <v>556</v>
      </c>
      <c r="E267">
        <v>37.172937449235086</v>
      </c>
      <c r="F267">
        <v>37.173381709555734</v>
      </c>
      <c r="G267">
        <v>37.102869652634091</v>
      </c>
      <c r="H267">
        <v>36.936968255647535</v>
      </c>
      <c r="I267">
        <v>36.567320540257263</v>
      </c>
      <c r="J267">
        <v>36.618958136003208</v>
      </c>
      <c r="K267">
        <v>36.623943953265723</v>
      </c>
      <c r="L267">
        <v>36.555407006227533</v>
      </c>
      <c r="M267">
        <v>36.45258055737149</v>
      </c>
      <c r="N267">
        <v>36.418233451628844</v>
      </c>
      <c r="O267">
        <v>36.423676670256754</v>
      </c>
      <c r="P267">
        <v>36.588911590640699</v>
      </c>
      <c r="Q267">
        <v>36.939192789546595</v>
      </c>
      <c r="R267">
        <v>36.858949989958468</v>
      </c>
      <c r="S267">
        <v>36.855929059586707</v>
      </c>
      <c r="T267">
        <v>36.694967329044601</v>
      </c>
      <c r="U267">
        <v>36.649462408638357</v>
      </c>
      <c r="V267">
        <v>36.894599420939095</v>
      </c>
      <c r="W267">
        <v>36.772749472368453</v>
      </c>
      <c r="X267">
        <v>36.807538423827623</v>
      </c>
      <c r="Y267">
        <v>36.745582267796699</v>
      </c>
      <c r="Z267">
        <v>36.838077992353078</v>
      </c>
      <c r="AA267">
        <v>36.883592773076629</v>
      </c>
      <c r="AB267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CC38-7DC9-48F4-A0F6-22F98E72AADF}">
  <dimension ref="A1:AD267"/>
  <sheetViews>
    <sheetView zoomScale="75" workbookViewId="0">
      <selection activeCell="J93" sqref="J93"/>
    </sheetView>
  </sheetViews>
  <sheetFormatPr defaultRowHeight="14.4" x14ac:dyDescent="0.3"/>
  <cols>
    <col min="1" max="1" width="23.44140625" bestFit="1" customWidth="1"/>
    <col min="3" max="3" width="60.109375" bestFit="1" customWidth="1"/>
    <col min="4" max="4" width="11.77734375" bestFit="1" customWidth="1"/>
  </cols>
  <sheetData>
    <row r="1" spans="1:30" x14ac:dyDescent="0.3">
      <c r="A1" t="s">
        <v>59</v>
      </c>
      <c r="B1" s="5" t="s">
        <v>60</v>
      </c>
      <c r="C1" t="s">
        <v>61</v>
      </c>
      <c r="D1" s="5" t="s">
        <v>62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</row>
    <row r="2" spans="1:30" x14ac:dyDescent="0.3">
      <c r="A2" t="s">
        <v>560</v>
      </c>
      <c r="B2" s="5" t="s">
        <v>561</v>
      </c>
      <c r="C2" t="s">
        <v>65</v>
      </c>
      <c r="D2" s="5" t="s">
        <v>66</v>
      </c>
      <c r="E2">
        <v>806.3</v>
      </c>
      <c r="F2">
        <v>1006.7</v>
      </c>
      <c r="G2">
        <v>1669.8</v>
      </c>
      <c r="H2">
        <v>1458</v>
      </c>
      <c r="I2">
        <v>1334.8</v>
      </c>
      <c r="J2">
        <v>1790.4</v>
      </c>
      <c r="K2">
        <v>1551.7</v>
      </c>
      <c r="L2">
        <v>1915.3</v>
      </c>
      <c r="M2">
        <v>1455.4</v>
      </c>
      <c r="N2">
        <v>2040.7</v>
      </c>
      <c r="O2">
        <v>2011.1</v>
      </c>
      <c r="P2">
        <v>1659.9</v>
      </c>
      <c r="Q2">
        <v>2094.1999999999998</v>
      </c>
      <c r="R2">
        <v>2127.6999999999998</v>
      </c>
      <c r="S2">
        <v>2096.6</v>
      </c>
      <c r="T2">
        <v>2206.4</v>
      </c>
      <c r="U2">
        <v>2043.3</v>
      </c>
      <c r="V2">
        <v>2091.4</v>
      </c>
      <c r="W2">
        <v>2253.1999999999998</v>
      </c>
      <c r="X2">
        <v>2184.6999999999998</v>
      </c>
      <c r="Y2">
        <v>2050.8000000000002</v>
      </c>
      <c r="Z2">
        <v>2099.1</v>
      </c>
      <c r="AA2">
        <v>2193.4</v>
      </c>
      <c r="AB2">
        <v>2295.4</v>
      </c>
      <c r="AC2" t="s">
        <v>73</v>
      </c>
      <c r="AD2" t="s">
        <v>73</v>
      </c>
    </row>
    <row r="3" spans="1:30" x14ac:dyDescent="0.3">
      <c r="A3" t="s">
        <v>560</v>
      </c>
      <c r="B3" s="5" t="s">
        <v>561</v>
      </c>
      <c r="C3" t="s">
        <v>67</v>
      </c>
      <c r="D3" s="5" t="s">
        <v>68</v>
      </c>
      <c r="E3">
        <v>3175.1</v>
      </c>
      <c r="F3">
        <v>3030.8</v>
      </c>
      <c r="G3">
        <v>3291.9</v>
      </c>
      <c r="H3">
        <v>3185.7</v>
      </c>
      <c r="I3">
        <v>3466.3</v>
      </c>
      <c r="J3">
        <v>3462.1</v>
      </c>
      <c r="K3">
        <v>3602.6</v>
      </c>
      <c r="L3">
        <v>3728.4</v>
      </c>
      <c r="M3">
        <v>4081.2</v>
      </c>
      <c r="N3">
        <v>4315.3</v>
      </c>
      <c r="O3">
        <v>4761.8</v>
      </c>
      <c r="P3">
        <v>4750.7</v>
      </c>
      <c r="Q3">
        <v>4883.8</v>
      </c>
      <c r="R3">
        <v>4949.8</v>
      </c>
      <c r="S3">
        <v>4892.6000000000004</v>
      </c>
      <c r="T3">
        <v>4873.8</v>
      </c>
      <c r="U3">
        <v>4716.3999999999996</v>
      </c>
      <c r="V3">
        <v>4813</v>
      </c>
      <c r="W3">
        <v>4840.5</v>
      </c>
      <c r="X3">
        <v>5038.2</v>
      </c>
      <c r="Y3">
        <v>5209.2</v>
      </c>
      <c r="Z3">
        <v>5144.7</v>
      </c>
      <c r="AA3">
        <v>5200.7</v>
      </c>
      <c r="AB3">
        <v>5169.8999999999996</v>
      </c>
      <c r="AC3" t="s">
        <v>73</v>
      </c>
      <c r="AD3" t="s">
        <v>73</v>
      </c>
    </row>
    <row r="4" spans="1:30" x14ac:dyDescent="0.3">
      <c r="A4" t="s">
        <v>560</v>
      </c>
      <c r="B4" s="5" t="s">
        <v>561</v>
      </c>
      <c r="C4" t="s">
        <v>69</v>
      </c>
      <c r="D4" s="5" t="s">
        <v>70</v>
      </c>
      <c r="E4">
        <v>883.3</v>
      </c>
      <c r="F4">
        <v>1106.9000000000001</v>
      </c>
      <c r="G4">
        <v>1058.5999999999999</v>
      </c>
      <c r="H4">
        <v>1470.3</v>
      </c>
      <c r="I4">
        <v>1344.1</v>
      </c>
      <c r="J4">
        <v>1500.8</v>
      </c>
      <c r="K4">
        <v>1503.7</v>
      </c>
      <c r="L4">
        <v>1253.5</v>
      </c>
      <c r="M4">
        <v>1034</v>
      </c>
      <c r="N4">
        <v>1653.9</v>
      </c>
      <c r="O4">
        <v>1474.3</v>
      </c>
      <c r="P4">
        <v>1643.3</v>
      </c>
      <c r="Q4">
        <v>1677.6</v>
      </c>
      <c r="R4">
        <v>1813.1</v>
      </c>
      <c r="S4">
        <v>1369.2</v>
      </c>
      <c r="T4">
        <v>1400.2</v>
      </c>
      <c r="U4">
        <v>1020.4</v>
      </c>
      <c r="V4">
        <v>990.3</v>
      </c>
      <c r="W4">
        <v>1952</v>
      </c>
      <c r="X4">
        <v>1767.4</v>
      </c>
      <c r="Y4">
        <v>1520.4</v>
      </c>
      <c r="Z4">
        <v>1433.7</v>
      </c>
      <c r="AA4">
        <v>1408</v>
      </c>
      <c r="AB4">
        <v>1234.5999999999999</v>
      </c>
      <c r="AC4" t="s">
        <v>73</v>
      </c>
      <c r="AD4" t="s">
        <v>73</v>
      </c>
    </row>
    <row r="5" spans="1:30" x14ac:dyDescent="0.3">
      <c r="A5" t="s">
        <v>560</v>
      </c>
      <c r="B5" s="5" t="s">
        <v>561</v>
      </c>
      <c r="C5" t="s">
        <v>71</v>
      </c>
      <c r="D5" s="5" t="s">
        <v>72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</row>
    <row r="6" spans="1:30" x14ac:dyDescent="0.3">
      <c r="A6" t="s">
        <v>560</v>
      </c>
      <c r="B6" s="5" t="s">
        <v>561</v>
      </c>
      <c r="C6" t="s">
        <v>74</v>
      </c>
      <c r="D6" s="5" t="s">
        <v>75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</row>
    <row r="7" spans="1:30" x14ac:dyDescent="0.3">
      <c r="A7" t="s">
        <v>560</v>
      </c>
      <c r="B7" s="5" t="s">
        <v>561</v>
      </c>
      <c r="C7" t="s">
        <v>76</v>
      </c>
      <c r="D7" s="5" t="s">
        <v>77</v>
      </c>
      <c r="E7">
        <v>564.4</v>
      </c>
      <c r="F7">
        <v>585.4</v>
      </c>
      <c r="G7">
        <v>627.20000000000005</v>
      </c>
      <c r="H7">
        <v>646.1</v>
      </c>
      <c r="I7">
        <v>491.7</v>
      </c>
      <c r="J7">
        <v>583.4</v>
      </c>
      <c r="K7">
        <v>445.9</v>
      </c>
      <c r="L7">
        <v>464.3</v>
      </c>
      <c r="M7">
        <v>652.70000000000005</v>
      </c>
      <c r="N7">
        <v>571.4</v>
      </c>
      <c r="O7">
        <v>629.29999999999995</v>
      </c>
      <c r="P7">
        <v>662.4</v>
      </c>
      <c r="Q7">
        <v>552.6</v>
      </c>
      <c r="R7">
        <v>814.5</v>
      </c>
      <c r="S7">
        <v>888.6</v>
      </c>
      <c r="T7">
        <v>982.3</v>
      </c>
      <c r="U7">
        <v>852.3</v>
      </c>
      <c r="V7">
        <v>809.2</v>
      </c>
      <c r="W7">
        <v>948.3</v>
      </c>
      <c r="X7">
        <v>961.1</v>
      </c>
      <c r="Y7">
        <v>984.8</v>
      </c>
      <c r="Z7">
        <v>996.1</v>
      </c>
      <c r="AA7">
        <v>1033</v>
      </c>
      <c r="AB7">
        <v>1061.8</v>
      </c>
      <c r="AC7" t="s">
        <v>73</v>
      </c>
      <c r="AD7" t="s">
        <v>73</v>
      </c>
    </row>
    <row r="8" spans="1:30" x14ac:dyDescent="0.3">
      <c r="A8" t="s">
        <v>560</v>
      </c>
      <c r="B8" s="5" t="s">
        <v>561</v>
      </c>
      <c r="C8" t="s">
        <v>78</v>
      </c>
      <c r="D8" s="5" t="s">
        <v>79</v>
      </c>
      <c r="E8">
        <v>1600</v>
      </c>
      <c r="F8">
        <v>1614.9</v>
      </c>
      <c r="G8">
        <v>1562.5</v>
      </c>
      <c r="H8">
        <v>1571.4</v>
      </c>
      <c r="I8">
        <v>1578.9</v>
      </c>
      <c r="J8">
        <v>1597.4</v>
      </c>
      <c r="K8">
        <v>1625</v>
      </c>
      <c r="L8">
        <v>1601.4</v>
      </c>
      <c r="M8">
        <v>1619</v>
      </c>
      <c r="N8">
        <v>1590.2</v>
      </c>
      <c r="O8">
        <v>1585.9</v>
      </c>
      <c r="P8">
        <v>1597.4</v>
      </c>
      <c r="Q8">
        <v>1595.3</v>
      </c>
      <c r="R8">
        <v>1593.1</v>
      </c>
      <c r="S8">
        <v>1583</v>
      </c>
      <c r="T8">
        <v>1579.6</v>
      </c>
      <c r="U8">
        <v>1843.2</v>
      </c>
      <c r="V8">
        <v>2030.7</v>
      </c>
      <c r="W8">
        <v>2233.9</v>
      </c>
      <c r="X8">
        <v>1988.8</v>
      </c>
      <c r="Y8">
        <v>2064.5</v>
      </c>
      <c r="Z8">
        <v>2077.8000000000002</v>
      </c>
      <c r="AA8">
        <v>2040.8</v>
      </c>
      <c r="AB8">
        <v>2060.6</v>
      </c>
      <c r="AC8" t="s">
        <v>73</v>
      </c>
      <c r="AD8" t="s">
        <v>73</v>
      </c>
    </row>
    <row r="9" spans="1:30" x14ac:dyDescent="0.3">
      <c r="A9" t="s">
        <v>560</v>
      </c>
      <c r="B9" s="5" t="s">
        <v>561</v>
      </c>
      <c r="C9" t="s">
        <v>80</v>
      </c>
      <c r="D9" s="5" t="s">
        <v>81</v>
      </c>
      <c r="E9">
        <v>3461.8</v>
      </c>
      <c r="F9">
        <v>3398.6</v>
      </c>
      <c r="G9">
        <v>3275.7</v>
      </c>
      <c r="H9">
        <v>3308.7</v>
      </c>
      <c r="I9">
        <v>3658.8</v>
      </c>
      <c r="J9">
        <v>4075.8</v>
      </c>
      <c r="K9">
        <v>3707.6</v>
      </c>
      <c r="L9">
        <v>4294</v>
      </c>
      <c r="M9">
        <v>4116.5</v>
      </c>
      <c r="N9">
        <v>3249.3</v>
      </c>
      <c r="O9">
        <v>4876.2</v>
      </c>
      <c r="P9">
        <v>4596.3</v>
      </c>
      <c r="Q9">
        <v>4162.3999999999996</v>
      </c>
      <c r="R9">
        <v>4795.6000000000004</v>
      </c>
      <c r="S9">
        <v>4827.3</v>
      </c>
      <c r="T9">
        <v>4779.1000000000004</v>
      </c>
      <c r="U9">
        <v>5203.3999999999996</v>
      </c>
      <c r="V9">
        <v>5404.6</v>
      </c>
      <c r="W9">
        <v>4671.2</v>
      </c>
      <c r="X9">
        <v>5474.6</v>
      </c>
      <c r="Y9">
        <v>5164.3</v>
      </c>
      <c r="Z9">
        <v>5193</v>
      </c>
      <c r="AA9">
        <v>5070</v>
      </c>
      <c r="AB9">
        <v>3811.8</v>
      </c>
      <c r="AC9" t="s">
        <v>73</v>
      </c>
      <c r="AD9" t="s">
        <v>73</v>
      </c>
    </row>
    <row r="10" spans="1:30" x14ac:dyDescent="0.3">
      <c r="A10" t="s">
        <v>560</v>
      </c>
      <c r="B10" s="5" t="s">
        <v>561</v>
      </c>
      <c r="C10" t="s">
        <v>82</v>
      </c>
      <c r="D10" s="5" t="s">
        <v>83</v>
      </c>
      <c r="E10">
        <v>1383</v>
      </c>
      <c r="F10">
        <v>1878.7</v>
      </c>
      <c r="G10">
        <v>2204.6999999999998</v>
      </c>
      <c r="H10">
        <v>1567.1</v>
      </c>
      <c r="I10">
        <v>2280.8000000000002</v>
      </c>
      <c r="J10">
        <v>1938.7</v>
      </c>
      <c r="K10">
        <v>1323.9</v>
      </c>
      <c r="L10">
        <v>2592.6</v>
      </c>
      <c r="M10">
        <v>2405</v>
      </c>
      <c r="N10">
        <v>2250.3000000000002</v>
      </c>
      <c r="O10">
        <v>2068.1999999999998</v>
      </c>
      <c r="P10">
        <v>2789</v>
      </c>
      <c r="Q10">
        <v>2650.5</v>
      </c>
      <c r="R10">
        <v>3072.5</v>
      </c>
      <c r="S10">
        <v>3181.6</v>
      </c>
      <c r="T10">
        <v>3132.1</v>
      </c>
      <c r="U10">
        <v>3076.1</v>
      </c>
      <c r="V10">
        <v>1975.1</v>
      </c>
      <c r="W10">
        <v>2623.6</v>
      </c>
      <c r="X10">
        <v>1690.6</v>
      </c>
      <c r="Y10">
        <v>2055.8000000000002</v>
      </c>
      <c r="Z10">
        <v>1287.2</v>
      </c>
      <c r="AA10">
        <v>2185.8000000000002</v>
      </c>
      <c r="AB10">
        <v>2369.1999999999998</v>
      </c>
      <c r="AC10" t="s">
        <v>73</v>
      </c>
      <c r="AD10" t="s">
        <v>73</v>
      </c>
    </row>
    <row r="11" spans="1:30" x14ac:dyDescent="0.3">
      <c r="A11" t="s">
        <v>560</v>
      </c>
      <c r="B11" s="5" t="s">
        <v>561</v>
      </c>
      <c r="C11" t="s">
        <v>84</v>
      </c>
      <c r="D11" s="5" t="s">
        <v>85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</row>
    <row r="12" spans="1:30" x14ac:dyDescent="0.3">
      <c r="A12" t="s">
        <v>560</v>
      </c>
      <c r="B12" s="5" t="s">
        <v>561</v>
      </c>
      <c r="C12" t="s">
        <v>5</v>
      </c>
      <c r="D12" s="5" t="s">
        <v>86</v>
      </c>
      <c r="E12">
        <v>2107.3000000000002</v>
      </c>
      <c r="F12">
        <v>1959.6</v>
      </c>
      <c r="G12">
        <v>2197.5</v>
      </c>
      <c r="H12">
        <v>1020.7</v>
      </c>
      <c r="I12">
        <v>2116.4</v>
      </c>
      <c r="J12">
        <v>1694.6</v>
      </c>
      <c r="K12">
        <v>2111.6999999999998</v>
      </c>
      <c r="L12">
        <v>981.3</v>
      </c>
      <c r="M12">
        <v>1332.7</v>
      </c>
      <c r="N12">
        <v>1651.4</v>
      </c>
      <c r="O12">
        <v>1661.5</v>
      </c>
      <c r="P12">
        <v>2097.5</v>
      </c>
      <c r="Q12">
        <v>2231.6</v>
      </c>
      <c r="R12">
        <v>1936.1</v>
      </c>
      <c r="S12">
        <v>2137.9</v>
      </c>
      <c r="T12">
        <v>2027.3</v>
      </c>
      <c r="U12">
        <v>2075.1999999999998</v>
      </c>
      <c r="V12">
        <v>2674.2</v>
      </c>
      <c r="W12">
        <v>2035.6</v>
      </c>
      <c r="X12">
        <v>1769</v>
      </c>
      <c r="Y12">
        <v>1650.5</v>
      </c>
      <c r="Z12">
        <v>2547.9</v>
      </c>
      <c r="AA12">
        <v>2880.6</v>
      </c>
      <c r="AB12">
        <v>3230.7</v>
      </c>
      <c r="AC12" t="s">
        <v>73</v>
      </c>
      <c r="AD12" t="s">
        <v>73</v>
      </c>
    </row>
    <row r="13" spans="1:30" x14ac:dyDescent="0.3">
      <c r="A13" t="s">
        <v>560</v>
      </c>
      <c r="B13" s="5" t="s">
        <v>561</v>
      </c>
      <c r="C13" t="s">
        <v>6</v>
      </c>
      <c r="D13" s="5" t="s">
        <v>87</v>
      </c>
      <c r="E13">
        <v>5403.9</v>
      </c>
      <c r="F13">
        <v>5856.2</v>
      </c>
      <c r="G13">
        <v>5831</v>
      </c>
      <c r="H13">
        <v>5255.4</v>
      </c>
      <c r="I13">
        <v>6495.5</v>
      </c>
      <c r="J13">
        <v>6133.1</v>
      </c>
      <c r="K13">
        <v>5721.8</v>
      </c>
      <c r="L13">
        <v>5844.1</v>
      </c>
      <c r="M13">
        <v>6807.3</v>
      </c>
      <c r="N13">
        <v>6149.5</v>
      </c>
      <c r="O13">
        <v>5903.1</v>
      </c>
      <c r="P13">
        <v>7056.7</v>
      </c>
      <c r="Q13">
        <v>6002.9</v>
      </c>
      <c r="R13">
        <v>5846.8</v>
      </c>
      <c r="S13">
        <v>7046.7</v>
      </c>
      <c r="T13">
        <v>6198.1</v>
      </c>
      <c r="U13">
        <v>7246.4</v>
      </c>
      <c r="V13">
        <v>6260.6</v>
      </c>
      <c r="W13">
        <v>6145.8</v>
      </c>
      <c r="X13">
        <v>6954.3</v>
      </c>
      <c r="Y13">
        <v>7386.4</v>
      </c>
      <c r="Z13">
        <v>7112.4</v>
      </c>
      <c r="AA13">
        <v>6895.5</v>
      </c>
      <c r="AB13">
        <v>7051</v>
      </c>
      <c r="AC13" t="s">
        <v>73</v>
      </c>
      <c r="AD13" t="s">
        <v>73</v>
      </c>
    </row>
    <row r="14" spans="1:30" x14ac:dyDescent="0.3">
      <c r="A14" t="s">
        <v>560</v>
      </c>
      <c r="B14" s="5" t="s">
        <v>561</v>
      </c>
      <c r="C14" t="s">
        <v>88</v>
      </c>
      <c r="D14" s="5" t="s">
        <v>89</v>
      </c>
      <c r="E14">
        <v>2335.1999999999998</v>
      </c>
      <c r="F14">
        <v>2600.6999999999998</v>
      </c>
      <c r="G14">
        <v>2623.2</v>
      </c>
      <c r="H14">
        <v>2604.1</v>
      </c>
      <c r="I14">
        <v>2588.8000000000002</v>
      </c>
      <c r="J14">
        <v>2593.1</v>
      </c>
      <c r="K14">
        <v>2599.3000000000002</v>
      </c>
      <c r="L14">
        <v>2667.4</v>
      </c>
      <c r="M14">
        <v>2741.5</v>
      </c>
      <c r="N14">
        <v>2606.6999999999998</v>
      </c>
      <c r="O14">
        <v>2020.6</v>
      </c>
      <c r="P14">
        <v>2484.4</v>
      </c>
      <c r="Q14">
        <v>2659.7</v>
      </c>
      <c r="R14">
        <v>2692.3</v>
      </c>
      <c r="S14">
        <v>2343.6</v>
      </c>
      <c r="T14">
        <v>3083.6</v>
      </c>
      <c r="U14">
        <v>3005.1</v>
      </c>
      <c r="V14">
        <v>2942.2</v>
      </c>
      <c r="W14">
        <v>3013.7</v>
      </c>
      <c r="X14">
        <v>3239</v>
      </c>
      <c r="Y14">
        <v>3227.3</v>
      </c>
      <c r="Z14">
        <v>3297.4</v>
      </c>
      <c r="AA14">
        <v>3162.9</v>
      </c>
      <c r="AB14">
        <v>3368.2</v>
      </c>
      <c r="AC14" t="s">
        <v>73</v>
      </c>
      <c r="AD14" t="s">
        <v>73</v>
      </c>
    </row>
    <row r="15" spans="1:30" x14ac:dyDescent="0.3">
      <c r="A15" t="s">
        <v>560</v>
      </c>
      <c r="B15" s="5" t="s">
        <v>561</v>
      </c>
      <c r="C15" t="s">
        <v>90</v>
      </c>
      <c r="D15" s="5" t="s">
        <v>91</v>
      </c>
      <c r="E15">
        <v>2476.1999999999998</v>
      </c>
      <c r="F15">
        <v>3000</v>
      </c>
      <c r="G15">
        <v>3050</v>
      </c>
      <c r="H15">
        <v>3400</v>
      </c>
      <c r="I15">
        <v>3550</v>
      </c>
      <c r="J15">
        <v>3600</v>
      </c>
      <c r="K15">
        <v>3800</v>
      </c>
      <c r="L15">
        <v>4000</v>
      </c>
      <c r="M15">
        <v>4761.8999999999996</v>
      </c>
      <c r="N15">
        <v>6000</v>
      </c>
      <c r="O15">
        <v>7533.3</v>
      </c>
      <c r="P15">
        <v>7308.5</v>
      </c>
      <c r="Q15">
        <v>7340.4</v>
      </c>
      <c r="R15">
        <v>7413.2</v>
      </c>
      <c r="S15">
        <v>7516.2</v>
      </c>
      <c r="T15">
        <v>8342.2999999999993</v>
      </c>
      <c r="U15">
        <v>7709.5</v>
      </c>
      <c r="V15">
        <v>7820.7</v>
      </c>
      <c r="W15">
        <v>7862.8</v>
      </c>
      <c r="X15">
        <v>7415.8</v>
      </c>
      <c r="Y15">
        <v>7607.9</v>
      </c>
      <c r="Z15">
        <v>7525.2</v>
      </c>
      <c r="AA15">
        <v>7515.9</v>
      </c>
      <c r="AB15">
        <v>7549.7</v>
      </c>
      <c r="AC15" t="s">
        <v>73</v>
      </c>
      <c r="AD15" t="s">
        <v>73</v>
      </c>
    </row>
    <row r="16" spans="1:30" x14ac:dyDescent="0.3">
      <c r="A16" t="s">
        <v>560</v>
      </c>
      <c r="B16" s="5" t="s">
        <v>561</v>
      </c>
      <c r="C16" t="s">
        <v>92</v>
      </c>
      <c r="D16" s="5" t="s">
        <v>93</v>
      </c>
      <c r="E16" t="s">
        <v>73</v>
      </c>
      <c r="F16" t="s">
        <v>73</v>
      </c>
      <c r="G16" t="s">
        <v>73</v>
      </c>
      <c r="H16" t="s">
        <v>73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73</v>
      </c>
      <c r="Q16" t="s">
        <v>73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73</v>
      </c>
      <c r="AC16" t="s">
        <v>73</v>
      </c>
      <c r="AD16" t="s">
        <v>73</v>
      </c>
    </row>
    <row r="17" spans="1:30" x14ac:dyDescent="0.3">
      <c r="A17" t="s">
        <v>560</v>
      </c>
      <c r="B17" s="5" t="s">
        <v>561</v>
      </c>
      <c r="C17" t="s">
        <v>94</v>
      </c>
      <c r="D17" s="5" t="s">
        <v>95</v>
      </c>
      <c r="E17">
        <v>3384.4</v>
      </c>
      <c r="F17">
        <v>3311</v>
      </c>
      <c r="G17">
        <v>3395</v>
      </c>
      <c r="H17">
        <v>3479.3</v>
      </c>
      <c r="I17">
        <v>3439.4</v>
      </c>
      <c r="J17">
        <v>3681.6</v>
      </c>
      <c r="K17">
        <v>3761.4</v>
      </c>
      <c r="L17">
        <v>4020.9</v>
      </c>
      <c r="M17">
        <v>4102.5</v>
      </c>
      <c r="N17">
        <v>4176</v>
      </c>
      <c r="O17">
        <v>4288.3</v>
      </c>
      <c r="P17">
        <v>4352.8</v>
      </c>
      <c r="Q17">
        <v>4395.8</v>
      </c>
      <c r="R17">
        <v>4508.6000000000004</v>
      </c>
      <c r="S17">
        <v>4540.8999999999996</v>
      </c>
      <c r="T17">
        <v>4560.3999999999996</v>
      </c>
      <c r="U17">
        <v>4601</v>
      </c>
      <c r="V17">
        <v>4706</v>
      </c>
      <c r="W17">
        <v>4790.2</v>
      </c>
      <c r="X17">
        <v>4810.8999999999996</v>
      </c>
      <c r="Y17">
        <v>4901.8</v>
      </c>
      <c r="Z17">
        <v>4919.6000000000004</v>
      </c>
      <c r="AA17">
        <v>5005.3</v>
      </c>
      <c r="AB17">
        <v>5159.8999999999996</v>
      </c>
      <c r="AC17" t="s">
        <v>73</v>
      </c>
      <c r="AD17" t="s">
        <v>73</v>
      </c>
    </row>
    <row r="18" spans="1:30" x14ac:dyDescent="0.3">
      <c r="A18" t="s">
        <v>560</v>
      </c>
      <c r="B18" s="5" t="s">
        <v>561</v>
      </c>
      <c r="C18" t="s">
        <v>96</v>
      </c>
      <c r="D18" s="5" t="s">
        <v>97</v>
      </c>
      <c r="E18">
        <v>2608.6999999999998</v>
      </c>
      <c r="F18">
        <v>2604.1999999999998</v>
      </c>
      <c r="G18">
        <v>2626.5</v>
      </c>
      <c r="H18">
        <v>2630</v>
      </c>
      <c r="I18">
        <v>2659.6</v>
      </c>
      <c r="J18">
        <v>2736.8</v>
      </c>
      <c r="K18">
        <v>2700</v>
      </c>
      <c r="L18">
        <v>2666.7</v>
      </c>
      <c r="M18">
        <v>2740.9</v>
      </c>
      <c r="N18">
        <v>2827.1</v>
      </c>
      <c r="O18">
        <v>2884.2</v>
      </c>
      <c r="P18">
        <v>2987.6</v>
      </c>
      <c r="Q18">
        <v>3200</v>
      </c>
      <c r="R18">
        <v>2833.3</v>
      </c>
      <c r="S18">
        <v>2700</v>
      </c>
      <c r="T18">
        <v>2695.6</v>
      </c>
      <c r="U18">
        <v>2755.8</v>
      </c>
      <c r="V18">
        <v>2815.6</v>
      </c>
      <c r="W18">
        <v>2835.6</v>
      </c>
      <c r="X18">
        <v>2839.1</v>
      </c>
      <c r="Y18">
        <v>2812.4</v>
      </c>
      <c r="Z18">
        <v>2797.2</v>
      </c>
      <c r="AA18">
        <v>2793.8</v>
      </c>
      <c r="AB18">
        <v>2790.4</v>
      </c>
      <c r="AC18" t="s">
        <v>73</v>
      </c>
      <c r="AD18" t="s">
        <v>73</v>
      </c>
    </row>
    <row r="19" spans="1:30" x14ac:dyDescent="0.3">
      <c r="A19" t="s">
        <v>560</v>
      </c>
      <c r="B19" s="5" t="s">
        <v>561</v>
      </c>
      <c r="C19" t="s">
        <v>98</v>
      </c>
      <c r="D19" s="5" t="s">
        <v>99</v>
      </c>
      <c r="E19">
        <v>1949.7</v>
      </c>
      <c r="F19">
        <v>2000.7</v>
      </c>
      <c r="G19">
        <v>2477.8000000000002</v>
      </c>
      <c r="H19">
        <v>2433</v>
      </c>
      <c r="I19">
        <v>2986.1</v>
      </c>
      <c r="J19">
        <v>2848.5</v>
      </c>
      <c r="K19">
        <v>2550.5</v>
      </c>
      <c r="L19">
        <v>2880.9</v>
      </c>
      <c r="M19">
        <v>3549.7</v>
      </c>
      <c r="N19">
        <v>3367.9</v>
      </c>
      <c r="O19">
        <v>2808.3</v>
      </c>
      <c r="P19">
        <v>3241.4</v>
      </c>
      <c r="Q19">
        <v>3479.1</v>
      </c>
      <c r="R19">
        <v>3007.8</v>
      </c>
      <c r="S19">
        <v>3720.5</v>
      </c>
      <c r="T19">
        <v>3690.2</v>
      </c>
      <c r="U19">
        <v>3207.3</v>
      </c>
      <c r="V19">
        <v>3358.7</v>
      </c>
      <c r="W19">
        <v>2723.9</v>
      </c>
      <c r="X19">
        <v>3095.6</v>
      </c>
      <c r="Y19">
        <v>3539.9</v>
      </c>
      <c r="Z19">
        <v>3018.7</v>
      </c>
      <c r="AA19">
        <v>3386.3</v>
      </c>
      <c r="AB19">
        <v>3414.2</v>
      </c>
      <c r="AC19" t="s">
        <v>73</v>
      </c>
      <c r="AD19" t="s">
        <v>73</v>
      </c>
    </row>
    <row r="20" spans="1:30" x14ac:dyDescent="0.3">
      <c r="A20" t="s">
        <v>560</v>
      </c>
      <c r="B20" s="5" t="s">
        <v>561</v>
      </c>
      <c r="C20" t="s">
        <v>7</v>
      </c>
      <c r="D20" s="5" t="s">
        <v>100</v>
      </c>
      <c r="E20">
        <v>8021.4</v>
      </c>
      <c r="F20">
        <v>8218.1</v>
      </c>
      <c r="G20">
        <v>8500.9</v>
      </c>
      <c r="H20">
        <v>8530.7000000000007</v>
      </c>
      <c r="I20">
        <v>9184.9</v>
      </c>
      <c r="J20">
        <v>8649.5</v>
      </c>
      <c r="K20">
        <v>8373.2999999999993</v>
      </c>
      <c r="L20">
        <v>8637.7000000000007</v>
      </c>
      <c r="M20">
        <v>8885.7999999999993</v>
      </c>
      <c r="N20">
        <v>9710</v>
      </c>
      <c r="O20">
        <v>9348.1</v>
      </c>
      <c r="P20">
        <v>9009</v>
      </c>
      <c r="Q20">
        <v>8666.2999999999993</v>
      </c>
      <c r="R20">
        <v>9212.5</v>
      </c>
      <c r="S20">
        <v>9435.4</v>
      </c>
      <c r="T20">
        <v>9842.2000000000007</v>
      </c>
      <c r="U20">
        <v>6984.8</v>
      </c>
      <c r="V20">
        <v>9050.7000000000007</v>
      </c>
      <c r="W20">
        <v>7983.1</v>
      </c>
      <c r="X20">
        <v>8988.5</v>
      </c>
      <c r="Y20">
        <v>8430.6</v>
      </c>
      <c r="Z20">
        <v>7906.2</v>
      </c>
      <c r="AA20">
        <v>8603.5</v>
      </c>
      <c r="AB20">
        <v>8485.7000000000007</v>
      </c>
      <c r="AC20" t="s">
        <v>73</v>
      </c>
      <c r="AD20" t="s">
        <v>73</v>
      </c>
    </row>
    <row r="21" spans="1:30" x14ac:dyDescent="0.3">
      <c r="A21" t="s">
        <v>560</v>
      </c>
      <c r="B21" s="5" t="s">
        <v>561</v>
      </c>
      <c r="C21" t="s">
        <v>101</v>
      </c>
      <c r="D21" s="5" t="s">
        <v>102</v>
      </c>
      <c r="E21">
        <v>2418.3000000000002</v>
      </c>
      <c r="F21">
        <v>3100</v>
      </c>
      <c r="G21">
        <v>2448.9</v>
      </c>
      <c r="H21">
        <v>2851.8</v>
      </c>
      <c r="I21">
        <v>2365.6999999999998</v>
      </c>
      <c r="J21">
        <v>2869.5</v>
      </c>
      <c r="K21">
        <v>2672.3</v>
      </c>
      <c r="L21">
        <v>2939.5</v>
      </c>
      <c r="M21">
        <v>2427.1999999999998</v>
      </c>
      <c r="N21">
        <v>2686.5</v>
      </c>
      <c r="O21">
        <v>3223.4</v>
      </c>
      <c r="P21">
        <v>3155.5</v>
      </c>
      <c r="Q21">
        <v>3451.1</v>
      </c>
      <c r="R21">
        <v>3615.6</v>
      </c>
      <c r="S21">
        <v>3594.6</v>
      </c>
      <c r="T21">
        <v>2897.8</v>
      </c>
      <c r="U21">
        <v>3164.6</v>
      </c>
      <c r="V21">
        <v>4229.1000000000004</v>
      </c>
      <c r="W21">
        <v>4043.7</v>
      </c>
      <c r="X21">
        <v>2946.5</v>
      </c>
      <c r="Y21">
        <v>3526.3</v>
      </c>
      <c r="Z21">
        <v>4289.5</v>
      </c>
      <c r="AA21">
        <v>4476.2</v>
      </c>
      <c r="AB21">
        <v>3857.4</v>
      </c>
      <c r="AC21" t="s">
        <v>73</v>
      </c>
      <c r="AD21" t="s">
        <v>73</v>
      </c>
    </row>
    <row r="22" spans="1:30" x14ac:dyDescent="0.3">
      <c r="A22" t="s">
        <v>560</v>
      </c>
      <c r="B22" s="5" t="s">
        <v>561</v>
      </c>
      <c r="C22" t="s">
        <v>103</v>
      </c>
      <c r="D22" s="5" t="s">
        <v>104</v>
      </c>
      <c r="E22">
        <v>1102.0999999999999</v>
      </c>
      <c r="F22">
        <v>1069.3</v>
      </c>
      <c r="G22">
        <v>1131.0999999999999</v>
      </c>
      <c r="H22">
        <v>1148.7</v>
      </c>
      <c r="I22">
        <v>1146</v>
      </c>
      <c r="J22">
        <v>1136.4000000000001</v>
      </c>
      <c r="K22">
        <v>1190.5</v>
      </c>
      <c r="L22">
        <v>1286</v>
      </c>
      <c r="M22">
        <v>1158.7</v>
      </c>
      <c r="N22">
        <v>1423.5</v>
      </c>
      <c r="O22">
        <v>1200.5999999999999</v>
      </c>
      <c r="P22">
        <v>1517.8</v>
      </c>
      <c r="Q22">
        <v>1373.2</v>
      </c>
      <c r="R22">
        <v>1479.6</v>
      </c>
      <c r="S22">
        <v>1460.3</v>
      </c>
      <c r="T22">
        <v>1336.7</v>
      </c>
      <c r="U22">
        <v>1455.9</v>
      </c>
      <c r="V22">
        <v>1405.4</v>
      </c>
      <c r="W22">
        <v>1428.5</v>
      </c>
      <c r="X22">
        <v>1238.3</v>
      </c>
      <c r="Y22">
        <v>1432.8</v>
      </c>
      <c r="Z22">
        <v>1408.6</v>
      </c>
      <c r="AA22">
        <v>1361.5</v>
      </c>
      <c r="AB22">
        <v>1126.7</v>
      </c>
      <c r="AC22" t="s">
        <v>73</v>
      </c>
      <c r="AD22" t="s">
        <v>73</v>
      </c>
    </row>
    <row r="23" spans="1:30" x14ac:dyDescent="0.3">
      <c r="A23" t="s">
        <v>560</v>
      </c>
      <c r="B23" s="5" t="s">
        <v>561</v>
      </c>
      <c r="C23" t="s">
        <v>105</v>
      </c>
      <c r="D23" s="5" t="s">
        <v>106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73</v>
      </c>
      <c r="AC23" t="s">
        <v>73</v>
      </c>
      <c r="AD23" t="s">
        <v>73</v>
      </c>
    </row>
    <row r="24" spans="1:30" x14ac:dyDescent="0.3">
      <c r="A24" t="s">
        <v>560</v>
      </c>
      <c r="B24" s="5" t="s">
        <v>561</v>
      </c>
      <c r="C24" t="s">
        <v>107</v>
      </c>
      <c r="D24" s="5" t="s">
        <v>108</v>
      </c>
      <c r="E24">
        <v>1437.9</v>
      </c>
      <c r="F24">
        <v>1449.4</v>
      </c>
      <c r="G24">
        <v>1549</v>
      </c>
      <c r="H24">
        <v>1791.3</v>
      </c>
      <c r="I24">
        <v>2995.2</v>
      </c>
      <c r="J24">
        <v>2334.9</v>
      </c>
      <c r="K24">
        <v>2199.6999999999998</v>
      </c>
      <c r="L24">
        <v>1999.2</v>
      </c>
      <c r="M24">
        <v>2741.5</v>
      </c>
      <c r="N24">
        <v>2160.4</v>
      </c>
      <c r="O24">
        <v>2469.1</v>
      </c>
      <c r="P24">
        <v>2801.7</v>
      </c>
      <c r="Q24">
        <v>2944.2</v>
      </c>
      <c r="R24">
        <v>3226.4</v>
      </c>
      <c r="S24">
        <v>3254.9</v>
      </c>
      <c r="T24">
        <v>3475.8</v>
      </c>
      <c r="U24">
        <v>3373.4</v>
      </c>
      <c r="V24">
        <v>3411.5</v>
      </c>
      <c r="W24">
        <v>3416.5</v>
      </c>
      <c r="X24">
        <v>3082.1</v>
      </c>
      <c r="Y24">
        <v>3436</v>
      </c>
      <c r="Z24">
        <v>3343.2</v>
      </c>
      <c r="AA24">
        <v>3447.8</v>
      </c>
      <c r="AB24">
        <v>3463.8</v>
      </c>
      <c r="AC24" t="s">
        <v>73</v>
      </c>
      <c r="AD24" t="s">
        <v>73</v>
      </c>
    </row>
    <row r="25" spans="1:30" x14ac:dyDescent="0.3">
      <c r="A25" t="s">
        <v>560</v>
      </c>
      <c r="B25" s="5" t="s">
        <v>561</v>
      </c>
      <c r="C25" t="s">
        <v>109</v>
      </c>
      <c r="D25" s="5" t="s">
        <v>110</v>
      </c>
      <c r="E25">
        <v>1641.9</v>
      </c>
      <c r="F25">
        <v>1784.9</v>
      </c>
      <c r="G25">
        <v>1712.4</v>
      </c>
      <c r="H25">
        <v>1963.3</v>
      </c>
      <c r="I25">
        <v>1618.7</v>
      </c>
      <c r="J25">
        <v>1927</v>
      </c>
      <c r="K25">
        <v>2100.1</v>
      </c>
      <c r="L25">
        <v>1763.3</v>
      </c>
      <c r="M25">
        <v>2016.4</v>
      </c>
      <c r="N25">
        <v>2346</v>
      </c>
      <c r="O25">
        <v>2267.3000000000002</v>
      </c>
      <c r="P25">
        <v>2045.3</v>
      </c>
      <c r="Q25">
        <v>2113.1999999999998</v>
      </c>
      <c r="R25">
        <v>1717.9</v>
      </c>
      <c r="S25">
        <v>1958.1</v>
      </c>
      <c r="T25">
        <v>2280.1999999999998</v>
      </c>
      <c r="U25">
        <v>2111.3000000000002</v>
      </c>
      <c r="V25">
        <v>1845.6</v>
      </c>
      <c r="W25">
        <v>2333.6999999999998</v>
      </c>
      <c r="X25">
        <v>2030.1</v>
      </c>
      <c r="Y25">
        <v>2024</v>
      </c>
      <c r="Z25">
        <v>2523</v>
      </c>
      <c r="AA25">
        <v>1716.7</v>
      </c>
      <c r="AB25">
        <v>2040.9</v>
      </c>
      <c r="AC25" t="s">
        <v>73</v>
      </c>
      <c r="AD25" t="s">
        <v>73</v>
      </c>
    </row>
    <row r="26" spans="1:30" x14ac:dyDescent="0.3">
      <c r="A26" t="s">
        <v>560</v>
      </c>
      <c r="B26" s="5" t="s">
        <v>561</v>
      </c>
      <c r="C26" t="s">
        <v>111</v>
      </c>
      <c r="D26" s="5" t="s">
        <v>112</v>
      </c>
      <c r="E26">
        <v>2550.1999999999998</v>
      </c>
      <c r="F26">
        <v>3201.7</v>
      </c>
      <c r="G26">
        <v>3828.2</v>
      </c>
      <c r="H26">
        <v>2521.6</v>
      </c>
      <c r="I26">
        <v>4433.5</v>
      </c>
      <c r="J26">
        <v>4253.3</v>
      </c>
      <c r="K26">
        <v>4290.8</v>
      </c>
      <c r="L26">
        <v>3223.2</v>
      </c>
      <c r="M26">
        <v>4427.1000000000004</v>
      </c>
      <c r="N26">
        <v>4503.1000000000004</v>
      </c>
      <c r="O26">
        <v>3853</v>
      </c>
      <c r="P26">
        <v>3724.9</v>
      </c>
      <c r="Q26">
        <v>3000.6</v>
      </c>
      <c r="R26">
        <v>4026.9</v>
      </c>
      <c r="S26">
        <v>3977.4</v>
      </c>
      <c r="T26">
        <v>3812.1</v>
      </c>
      <c r="U26">
        <v>5191.7</v>
      </c>
      <c r="V26">
        <v>3732.1</v>
      </c>
      <c r="W26">
        <v>5487.9</v>
      </c>
      <c r="X26">
        <v>5354.7</v>
      </c>
      <c r="Y26">
        <v>6050.7</v>
      </c>
      <c r="Z26">
        <v>4422.1000000000004</v>
      </c>
      <c r="AA26">
        <v>6912.7</v>
      </c>
      <c r="AB26">
        <v>5529.7</v>
      </c>
      <c r="AC26" t="s">
        <v>73</v>
      </c>
      <c r="AD26" t="s">
        <v>73</v>
      </c>
    </row>
    <row r="27" spans="1:30" x14ac:dyDescent="0.3">
      <c r="A27" t="s">
        <v>560</v>
      </c>
      <c r="B27" s="5" t="s">
        <v>561</v>
      </c>
      <c r="C27" t="s">
        <v>113</v>
      </c>
      <c r="D27" s="5" t="s">
        <v>114</v>
      </c>
      <c r="E27">
        <v>203.7</v>
      </c>
      <c r="F27">
        <v>338.2</v>
      </c>
      <c r="G27">
        <v>357.3</v>
      </c>
      <c r="H27">
        <v>394.4</v>
      </c>
      <c r="I27">
        <v>274.3</v>
      </c>
      <c r="J27">
        <v>312.8</v>
      </c>
      <c r="K27">
        <v>372.4</v>
      </c>
      <c r="L27">
        <v>395.5</v>
      </c>
      <c r="M27">
        <v>360.8</v>
      </c>
      <c r="N27">
        <v>363.6</v>
      </c>
      <c r="O27">
        <v>371.6</v>
      </c>
      <c r="P27">
        <v>452.3</v>
      </c>
      <c r="Q27">
        <v>367.2</v>
      </c>
      <c r="R27">
        <v>217.6</v>
      </c>
      <c r="S27">
        <v>305.2</v>
      </c>
      <c r="T27">
        <v>415.3</v>
      </c>
      <c r="U27">
        <v>361.5</v>
      </c>
      <c r="V27">
        <v>316.60000000000002</v>
      </c>
      <c r="W27">
        <v>396.2</v>
      </c>
      <c r="X27">
        <v>384.3</v>
      </c>
      <c r="Y27">
        <v>502.9</v>
      </c>
      <c r="Z27">
        <v>562.9</v>
      </c>
      <c r="AA27">
        <v>407.8</v>
      </c>
      <c r="AB27">
        <v>468.9</v>
      </c>
      <c r="AC27" t="s">
        <v>73</v>
      </c>
      <c r="AD27" t="s">
        <v>73</v>
      </c>
    </row>
    <row r="28" spans="1:30" x14ac:dyDescent="0.3">
      <c r="A28" t="s">
        <v>560</v>
      </c>
      <c r="B28" s="5" t="s">
        <v>561</v>
      </c>
      <c r="C28" t="s">
        <v>8</v>
      </c>
      <c r="D28" s="5" t="s">
        <v>115</v>
      </c>
      <c r="E28">
        <v>2643.3</v>
      </c>
      <c r="F28">
        <v>3147.6</v>
      </c>
      <c r="G28">
        <v>2844.8</v>
      </c>
      <c r="H28">
        <v>3385.4</v>
      </c>
      <c r="I28">
        <v>3131.8</v>
      </c>
      <c r="J28">
        <v>2882.6</v>
      </c>
      <c r="K28">
        <v>3210.5</v>
      </c>
      <c r="L28">
        <v>3553.1</v>
      </c>
      <c r="M28">
        <v>3831.3</v>
      </c>
      <c r="N28">
        <v>3532.1</v>
      </c>
      <c r="O28">
        <v>4040.6</v>
      </c>
      <c r="P28">
        <v>4037.5</v>
      </c>
      <c r="Q28">
        <v>4584.5</v>
      </c>
      <c r="R28">
        <v>4826.3999999999996</v>
      </c>
      <c r="S28">
        <v>4640.3999999999996</v>
      </c>
      <c r="T28">
        <v>5000.6000000000004</v>
      </c>
      <c r="U28">
        <v>4181.7</v>
      </c>
      <c r="V28">
        <v>5209.6000000000004</v>
      </c>
      <c r="W28">
        <v>4806.5</v>
      </c>
      <c r="X28">
        <v>5321.3</v>
      </c>
      <c r="Y28">
        <v>5255.3</v>
      </c>
      <c r="Z28">
        <v>4479</v>
      </c>
      <c r="AA28">
        <v>4907.3999999999996</v>
      </c>
      <c r="AB28">
        <v>5336.3</v>
      </c>
      <c r="AC28" t="s">
        <v>73</v>
      </c>
      <c r="AD28" t="s">
        <v>73</v>
      </c>
    </row>
    <row r="29" spans="1:30" x14ac:dyDescent="0.3">
      <c r="A29" t="s">
        <v>560</v>
      </c>
      <c r="B29" s="5" t="s">
        <v>561</v>
      </c>
      <c r="C29" t="s">
        <v>116</v>
      </c>
      <c r="D29" s="5" t="s">
        <v>117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73</v>
      </c>
      <c r="AC29" t="s">
        <v>73</v>
      </c>
      <c r="AD29" t="s">
        <v>73</v>
      </c>
    </row>
    <row r="30" spans="1:30" x14ac:dyDescent="0.3">
      <c r="A30" t="s">
        <v>560</v>
      </c>
      <c r="B30" s="5" t="s">
        <v>561</v>
      </c>
      <c r="C30" t="s">
        <v>118</v>
      </c>
      <c r="D30" s="5" t="s">
        <v>119</v>
      </c>
      <c r="E30">
        <v>1006.5</v>
      </c>
      <c r="F30">
        <v>892.4</v>
      </c>
      <c r="G30">
        <v>888.1</v>
      </c>
      <c r="H30">
        <v>819.3</v>
      </c>
      <c r="I30">
        <v>793.5</v>
      </c>
      <c r="J30">
        <v>744.3</v>
      </c>
      <c r="K30">
        <v>795.2</v>
      </c>
      <c r="L30">
        <v>900.7</v>
      </c>
      <c r="M30">
        <v>821.4</v>
      </c>
      <c r="N30">
        <v>773.7</v>
      </c>
      <c r="O30">
        <v>1000</v>
      </c>
      <c r="P30">
        <v>1466.7</v>
      </c>
      <c r="Q30">
        <v>1375</v>
      </c>
      <c r="R30">
        <v>1461.5</v>
      </c>
      <c r="S30">
        <v>1615.4</v>
      </c>
      <c r="T30">
        <v>2384.6</v>
      </c>
      <c r="U30">
        <v>1714.3</v>
      </c>
      <c r="V30">
        <v>1769.2</v>
      </c>
      <c r="W30">
        <v>2000</v>
      </c>
      <c r="X30">
        <v>2090.9</v>
      </c>
      <c r="Y30">
        <v>3000</v>
      </c>
      <c r="Z30">
        <v>2733.3</v>
      </c>
      <c r="AA30">
        <v>2400</v>
      </c>
      <c r="AB30">
        <v>2466.6999999999998</v>
      </c>
      <c r="AC30" t="s">
        <v>73</v>
      </c>
      <c r="AD30" t="s">
        <v>73</v>
      </c>
    </row>
    <row r="31" spans="1:30" x14ac:dyDescent="0.3">
      <c r="A31" t="s">
        <v>560</v>
      </c>
      <c r="B31" s="5" t="s">
        <v>561</v>
      </c>
      <c r="C31" t="s">
        <v>120</v>
      </c>
      <c r="D31" s="5" t="s">
        <v>121</v>
      </c>
      <c r="E31">
        <v>2459.9</v>
      </c>
      <c r="F31">
        <v>2898.5</v>
      </c>
      <c r="G31">
        <v>3156.3</v>
      </c>
      <c r="H31">
        <v>2371.3000000000002</v>
      </c>
      <c r="I31">
        <v>4077.8</v>
      </c>
      <c r="J31">
        <v>3387</v>
      </c>
      <c r="K31">
        <v>3572.5</v>
      </c>
      <c r="L31">
        <v>2523.6999999999998</v>
      </c>
      <c r="M31">
        <v>4094.3</v>
      </c>
      <c r="N31">
        <v>3413</v>
      </c>
      <c r="O31">
        <v>4031</v>
      </c>
      <c r="P31">
        <v>4251.2</v>
      </c>
      <c r="Q31">
        <v>3671.8</v>
      </c>
      <c r="R31">
        <v>4561</v>
      </c>
      <c r="S31">
        <v>4860.7</v>
      </c>
      <c r="T31">
        <v>4669.6000000000004</v>
      </c>
      <c r="U31">
        <v>4817.8</v>
      </c>
      <c r="V31">
        <v>5479.7</v>
      </c>
      <c r="W31">
        <v>5561.7</v>
      </c>
      <c r="X31">
        <v>5774.7</v>
      </c>
      <c r="Y31">
        <v>4373.3999999999996</v>
      </c>
      <c r="Z31">
        <v>5949.6</v>
      </c>
      <c r="AA31">
        <v>5151.2</v>
      </c>
      <c r="AB31">
        <v>5223.8</v>
      </c>
      <c r="AC31" t="s">
        <v>73</v>
      </c>
      <c r="AD31" t="s">
        <v>73</v>
      </c>
    </row>
    <row r="32" spans="1:30" x14ac:dyDescent="0.3">
      <c r="A32" t="s">
        <v>560</v>
      </c>
      <c r="B32" s="5" t="s">
        <v>561</v>
      </c>
      <c r="C32" t="s">
        <v>122</v>
      </c>
      <c r="D32" s="5" t="s">
        <v>123</v>
      </c>
      <c r="E32">
        <v>856.4</v>
      </c>
      <c r="F32">
        <v>967.8</v>
      </c>
      <c r="G32">
        <v>942.7</v>
      </c>
      <c r="H32">
        <v>996.3</v>
      </c>
      <c r="I32">
        <v>940.7</v>
      </c>
      <c r="J32">
        <v>1127.2</v>
      </c>
      <c r="K32">
        <v>1203.9000000000001</v>
      </c>
      <c r="L32">
        <v>936.1</v>
      </c>
      <c r="M32">
        <v>1039.9000000000001</v>
      </c>
      <c r="N32">
        <v>1002</v>
      </c>
      <c r="O32">
        <v>1062.7</v>
      </c>
      <c r="P32">
        <v>995.1</v>
      </c>
      <c r="Q32">
        <v>1203</v>
      </c>
      <c r="R32">
        <v>1156.5</v>
      </c>
      <c r="S32">
        <v>1225.8</v>
      </c>
      <c r="T32">
        <v>1168.9000000000001</v>
      </c>
      <c r="U32">
        <v>1136.8</v>
      </c>
      <c r="V32">
        <v>1009</v>
      </c>
      <c r="W32">
        <v>1152.3</v>
      </c>
      <c r="X32">
        <v>1156.0999999999999</v>
      </c>
      <c r="Y32">
        <v>1261.7</v>
      </c>
      <c r="Z32">
        <v>1095.7</v>
      </c>
      <c r="AA32">
        <v>1204.0999999999999</v>
      </c>
      <c r="AB32">
        <v>1221.0999999999999</v>
      </c>
      <c r="AC32" t="s">
        <v>73</v>
      </c>
      <c r="AD32" t="s">
        <v>73</v>
      </c>
    </row>
    <row r="33" spans="1:30" x14ac:dyDescent="0.3">
      <c r="A33" t="s">
        <v>560</v>
      </c>
      <c r="B33" s="5" t="s">
        <v>561</v>
      </c>
      <c r="C33" t="s">
        <v>124</v>
      </c>
      <c r="D33" s="5" t="s">
        <v>125</v>
      </c>
      <c r="E33">
        <v>1228.2</v>
      </c>
      <c r="F33">
        <v>1283.5</v>
      </c>
      <c r="G33">
        <v>1308.8</v>
      </c>
      <c r="H33">
        <v>1284.0999999999999</v>
      </c>
      <c r="I33">
        <v>1328.1</v>
      </c>
      <c r="J33">
        <v>1344.3</v>
      </c>
      <c r="K33">
        <v>1277</v>
      </c>
      <c r="L33">
        <v>1303.0999999999999</v>
      </c>
      <c r="M33">
        <v>1281.8</v>
      </c>
      <c r="N33">
        <v>1296.9000000000001</v>
      </c>
      <c r="O33">
        <v>1231.7</v>
      </c>
      <c r="P33">
        <v>1153.8</v>
      </c>
      <c r="Q33">
        <v>1107.5</v>
      </c>
      <c r="R33">
        <v>1178.4000000000001</v>
      </c>
      <c r="S33">
        <v>1332.4</v>
      </c>
      <c r="T33">
        <v>1203.9000000000001</v>
      </c>
      <c r="U33">
        <v>1482.5</v>
      </c>
      <c r="V33">
        <v>1125.4000000000001</v>
      </c>
      <c r="W33">
        <v>1322.8</v>
      </c>
      <c r="X33">
        <v>1187.9000000000001</v>
      </c>
      <c r="Y33">
        <v>1296.5999999999999</v>
      </c>
      <c r="Z33">
        <v>1382.8</v>
      </c>
      <c r="AA33">
        <v>1359.9</v>
      </c>
      <c r="AB33">
        <v>1377.6</v>
      </c>
      <c r="AC33" t="s">
        <v>73</v>
      </c>
      <c r="AD33" t="s">
        <v>73</v>
      </c>
    </row>
    <row r="34" spans="1:30" x14ac:dyDescent="0.3">
      <c r="A34" t="s">
        <v>560</v>
      </c>
      <c r="B34" s="5" t="s">
        <v>561</v>
      </c>
      <c r="C34" t="s">
        <v>126</v>
      </c>
      <c r="D34" s="5" t="s">
        <v>127</v>
      </c>
      <c r="E34">
        <v>794.8</v>
      </c>
      <c r="F34">
        <v>637.29999999999995</v>
      </c>
      <c r="G34">
        <v>148.5</v>
      </c>
      <c r="H34">
        <v>379.2</v>
      </c>
      <c r="I34">
        <v>385.2</v>
      </c>
      <c r="J34">
        <v>243.2</v>
      </c>
      <c r="K34">
        <v>218</v>
      </c>
      <c r="L34">
        <v>158.80000000000001</v>
      </c>
      <c r="M34">
        <v>233.8</v>
      </c>
      <c r="N34">
        <v>230.8</v>
      </c>
      <c r="O34">
        <v>220</v>
      </c>
      <c r="P34">
        <v>177.8</v>
      </c>
      <c r="Q34">
        <v>196.2</v>
      </c>
      <c r="R34">
        <v>182.3</v>
      </c>
      <c r="S34">
        <v>34.299999999999997</v>
      </c>
      <c r="T34">
        <v>276.5</v>
      </c>
      <c r="U34">
        <v>178</v>
      </c>
      <c r="V34">
        <v>0.1</v>
      </c>
      <c r="W34">
        <v>22.7</v>
      </c>
      <c r="X34">
        <v>23.2</v>
      </c>
      <c r="Y34">
        <v>15.7</v>
      </c>
      <c r="Z34">
        <v>16.3</v>
      </c>
      <c r="AA34">
        <v>11.5</v>
      </c>
      <c r="AB34">
        <v>23</v>
      </c>
      <c r="AC34" t="s">
        <v>73</v>
      </c>
      <c r="AD34" t="s">
        <v>73</v>
      </c>
    </row>
    <row r="35" spans="1:30" x14ac:dyDescent="0.3">
      <c r="A35" t="s">
        <v>560</v>
      </c>
      <c r="B35" s="5" t="s">
        <v>561</v>
      </c>
      <c r="C35" t="s">
        <v>128</v>
      </c>
      <c r="D35" s="5" t="s">
        <v>129</v>
      </c>
      <c r="E35">
        <v>2133.6</v>
      </c>
      <c r="F35">
        <v>2092.6</v>
      </c>
      <c r="G35">
        <v>1922</v>
      </c>
      <c r="H35">
        <v>2160.6</v>
      </c>
      <c r="I35">
        <v>2024.8</v>
      </c>
      <c r="J35">
        <v>2508.6999999999998</v>
      </c>
      <c r="K35">
        <v>2533.1</v>
      </c>
      <c r="L35">
        <v>2677.3</v>
      </c>
      <c r="M35">
        <v>2804.8</v>
      </c>
      <c r="N35">
        <v>2938.6</v>
      </c>
      <c r="O35">
        <v>3015.7</v>
      </c>
      <c r="P35">
        <v>3021.5</v>
      </c>
      <c r="Q35">
        <v>3177.8</v>
      </c>
      <c r="R35">
        <v>3213.4</v>
      </c>
      <c r="S35">
        <v>3095.7</v>
      </c>
      <c r="T35">
        <v>3088.8</v>
      </c>
      <c r="U35">
        <v>3266.5</v>
      </c>
      <c r="V35">
        <v>3438.6</v>
      </c>
      <c r="W35">
        <v>3507.8</v>
      </c>
      <c r="X35">
        <v>3415.2</v>
      </c>
      <c r="Y35">
        <v>3441.3</v>
      </c>
      <c r="Z35">
        <v>3565.6</v>
      </c>
      <c r="AA35">
        <v>3654</v>
      </c>
      <c r="AB35">
        <v>3722.1</v>
      </c>
      <c r="AC35" t="s">
        <v>73</v>
      </c>
      <c r="AD35" t="s">
        <v>73</v>
      </c>
    </row>
    <row r="36" spans="1:30" x14ac:dyDescent="0.3">
      <c r="A36" t="s">
        <v>560</v>
      </c>
      <c r="B36" s="5" t="s">
        <v>561</v>
      </c>
      <c r="C36" t="s">
        <v>130</v>
      </c>
      <c r="D36" s="5" t="s">
        <v>131</v>
      </c>
      <c r="E36">
        <v>1763.5</v>
      </c>
      <c r="F36">
        <v>1708.9</v>
      </c>
      <c r="G36">
        <v>1682.7</v>
      </c>
      <c r="H36">
        <v>1619.9</v>
      </c>
      <c r="I36">
        <v>1563.2</v>
      </c>
      <c r="J36">
        <v>1669.7</v>
      </c>
      <c r="K36">
        <v>1700.3</v>
      </c>
      <c r="L36">
        <v>1676.3</v>
      </c>
      <c r="M36">
        <v>1678.5</v>
      </c>
      <c r="N36">
        <v>1722.9</v>
      </c>
      <c r="O36">
        <v>1648.7</v>
      </c>
      <c r="P36">
        <v>1710</v>
      </c>
      <c r="Q36">
        <v>1591.5</v>
      </c>
      <c r="R36">
        <v>1676.4</v>
      </c>
      <c r="S36">
        <v>1630.4</v>
      </c>
      <c r="T36">
        <v>1615.3</v>
      </c>
      <c r="U36">
        <v>1578.1</v>
      </c>
      <c r="V36">
        <v>1711.2</v>
      </c>
      <c r="W36">
        <v>1826.3</v>
      </c>
      <c r="X36">
        <v>1510.2</v>
      </c>
      <c r="Y36">
        <v>1670.7</v>
      </c>
      <c r="Z36">
        <v>1726.6</v>
      </c>
      <c r="AA36">
        <v>1692.6</v>
      </c>
      <c r="AB36">
        <v>1779.2</v>
      </c>
      <c r="AC36" t="s">
        <v>73</v>
      </c>
      <c r="AD36" t="s">
        <v>73</v>
      </c>
    </row>
    <row r="37" spans="1:30" x14ac:dyDescent="0.3">
      <c r="A37" t="s">
        <v>560</v>
      </c>
      <c r="B37" s="5" t="s">
        <v>561</v>
      </c>
      <c r="C37" t="s">
        <v>9</v>
      </c>
      <c r="D37" s="5" t="s">
        <v>132</v>
      </c>
      <c r="E37">
        <v>2805.7</v>
      </c>
      <c r="F37">
        <v>2446.8000000000002</v>
      </c>
      <c r="G37">
        <v>2375.4</v>
      </c>
      <c r="H37">
        <v>2758.8</v>
      </c>
      <c r="I37">
        <v>3141.9</v>
      </c>
      <c r="J37">
        <v>3215.9</v>
      </c>
      <c r="K37">
        <v>3046.3</v>
      </c>
      <c r="L37">
        <v>2973.4</v>
      </c>
      <c r="M37">
        <v>3391.7</v>
      </c>
      <c r="N37">
        <v>3299.5</v>
      </c>
      <c r="O37">
        <v>3501.1</v>
      </c>
      <c r="P37">
        <v>3552.4</v>
      </c>
      <c r="Q37">
        <v>3456.3</v>
      </c>
      <c r="R37">
        <v>4160.3999999999996</v>
      </c>
      <c r="S37">
        <v>3647</v>
      </c>
      <c r="T37">
        <v>3673</v>
      </c>
      <c r="U37">
        <v>4239.1000000000004</v>
      </c>
      <c r="V37">
        <v>4104.8</v>
      </c>
      <c r="W37">
        <v>3914.7</v>
      </c>
      <c r="X37">
        <v>4010.8</v>
      </c>
      <c r="Y37">
        <v>4091.9</v>
      </c>
      <c r="Z37">
        <v>3119.8</v>
      </c>
      <c r="AA37">
        <v>4078.7</v>
      </c>
      <c r="AB37">
        <v>3694.7</v>
      </c>
      <c r="AC37" t="s">
        <v>73</v>
      </c>
      <c r="AD37" t="s">
        <v>73</v>
      </c>
    </row>
    <row r="38" spans="1:30" x14ac:dyDescent="0.3">
      <c r="A38" t="s">
        <v>560</v>
      </c>
      <c r="B38" s="5" t="s">
        <v>561</v>
      </c>
      <c r="C38" t="s">
        <v>133</v>
      </c>
      <c r="D38" s="5" t="s">
        <v>134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73</v>
      </c>
      <c r="AC38" t="s">
        <v>73</v>
      </c>
      <c r="AD38" t="s">
        <v>73</v>
      </c>
    </row>
    <row r="39" spans="1:30" x14ac:dyDescent="0.3">
      <c r="A39" t="s">
        <v>560</v>
      </c>
      <c r="B39" s="5" t="s">
        <v>561</v>
      </c>
      <c r="C39" t="s">
        <v>135</v>
      </c>
      <c r="D39" s="5" t="s">
        <v>136</v>
      </c>
      <c r="E39">
        <v>993.3</v>
      </c>
      <c r="F39">
        <v>1032.5999999999999</v>
      </c>
      <c r="G39">
        <v>1048.3</v>
      </c>
      <c r="H39">
        <v>1009.5</v>
      </c>
      <c r="I39">
        <v>1007.7</v>
      </c>
      <c r="J39">
        <v>1018.2</v>
      </c>
      <c r="K39">
        <v>989.7</v>
      </c>
      <c r="L39">
        <v>951.2</v>
      </c>
      <c r="M39">
        <v>946.8</v>
      </c>
      <c r="N39">
        <v>948.4</v>
      </c>
      <c r="O39">
        <v>907.7</v>
      </c>
      <c r="P39">
        <v>965.7</v>
      </c>
      <c r="Q39">
        <v>942</v>
      </c>
      <c r="R39">
        <v>910.9</v>
      </c>
      <c r="S39">
        <v>896</v>
      </c>
      <c r="T39">
        <v>884.1</v>
      </c>
      <c r="U39">
        <v>875.1</v>
      </c>
      <c r="V39">
        <v>871.5</v>
      </c>
      <c r="W39">
        <v>863.8</v>
      </c>
      <c r="X39">
        <v>859.3</v>
      </c>
      <c r="Y39">
        <v>713</v>
      </c>
      <c r="Z39">
        <v>807.2</v>
      </c>
      <c r="AA39">
        <v>830</v>
      </c>
      <c r="AB39">
        <v>878.1</v>
      </c>
      <c r="AC39" t="s">
        <v>73</v>
      </c>
      <c r="AD39" t="s">
        <v>73</v>
      </c>
    </row>
    <row r="40" spans="1:30" x14ac:dyDescent="0.3">
      <c r="A40" t="s">
        <v>560</v>
      </c>
      <c r="B40" s="5" t="s">
        <v>561</v>
      </c>
      <c r="C40" t="s">
        <v>137</v>
      </c>
      <c r="D40" s="5" t="s">
        <v>138</v>
      </c>
      <c r="E40">
        <v>531.29999999999995</v>
      </c>
      <c r="F40">
        <v>634.70000000000005</v>
      </c>
      <c r="G40">
        <v>670.9</v>
      </c>
      <c r="H40">
        <v>827.3</v>
      </c>
      <c r="I40">
        <v>671.2</v>
      </c>
      <c r="J40">
        <v>749.9</v>
      </c>
      <c r="K40">
        <v>766.8</v>
      </c>
      <c r="L40">
        <v>799.3</v>
      </c>
      <c r="M40">
        <v>775.2</v>
      </c>
      <c r="N40">
        <v>598.29999999999995</v>
      </c>
      <c r="O40">
        <v>762.8</v>
      </c>
      <c r="P40">
        <v>632</v>
      </c>
      <c r="Q40">
        <v>934.8</v>
      </c>
      <c r="R40">
        <v>822.8</v>
      </c>
      <c r="S40">
        <v>855.7</v>
      </c>
      <c r="T40">
        <v>801.9</v>
      </c>
      <c r="U40">
        <v>844.7</v>
      </c>
      <c r="V40">
        <v>825.2</v>
      </c>
      <c r="W40">
        <v>893</v>
      </c>
      <c r="X40">
        <v>886.3</v>
      </c>
      <c r="Y40">
        <v>867.1</v>
      </c>
      <c r="Z40">
        <v>814.3</v>
      </c>
      <c r="AA40">
        <v>845.5</v>
      </c>
      <c r="AB40">
        <v>819.3</v>
      </c>
      <c r="AC40" t="s">
        <v>73</v>
      </c>
      <c r="AD40" t="s">
        <v>73</v>
      </c>
    </row>
    <row r="41" spans="1:30" x14ac:dyDescent="0.3">
      <c r="A41" t="s">
        <v>560</v>
      </c>
      <c r="B41" s="5" t="s">
        <v>561</v>
      </c>
      <c r="C41" t="s">
        <v>139</v>
      </c>
      <c r="D41" s="5" t="s">
        <v>140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</row>
    <row r="42" spans="1:30" x14ac:dyDescent="0.3">
      <c r="A42" t="s">
        <v>560</v>
      </c>
      <c r="B42" s="5" t="s">
        <v>561</v>
      </c>
      <c r="C42" t="s">
        <v>10</v>
      </c>
      <c r="D42" s="5" t="s">
        <v>141</v>
      </c>
      <c r="E42">
        <v>4362.1000000000004</v>
      </c>
      <c r="F42">
        <v>4935.7</v>
      </c>
      <c r="G42">
        <v>5183.3</v>
      </c>
      <c r="H42">
        <v>5390</v>
      </c>
      <c r="I42">
        <v>5657.5</v>
      </c>
      <c r="J42">
        <v>5811.2</v>
      </c>
      <c r="K42">
        <v>5998.3</v>
      </c>
      <c r="L42">
        <v>5744.3</v>
      </c>
      <c r="M42">
        <v>5844.4</v>
      </c>
      <c r="N42">
        <v>5462.3</v>
      </c>
      <c r="O42">
        <v>6815.4</v>
      </c>
      <c r="P42">
        <v>6927.8</v>
      </c>
      <c r="Q42">
        <v>6229.6</v>
      </c>
      <c r="R42">
        <v>6913.2</v>
      </c>
      <c r="S42">
        <v>6128.4</v>
      </c>
      <c r="T42">
        <v>7082.3</v>
      </c>
      <c r="U42">
        <v>6858.2</v>
      </c>
      <c r="V42">
        <v>6779.4</v>
      </c>
      <c r="W42">
        <v>7144.3</v>
      </c>
      <c r="X42">
        <v>7157.2</v>
      </c>
      <c r="Y42">
        <v>6245.8</v>
      </c>
      <c r="Z42">
        <v>6491.2</v>
      </c>
      <c r="AA42">
        <v>6113.9</v>
      </c>
      <c r="AB42">
        <v>6382.3</v>
      </c>
      <c r="AC42" t="s">
        <v>73</v>
      </c>
      <c r="AD42" t="s">
        <v>73</v>
      </c>
    </row>
    <row r="43" spans="1:30" x14ac:dyDescent="0.3">
      <c r="A43" t="s">
        <v>560</v>
      </c>
      <c r="B43" s="5" t="s">
        <v>561</v>
      </c>
      <c r="C43" t="s">
        <v>11</v>
      </c>
      <c r="D43" s="5" t="s">
        <v>142</v>
      </c>
      <c r="E43">
        <v>4752.6000000000004</v>
      </c>
      <c r="F43">
        <v>4800.3</v>
      </c>
      <c r="G43">
        <v>4869.1000000000004</v>
      </c>
      <c r="H43">
        <v>4871.1000000000004</v>
      </c>
      <c r="I43">
        <v>5186.8</v>
      </c>
      <c r="J43">
        <v>5224.6000000000004</v>
      </c>
      <c r="K43">
        <v>5313.4</v>
      </c>
      <c r="L43">
        <v>5320.6</v>
      </c>
      <c r="M43">
        <v>5549.7</v>
      </c>
      <c r="N43">
        <v>5449.6</v>
      </c>
      <c r="O43">
        <v>5527.5</v>
      </c>
      <c r="P43">
        <v>5710</v>
      </c>
      <c r="Q43">
        <v>5828.7</v>
      </c>
      <c r="R43">
        <v>5897.7</v>
      </c>
      <c r="S43">
        <v>5896.3</v>
      </c>
      <c r="T43">
        <v>5985.2</v>
      </c>
      <c r="U43">
        <v>6018.6</v>
      </c>
      <c r="V43">
        <v>6110.8</v>
      </c>
      <c r="W43">
        <v>6122</v>
      </c>
      <c r="X43">
        <v>6265.1</v>
      </c>
      <c r="Y43">
        <v>6296.1</v>
      </c>
      <c r="Z43">
        <v>6317.5</v>
      </c>
      <c r="AA43">
        <v>6381.3</v>
      </c>
      <c r="AB43">
        <v>6418.1</v>
      </c>
      <c r="AC43" t="s">
        <v>73</v>
      </c>
      <c r="AD43" t="s">
        <v>73</v>
      </c>
    </row>
    <row r="44" spans="1:30" x14ac:dyDescent="0.3">
      <c r="A44" t="s">
        <v>560</v>
      </c>
      <c r="B44" s="5" t="s">
        <v>561</v>
      </c>
      <c r="C44" t="s">
        <v>12</v>
      </c>
      <c r="D44" s="5" t="s">
        <v>143</v>
      </c>
      <c r="E44">
        <v>3234.2</v>
      </c>
      <c r="F44">
        <v>3138.3</v>
      </c>
      <c r="G44">
        <v>3340.5</v>
      </c>
      <c r="H44">
        <v>3621.8</v>
      </c>
      <c r="I44">
        <v>3584.5</v>
      </c>
      <c r="J44">
        <v>3643.3</v>
      </c>
      <c r="K44">
        <v>3358.8</v>
      </c>
      <c r="L44">
        <v>3599.2</v>
      </c>
      <c r="M44">
        <v>3664.2</v>
      </c>
      <c r="N44">
        <v>3611.3</v>
      </c>
      <c r="O44">
        <v>3410.4</v>
      </c>
      <c r="P44">
        <v>3351.5</v>
      </c>
      <c r="Q44">
        <v>3381.8</v>
      </c>
      <c r="R44">
        <v>3277.8</v>
      </c>
      <c r="S44">
        <v>3754.6</v>
      </c>
      <c r="T44">
        <v>3893.5</v>
      </c>
      <c r="U44">
        <v>3792.5</v>
      </c>
      <c r="V44">
        <v>3856</v>
      </c>
      <c r="W44">
        <v>4014.2</v>
      </c>
      <c r="X44">
        <v>4167</v>
      </c>
      <c r="Y44">
        <v>4398.6000000000004</v>
      </c>
      <c r="Z44">
        <v>4278.8999999999996</v>
      </c>
      <c r="AA44">
        <v>4397.1000000000004</v>
      </c>
      <c r="AB44">
        <v>4333.1000000000004</v>
      </c>
      <c r="AC44" t="s">
        <v>73</v>
      </c>
      <c r="AD44" t="s">
        <v>73</v>
      </c>
    </row>
    <row r="45" spans="1:30" x14ac:dyDescent="0.3">
      <c r="A45" t="s">
        <v>560</v>
      </c>
      <c r="B45" s="5" t="s">
        <v>561</v>
      </c>
      <c r="C45" t="s">
        <v>144</v>
      </c>
      <c r="D45" s="5" t="s">
        <v>145</v>
      </c>
      <c r="E45">
        <v>899.5</v>
      </c>
      <c r="F45">
        <v>914.8</v>
      </c>
      <c r="G45">
        <v>935.5</v>
      </c>
      <c r="H45">
        <v>973.6</v>
      </c>
      <c r="I45">
        <v>921.7</v>
      </c>
      <c r="J45">
        <v>1128.4000000000001</v>
      </c>
      <c r="K45">
        <v>1248.9000000000001</v>
      </c>
      <c r="L45">
        <v>1378.9</v>
      </c>
      <c r="M45">
        <v>1596.4</v>
      </c>
      <c r="N45">
        <v>1704.6</v>
      </c>
      <c r="O45">
        <v>1953.8</v>
      </c>
      <c r="P45">
        <v>1934.6</v>
      </c>
      <c r="Q45">
        <v>1918.3</v>
      </c>
      <c r="R45">
        <v>1899.9</v>
      </c>
      <c r="S45">
        <v>1877.5</v>
      </c>
      <c r="T45">
        <v>1860.6</v>
      </c>
      <c r="U45">
        <v>1843.6</v>
      </c>
      <c r="V45">
        <v>1826.6</v>
      </c>
      <c r="W45">
        <v>1800.2</v>
      </c>
      <c r="X45">
        <v>1782.6</v>
      </c>
      <c r="Y45">
        <v>1781.7</v>
      </c>
      <c r="Z45">
        <v>1770.3</v>
      </c>
      <c r="AA45">
        <v>1755</v>
      </c>
      <c r="AB45">
        <v>1734.4</v>
      </c>
      <c r="AC45" t="s">
        <v>73</v>
      </c>
      <c r="AD45" t="s">
        <v>73</v>
      </c>
    </row>
    <row r="46" spans="1:30" x14ac:dyDescent="0.3">
      <c r="A46" t="s">
        <v>560</v>
      </c>
      <c r="B46" s="5" t="s">
        <v>561</v>
      </c>
      <c r="C46" t="s">
        <v>146</v>
      </c>
      <c r="D46" s="5" t="s">
        <v>147</v>
      </c>
      <c r="E46">
        <v>786.6</v>
      </c>
      <c r="F46">
        <v>786.6</v>
      </c>
      <c r="G46">
        <v>772</v>
      </c>
      <c r="H46">
        <v>771.5</v>
      </c>
      <c r="I46">
        <v>771.7</v>
      </c>
      <c r="J46">
        <v>771.7</v>
      </c>
      <c r="K46">
        <v>771.6</v>
      </c>
      <c r="L46">
        <v>771.6</v>
      </c>
      <c r="M46">
        <v>771.6</v>
      </c>
      <c r="N46">
        <v>771.6</v>
      </c>
      <c r="O46">
        <v>784.9</v>
      </c>
      <c r="P46">
        <v>771.1</v>
      </c>
      <c r="Q46">
        <v>771.6</v>
      </c>
      <c r="R46">
        <v>772.1</v>
      </c>
      <c r="S46">
        <v>769</v>
      </c>
      <c r="T46">
        <v>768.9</v>
      </c>
      <c r="U46">
        <v>785.5</v>
      </c>
      <c r="V46">
        <v>794.1</v>
      </c>
      <c r="W46">
        <v>812.4</v>
      </c>
      <c r="X46">
        <v>836.2</v>
      </c>
      <c r="Y46">
        <v>878.6</v>
      </c>
      <c r="Z46">
        <v>889.4</v>
      </c>
      <c r="AA46">
        <v>829.2</v>
      </c>
      <c r="AB46">
        <v>838.5</v>
      </c>
      <c r="AC46" t="s">
        <v>73</v>
      </c>
      <c r="AD46" t="s">
        <v>73</v>
      </c>
    </row>
    <row r="47" spans="1:30" x14ac:dyDescent="0.3">
      <c r="A47" t="s">
        <v>560</v>
      </c>
      <c r="B47" s="5" t="s">
        <v>561</v>
      </c>
      <c r="C47" t="s">
        <v>148</v>
      </c>
      <c r="D47" s="5" t="s">
        <v>149</v>
      </c>
      <c r="E47">
        <v>753.9</v>
      </c>
      <c r="F47">
        <v>775</v>
      </c>
      <c r="G47">
        <v>772</v>
      </c>
      <c r="H47">
        <v>780.7</v>
      </c>
      <c r="I47">
        <v>776.4</v>
      </c>
      <c r="J47">
        <v>770.6</v>
      </c>
      <c r="K47">
        <v>777.8</v>
      </c>
      <c r="L47">
        <v>764.1</v>
      </c>
      <c r="M47">
        <v>771.4</v>
      </c>
      <c r="N47">
        <v>791.4</v>
      </c>
      <c r="O47">
        <v>785</v>
      </c>
      <c r="P47">
        <v>794.3</v>
      </c>
      <c r="Q47">
        <v>809.8</v>
      </c>
      <c r="R47">
        <v>830.9</v>
      </c>
      <c r="S47">
        <v>832.8</v>
      </c>
      <c r="T47">
        <v>833.5</v>
      </c>
      <c r="U47">
        <v>845.6</v>
      </c>
      <c r="V47">
        <v>860.4</v>
      </c>
      <c r="W47">
        <v>870.8</v>
      </c>
      <c r="X47">
        <v>890.8</v>
      </c>
      <c r="Y47">
        <v>871.5</v>
      </c>
      <c r="Z47">
        <v>894.4</v>
      </c>
      <c r="AA47">
        <v>877.1</v>
      </c>
      <c r="AB47">
        <v>877.7</v>
      </c>
      <c r="AC47" t="s">
        <v>73</v>
      </c>
      <c r="AD47" t="s">
        <v>73</v>
      </c>
    </row>
    <row r="48" spans="1:30" x14ac:dyDescent="0.3">
      <c r="A48" t="s">
        <v>560</v>
      </c>
      <c r="B48" s="5" t="s">
        <v>561</v>
      </c>
      <c r="C48" t="s">
        <v>13</v>
      </c>
      <c r="D48" s="5" t="s">
        <v>150</v>
      </c>
      <c r="E48">
        <v>3626.2</v>
      </c>
      <c r="F48">
        <v>3549.6</v>
      </c>
      <c r="G48">
        <v>3683.4</v>
      </c>
      <c r="H48">
        <v>3171.4</v>
      </c>
      <c r="I48">
        <v>3059.4</v>
      </c>
      <c r="J48">
        <v>3189.1</v>
      </c>
      <c r="K48">
        <v>3759</v>
      </c>
      <c r="L48">
        <v>3538.2</v>
      </c>
      <c r="M48">
        <v>3814.3</v>
      </c>
      <c r="N48">
        <v>3790.7</v>
      </c>
      <c r="O48">
        <v>3199.2</v>
      </c>
      <c r="P48">
        <v>3418.9</v>
      </c>
      <c r="Q48">
        <v>3621.5</v>
      </c>
      <c r="R48">
        <v>3283.3</v>
      </c>
      <c r="S48">
        <v>4497.5</v>
      </c>
      <c r="T48">
        <v>3831.6</v>
      </c>
      <c r="U48">
        <v>4026.1</v>
      </c>
      <c r="V48">
        <v>3731</v>
      </c>
      <c r="W48">
        <v>4210.1000000000004</v>
      </c>
      <c r="X48">
        <v>4052.4</v>
      </c>
      <c r="Y48">
        <v>3357.1</v>
      </c>
      <c r="Z48">
        <v>4311.2</v>
      </c>
      <c r="AA48">
        <v>4061.6</v>
      </c>
      <c r="AB48">
        <v>4448.2</v>
      </c>
      <c r="AC48" t="s">
        <v>73</v>
      </c>
      <c r="AD48" t="s">
        <v>73</v>
      </c>
    </row>
    <row r="49" spans="1:30" x14ac:dyDescent="0.3">
      <c r="A49" t="s">
        <v>560</v>
      </c>
      <c r="B49" s="5" t="s">
        <v>561</v>
      </c>
      <c r="C49" t="s">
        <v>151</v>
      </c>
      <c r="D49" s="5" t="s">
        <v>152</v>
      </c>
      <c r="E49">
        <v>1682.3</v>
      </c>
      <c r="F49">
        <v>1719.9</v>
      </c>
      <c r="G49">
        <v>1750.9</v>
      </c>
      <c r="H49">
        <v>1827</v>
      </c>
      <c r="I49">
        <v>1853.9</v>
      </c>
      <c r="J49">
        <v>1836.3</v>
      </c>
      <c r="K49">
        <v>1827.9</v>
      </c>
      <c r="L49">
        <v>1569.4</v>
      </c>
      <c r="M49">
        <v>1735</v>
      </c>
      <c r="N49">
        <v>1711.5</v>
      </c>
      <c r="O49">
        <v>2270.5</v>
      </c>
      <c r="P49">
        <v>1882.8</v>
      </c>
      <c r="Q49">
        <v>2079.8000000000002</v>
      </c>
      <c r="R49">
        <v>2176.6</v>
      </c>
      <c r="S49">
        <v>2206.9</v>
      </c>
      <c r="T49">
        <v>2200.3000000000002</v>
      </c>
      <c r="U49">
        <v>2219.8000000000002</v>
      </c>
      <c r="V49">
        <v>2247.4</v>
      </c>
      <c r="W49">
        <v>2254.4</v>
      </c>
      <c r="X49">
        <v>2233.6</v>
      </c>
      <c r="Y49">
        <v>2248.6999999999998</v>
      </c>
      <c r="Z49">
        <v>2255.1</v>
      </c>
      <c r="AA49">
        <v>2326.6999999999998</v>
      </c>
      <c r="AB49">
        <v>2397.8000000000002</v>
      </c>
      <c r="AC49" t="s">
        <v>73</v>
      </c>
      <c r="AD49" t="s">
        <v>73</v>
      </c>
    </row>
    <row r="50" spans="1:30" x14ac:dyDescent="0.3">
      <c r="A50" t="s">
        <v>560</v>
      </c>
      <c r="B50" s="5" t="s">
        <v>561</v>
      </c>
      <c r="C50" t="s">
        <v>153</v>
      </c>
      <c r="D50" s="5" t="s">
        <v>154</v>
      </c>
      <c r="E50">
        <v>4114.8</v>
      </c>
      <c r="F50">
        <v>4840.3</v>
      </c>
      <c r="G50">
        <v>5316.2</v>
      </c>
      <c r="H50">
        <v>3601</v>
      </c>
      <c r="I50">
        <v>5408.9</v>
      </c>
      <c r="J50">
        <v>5592.8</v>
      </c>
      <c r="K50">
        <v>5420.2</v>
      </c>
      <c r="L50">
        <v>4558.1000000000004</v>
      </c>
      <c r="M50">
        <v>6639.1</v>
      </c>
      <c r="N50">
        <v>6109.8</v>
      </c>
      <c r="O50">
        <v>5456</v>
      </c>
      <c r="P50">
        <v>5220</v>
      </c>
      <c r="Q50">
        <v>4573.6000000000004</v>
      </c>
      <c r="R50">
        <v>5444.9</v>
      </c>
      <c r="S50">
        <v>6027.7</v>
      </c>
      <c r="T50">
        <v>5695</v>
      </c>
      <c r="U50">
        <v>6665.5</v>
      </c>
      <c r="V50">
        <v>5704.8</v>
      </c>
      <c r="W50">
        <v>7055.6</v>
      </c>
      <c r="X50">
        <v>7157.3</v>
      </c>
      <c r="Y50">
        <v>6992.4</v>
      </c>
      <c r="Z50">
        <v>7012.9</v>
      </c>
      <c r="AA50">
        <v>5823.1</v>
      </c>
      <c r="AB50">
        <v>5913.8</v>
      </c>
      <c r="AC50" t="s">
        <v>73</v>
      </c>
      <c r="AD50" t="s">
        <v>73</v>
      </c>
    </row>
    <row r="51" spans="1:30" x14ac:dyDescent="0.3">
      <c r="A51" t="s">
        <v>560</v>
      </c>
      <c r="B51" s="5" t="s">
        <v>561</v>
      </c>
      <c r="C51" t="s">
        <v>155</v>
      </c>
      <c r="D51" s="5" t="s">
        <v>156</v>
      </c>
      <c r="E51">
        <v>2528.4</v>
      </c>
      <c r="F51">
        <v>2880.6</v>
      </c>
      <c r="G51">
        <v>3123.2</v>
      </c>
      <c r="H51">
        <v>3188.8</v>
      </c>
      <c r="I51">
        <v>2921.5</v>
      </c>
      <c r="J51">
        <v>2561.6</v>
      </c>
      <c r="K51">
        <v>2782.8</v>
      </c>
      <c r="L51">
        <v>2912.9</v>
      </c>
      <c r="M51">
        <v>2674.2</v>
      </c>
      <c r="N51">
        <v>2068.8000000000002</v>
      </c>
      <c r="O51">
        <v>1937.2</v>
      </c>
      <c r="P51">
        <v>2619.1</v>
      </c>
      <c r="Q51">
        <v>2803.2</v>
      </c>
      <c r="R51">
        <v>2903.8</v>
      </c>
      <c r="S51">
        <v>2813.7</v>
      </c>
      <c r="T51">
        <v>2964.6</v>
      </c>
      <c r="U51">
        <v>2939.3</v>
      </c>
      <c r="V51">
        <v>2854.3</v>
      </c>
      <c r="W51">
        <v>2876.5</v>
      </c>
      <c r="X51">
        <v>2832.5</v>
      </c>
      <c r="Y51">
        <v>2572.1</v>
      </c>
      <c r="Z51">
        <v>2408.6999999999998</v>
      </c>
      <c r="AA51">
        <v>2088.9</v>
      </c>
      <c r="AB51">
        <v>2070</v>
      </c>
      <c r="AC51" t="s">
        <v>73</v>
      </c>
      <c r="AD51" t="s">
        <v>73</v>
      </c>
    </row>
    <row r="52" spans="1:30" x14ac:dyDescent="0.3">
      <c r="A52" t="s">
        <v>560</v>
      </c>
      <c r="B52" s="5" t="s">
        <v>561</v>
      </c>
      <c r="C52" t="s">
        <v>157</v>
      </c>
      <c r="D52" s="5" t="s">
        <v>158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  <c r="J52" t="s">
        <v>73</v>
      </c>
      <c r="K52" t="s">
        <v>73</v>
      </c>
      <c r="L52" t="s">
        <v>73</v>
      </c>
      <c r="M52" t="s">
        <v>73</v>
      </c>
      <c r="N52" t="s">
        <v>73</v>
      </c>
      <c r="O52" t="s">
        <v>73</v>
      </c>
      <c r="P52" t="s">
        <v>73</v>
      </c>
      <c r="Q52" t="s">
        <v>73</v>
      </c>
      <c r="R52" t="s">
        <v>73</v>
      </c>
      <c r="S52" t="s">
        <v>73</v>
      </c>
      <c r="T52" t="s">
        <v>73</v>
      </c>
      <c r="U52" t="s">
        <v>73</v>
      </c>
      <c r="V52" t="s">
        <v>73</v>
      </c>
      <c r="W52" t="s">
        <v>73</v>
      </c>
      <c r="X52" t="s">
        <v>73</v>
      </c>
      <c r="Y52" t="s">
        <v>73</v>
      </c>
      <c r="Z52" t="s">
        <v>73</v>
      </c>
      <c r="AA52" t="s">
        <v>73</v>
      </c>
      <c r="AB52" t="s">
        <v>73</v>
      </c>
      <c r="AC52" t="s">
        <v>73</v>
      </c>
      <c r="AD52" t="s">
        <v>73</v>
      </c>
    </row>
    <row r="53" spans="1:30" x14ac:dyDescent="0.3">
      <c r="A53" t="s">
        <v>560</v>
      </c>
      <c r="B53" s="5" t="s">
        <v>561</v>
      </c>
      <c r="C53" t="s">
        <v>159</v>
      </c>
      <c r="D53" s="5" t="s">
        <v>160</v>
      </c>
      <c r="E53">
        <v>931.4</v>
      </c>
      <c r="F53">
        <v>2275.9</v>
      </c>
      <c r="G53">
        <v>2394.4</v>
      </c>
      <c r="H53">
        <v>2263.9</v>
      </c>
      <c r="I53">
        <v>1677.9</v>
      </c>
      <c r="J53">
        <v>1205.5999999999999</v>
      </c>
      <c r="K53">
        <v>1219.7</v>
      </c>
      <c r="L53">
        <v>1596.1</v>
      </c>
      <c r="M53">
        <v>176.3</v>
      </c>
      <c r="N53">
        <v>1823.8</v>
      </c>
      <c r="O53">
        <v>1998.4</v>
      </c>
      <c r="P53">
        <v>1954.4</v>
      </c>
      <c r="Q53">
        <v>2399.3000000000002</v>
      </c>
      <c r="R53">
        <v>1688</v>
      </c>
      <c r="S53">
        <v>291</v>
      </c>
      <c r="T53">
        <v>2683</v>
      </c>
      <c r="U53">
        <v>436.3</v>
      </c>
      <c r="V53">
        <v>1802.7</v>
      </c>
      <c r="W53">
        <v>1052.9000000000001</v>
      </c>
      <c r="X53">
        <v>2656.3</v>
      </c>
      <c r="Y53">
        <v>2381.4</v>
      </c>
      <c r="Z53">
        <v>2063.5</v>
      </c>
      <c r="AA53">
        <v>2305.6999999999998</v>
      </c>
      <c r="AB53">
        <v>2160.6</v>
      </c>
      <c r="AC53" t="s">
        <v>73</v>
      </c>
      <c r="AD53" t="s">
        <v>73</v>
      </c>
    </row>
    <row r="54" spans="1:30" x14ac:dyDescent="0.3">
      <c r="A54" t="s">
        <v>560</v>
      </c>
      <c r="B54" s="5" t="s">
        <v>561</v>
      </c>
      <c r="C54" t="s">
        <v>161</v>
      </c>
      <c r="D54" s="5" t="s">
        <v>162</v>
      </c>
      <c r="E54">
        <v>3906</v>
      </c>
      <c r="F54">
        <v>4508.6000000000004</v>
      </c>
      <c r="G54">
        <v>4324</v>
      </c>
      <c r="H54">
        <v>3940.8</v>
      </c>
      <c r="I54">
        <v>5443.6</v>
      </c>
      <c r="J54">
        <v>4741.6000000000004</v>
      </c>
      <c r="K54">
        <v>4159</v>
      </c>
      <c r="L54">
        <v>4522</v>
      </c>
      <c r="M54">
        <v>5362.8</v>
      </c>
      <c r="N54">
        <v>5073.8999999999996</v>
      </c>
      <c r="O54">
        <v>4695.8</v>
      </c>
      <c r="P54">
        <v>5592.6</v>
      </c>
      <c r="Q54">
        <v>4529.5</v>
      </c>
      <c r="R54">
        <v>5309.3</v>
      </c>
      <c r="S54">
        <v>6219.8</v>
      </c>
      <c r="T54">
        <v>5880.6</v>
      </c>
      <c r="U54">
        <v>6317</v>
      </c>
      <c r="V54">
        <v>5497.5</v>
      </c>
      <c r="W54">
        <v>5206.8999999999996</v>
      </c>
      <c r="X54">
        <v>5653.2</v>
      </c>
      <c r="Y54">
        <v>6042.7</v>
      </c>
      <c r="Z54">
        <v>6113</v>
      </c>
      <c r="AA54">
        <v>5929.6</v>
      </c>
      <c r="AB54">
        <v>6070.1</v>
      </c>
      <c r="AC54" t="s">
        <v>73</v>
      </c>
      <c r="AD54" t="s">
        <v>73</v>
      </c>
    </row>
    <row r="55" spans="1:30" x14ac:dyDescent="0.3">
      <c r="A55" t="s">
        <v>560</v>
      </c>
      <c r="B55" s="5" t="s">
        <v>561</v>
      </c>
      <c r="C55" t="s">
        <v>14</v>
      </c>
      <c r="D55" s="5" t="s">
        <v>163</v>
      </c>
      <c r="E55">
        <v>6216</v>
      </c>
      <c r="F55">
        <v>6126.6</v>
      </c>
      <c r="G55">
        <v>5761.8</v>
      </c>
      <c r="H55">
        <v>6096.6</v>
      </c>
      <c r="I55">
        <v>6013.1</v>
      </c>
      <c r="J55">
        <v>6153.4</v>
      </c>
      <c r="K55">
        <v>5778.4</v>
      </c>
      <c r="L55">
        <v>5675.8</v>
      </c>
      <c r="M55">
        <v>6017.4</v>
      </c>
      <c r="N55">
        <v>6779</v>
      </c>
      <c r="O55">
        <v>5875.9</v>
      </c>
      <c r="P55">
        <v>5886.5</v>
      </c>
      <c r="Q55">
        <v>6309.7</v>
      </c>
      <c r="R55">
        <v>6316.6</v>
      </c>
      <c r="S55">
        <v>6752.1</v>
      </c>
      <c r="T55">
        <v>6884.7</v>
      </c>
      <c r="U55">
        <v>6222</v>
      </c>
      <c r="V55">
        <v>6916.5</v>
      </c>
      <c r="W55">
        <v>4888.8</v>
      </c>
      <c r="X55">
        <v>6928.9</v>
      </c>
      <c r="Y55">
        <v>6926.3</v>
      </c>
      <c r="Z55">
        <v>6355</v>
      </c>
      <c r="AA55">
        <v>7241.4</v>
      </c>
      <c r="AB55">
        <v>5671.7</v>
      </c>
      <c r="AC55" t="s">
        <v>73</v>
      </c>
      <c r="AD55" t="s">
        <v>73</v>
      </c>
    </row>
    <row r="56" spans="1:30" x14ac:dyDescent="0.3">
      <c r="A56" t="s">
        <v>560</v>
      </c>
      <c r="B56" s="5" t="s">
        <v>561</v>
      </c>
      <c r="C56" t="s">
        <v>164</v>
      </c>
      <c r="D56" s="5" t="s">
        <v>165</v>
      </c>
      <c r="E56">
        <v>1833.3</v>
      </c>
      <c r="F56">
        <v>1714.3</v>
      </c>
      <c r="G56">
        <v>1666.7</v>
      </c>
      <c r="H56">
        <v>1666.7</v>
      </c>
      <c r="I56">
        <v>1658.7</v>
      </c>
      <c r="J56">
        <v>1500</v>
      </c>
      <c r="K56">
        <v>1666.7</v>
      </c>
      <c r="L56">
        <v>1738.2</v>
      </c>
      <c r="M56">
        <v>1780.6</v>
      </c>
      <c r="N56">
        <v>1816.7</v>
      </c>
      <c r="O56">
        <v>1848.3</v>
      </c>
      <c r="P56">
        <v>1879.3</v>
      </c>
      <c r="Q56">
        <v>2000</v>
      </c>
      <c r="R56">
        <v>2000</v>
      </c>
      <c r="S56">
        <v>1986.4</v>
      </c>
      <c r="T56">
        <v>2007.6</v>
      </c>
      <c r="U56">
        <v>1998.2</v>
      </c>
      <c r="V56">
        <v>1998.7</v>
      </c>
      <c r="W56">
        <v>1998.2</v>
      </c>
      <c r="X56">
        <v>2002.6</v>
      </c>
      <c r="Y56">
        <v>2037</v>
      </c>
      <c r="Z56">
        <v>2051.3000000000002</v>
      </c>
      <c r="AA56">
        <v>2010.5</v>
      </c>
      <c r="AB56">
        <v>2020.7</v>
      </c>
      <c r="AC56" t="s">
        <v>73</v>
      </c>
      <c r="AD56" t="s">
        <v>73</v>
      </c>
    </row>
    <row r="57" spans="1:30" x14ac:dyDescent="0.3">
      <c r="A57" t="s">
        <v>560</v>
      </c>
      <c r="B57" s="5" t="s">
        <v>561</v>
      </c>
      <c r="C57" t="s">
        <v>166</v>
      </c>
      <c r="D57" s="5" t="s">
        <v>167</v>
      </c>
      <c r="E57">
        <v>1357.3</v>
      </c>
      <c r="F57">
        <v>1359.2</v>
      </c>
      <c r="G57">
        <v>1364.1</v>
      </c>
      <c r="H57">
        <v>1333.3</v>
      </c>
      <c r="I57">
        <v>1377.5</v>
      </c>
      <c r="J57">
        <v>1357.1</v>
      </c>
      <c r="K57">
        <v>1404.7</v>
      </c>
      <c r="L57">
        <v>1448.3</v>
      </c>
      <c r="M57">
        <v>1437.7</v>
      </c>
      <c r="N57">
        <v>1436.8</v>
      </c>
      <c r="O57">
        <v>1416.7</v>
      </c>
      <c r="P57">
        <v>1400</v>
      </c>
      <c r="Q57">
        <v>1666.7</v>
      </c>
      <c r="R57">
        <v>1666.7</v>
      </c>
      <c r="S57">
        <v>1623.5</v>
      </c>
      <c r="T57">
        <v>1604</v>
      </c>
      <c r="U57">
        <v>1597.7</v>
      </c>
      <c r="V57">
        <v>1601.7</v>
      </c>
      <c r="W57">
        <v>1609</v>
      </c>
      <c r="X57">
        <v>1622</v>
      </c>
      <c r="Y57">
        <v>1644</v>
      </c>
      <c r="Z57">
        <v>1659.1</v>
      </c>
      <c r="AA57">
        <v>1670.8</v>
      </c>
      <c r="AB57">
        <v>1682.4</v>
      </c>
      <c r="AC57" t="s">
        <v>73</v>
      </c>
      <c r="AD57" t="s">
        <v>73</v>
      </c>
    </row>
    <row r="58" spans="1:30" x14ac:dyDescent="0.3">
      <c r="A58" t="s">
        <v>560</v>
      </c>
      <c r="B58" s="5" t="s">
        <v>561</v>
      </c>
      <c r="C58" t="s">
        <v>168</v>
      </c>
      <c r="D58" s="5" t="s">
        <v>169</v>
      </c>
      <c r="E58">
        <v>4159.3</v>
      </c>
      <c r="F58">
        <v>4304.8</v>
      </c>
      <c r="G58">
        <v>4343.3999999999996</v>
      </c>
      <c r="H58">
        <v>4000.8</v>
      </c>
      <c r="I58">
        <v>3824.8</v>
      </c>
      <c r="J58">
        <v>3808.6</v>
      </c>
      <c r="K58">
        <v>4262.8999999999996</v>
      </c>
      <c r="L58">
        <v>4368.1000000000004</v>
      </c>
      <c r="M58">
        <v>4468.8</v>
      </c>
      <c r="N58">
        <v>3954.3</v>
      </c>
      <c r="O58">
        <v>4436</v>
      </c>
      <c r="P58">
        <v>4605.6000000000004</v>
      </c>
      <c r="Q58">
        <v>3747.7</v>
      </c>
      <c r="R58">
        <v>4031.5</v>
      </c>
      <c r="S58">
        <v>4538.8999999999996</v>
      </c>
      <c r="T58">
        <v>4666.6000000000004</v>
      </c>
      <c r="U58">
        <v>4728.1000000000004</v>
      </c>
      <c r="V58">
        <v>4730.3999999999996</v>
      </c>
      <c r="W58">
        <v>4607.1000000000004</v>
      </c>
      <c r="X58">
        <v>4652.5</v>
      </c>
      <c r="Y58">
        <v>4653.7</v>
      </c>
      <c r="Z58">
        <v>4784.8</v>
      </c>
      <c r="AA58">
        <v>4707.8</v>
      </c>
      <c r="AB58">
        <v>4468.8</v>
      </c>
      <c r="AC58" t="s">
        <v>73</v>
      </c>
      <c r="AD58" t="s">
        <v>73</v>
      </c>
    </row>
    <row r="59" spans="1:30" x14ac:dyDescent="0.3">
      <c r="A59" t="s">
        <v>560</v>
      </c>
      <c r="B59" s="5" t="s">
        <v>561</v>
      </c>
      <c r="C59" t="s">
        <v>170</v>
      </c>
      <c r="D59" s="5" t="s">
        <v>171</v>
      </c>
      <c r="E59">
        <v>2306</v>
      </c>
      <c r="F59">
        <v>1899.4</v>
      </c>
      <c r="G59">
        <v>2434.6</v>
      </c>
      <c r="H59">
        <v>2617.3000000000002</v>
      </c>
      <c r="I59">
        <v>2922.2</v>
      </c>
      <c r="J59">
        <v>2841.6</v>
      </c>
      <c r="K59">
        <v>2830</v>
      </c>
      <c r="L59">
        <v>3144</v>
      </c>
      <c r="M59">
        <v>2980.3</v>
      </c>
      <c r="N59">
        <v>2965.5</v>
      </c>
      <c r="O59">
        <v>2723.1</v>
      </c>
      <c r="P59">
        <v>2299.8000000000002</v>
      </c>
      <c r="Q59">
        <v>2914.6</v>
      </c>
      <c r="R59">
        <v>2592.5</v>
      </c>
      <c r="S59">
        <v>3216</v>
      </c>
      <c r="T59">
        <v>3927</v>
      </c>
      <c r="U59">
        <v>3362.1</v>
      </c>
      <c r="V59">
        <v>3771.3</v>
      </c>
      <c r="W59">
        <v>3552.6</v>
      </c>
      <c r="X59">
        <v>3970.2</v>
      </c>
      <c r="Y59">
        <v>3531.9</v>
      </c>
      <c r="Z59">
        <v>4016.2</v>
      </c>
      <c r="AA59">
        <v>4052</v>
      </c>
      <c r="AB59">
        <v>4025.3</v>
      </c>
      <c r="AC59" t="s">
        <v>73</v>
      </c>
      <c r="AD59" t="s">
        <v>73</v>
      </c>
    </row>
    <row r="60" spans="1:30" x14ac:dyDescent="0.3">
      <c r="A60" t="s">
        <v>560</v>
      </c>
      <c r="B60" s="5" t="s">
        <v>561</v>
      </c>
      <c r="C60" t="s">
        <v>15</v>
      </c>
      <c r="D60" s="5" t="s">
        <v>172</v>
      </c>
      <c r="E60">
        <v>7280.1</v>
      </c>
      <c r="F60">
        <v>7099.4</v>
      </c>
      <c r="G60">
        <v>7445.6</v>
      </c>
      <c r="H60">
        <v>7515.4</v>
      </c>
      <c r="I60">
        <v>7556.2</v>
      </c>
      <c r="J60">
        <v>7536.9</v>
      </c>
      <c r="K60">
        <v>7500.2</v>
      </c>
      <c r="L60">
        <v>7418.5</v>
      </c>
      <c r="M60">
        <v>7452.2</v>
      </c>
      <c r="N60">
        <v>7158.3</v>
      </c>
      <c r="O60">
        <v>6504.3</v>
      </c>
      <c r="P60">
        <v>7246.3</v>
      </c>
      <c r="Q60">
        <v>7269</v>
      </c>
      <c r="R60">
        <v>7285.3</v>
      </c>
      <c r="S60">
        <v>7085</v>
      </c>
      <c r="T60">
        <v>7117.3</v>
      </c>
      <c r="U60">
        <v>7251.5</v>
      </c>
      <c r="V60">
        <v>7400.6</v>
      </c>
      <c r="W60">
        <v>6776</v>
      </c>
      <c r="X60">
        <v>6043.8</v>
      </c>
      <c r="Y60">
        <v>7167.4</v>
      </c>
      <c r="Z60">
        <v>7340.5</v>
      </c>
      <c r="AA60">
        <v>7080.3</v>
      </c>
      <c r="AB60">
        <v>7402.2</v>
      </c>
      <c r="AC60" t="s">
        <v>73</v>
      </c>
      <c r="AD60" t="s">
        <v>73</v>
      </c>
    </row>
    <row r="61" spans="1:30" x14ac:dyDescent="0.3">
      <c r="A61" t="s">
        <v>560</v>
      </c>
      <c r="B61" s="5" t="s">
        <v>561</v>
      </c>
      <c r="C61" t="s">
        <v>173</v>
      </c>
      <c r="D61" s="5" t="s">
        <v>174</v>
      </c>
      <c r="E61">
        <v>2155.3000000000002</v>
      </c>
      <c r="F61">
        <v>1909.7</v>
      </c>
      <c r="G61">
        <v>2476.9</v>
      </c>
      <c r="H61">
        <v>2472.5</v>
      </c>
      <c r="I61">
        <v>2486.1</v>
      </c>
      <c r="J61">
        <v>2632.7</v>
      </c>
      <c r="K61">
        <v>2802.9</v>
      </c>
      <c r="L61">
        <v>2615.1999999999998</v>
      </c>
      <c r="M61">
        <v>2905.3</v>
      </c>
      <c r="N61">
        <v>2726.9</v>
      </c>
      <c r="O61">
        <v>2726</v>
      </c>
      <c r="P61">
        <v>2492</v>
      </c>
      <c r="Q61">
        <v>2782.2</v>
      </c>
      <c r="R61">
        <v>2713</v>
      </c>
      <c r="S61">
        <v>2485.6999999999998</v>
      </c>
      <c r="T61">
        <v>2288.1</v>
      </c>
      <c r="U61">
        <v>2745.5</v>
      </c>
      <c r="V61">
        <v>2909.7</v>
      </c>
      <c r="W61">
        <v>2379.6999999999998</v>
      </c>
      <c r="X61">
        <v>2777</v>
      </c>
      <c r="Y61">
        <v>2732</v>
      </c>
      <c r="Z61">
        <v>2950.3</v>
      </c>
      <c r="AA61">
        <v>2757.1</v>
      </c>
      <c r="AB61">
        <v>2762.1</v>
      </c>
      <c r="AC61" t="s">
        <v>73</v>
      </c>
      <c r="AD61" t="s">
        <v>73</v>
      </c>
    </row>
    <row r="62" spans="1:30" x14ac:dyDescent="0.3">
      <c r="A62" t="s">
        <v>560</v>
      </c>
      <c r="B62" s="5" t="s">
        <v>561</v>
      </c>
      <c r="C62" t="s">
        <v>175</v>
      </c>
      <c r="D62" s="5" t="s">
        <v>176</v>
      </c>
      <c r="E62" t="s">
        <v>73</v>
      </c>
      <c r="F62" t="s">
        <v>73</v>
      </c>
      <c r="G62" t="s">
        <v>73</v>
      </c>
      <c r="H62" t="s">
        <v>73</v>
      </c>
      <c r="I62" t="s">
        <v>73</v>
      </c>
      <c r="J62" t="s">
        <v>73</v>
      </c>
      <c r="K62" t="s">
        <v>73</v>
      </c>
      <c r="L62" t="s">
        <v>73</v>
      </c>
      <c r="M62" t="s">
        <v>73</v>
      </c>
      <c r="N62" t="s">
        <v>73</v>
      </c>
      <c r="O62" t="s">
        <v>73</v>
      </c>
      <c r="P62" t="s">
        <v>73</v>
      </c>
      <c r="Q62" t="s">
        <v>73</v>
      </c>
      <c r="R62" t="s">
        <v>73</v>
      </c>
      <c r="S62" t="s">
        <v>73</v>
      </c>
      <c r="T62" t="s">
        <v>73</v>
      </c>
      <c r="U62" t="s">
        <v>73</v>
      </c>
      <c r="V62" t="s">
        <v>73</v>
      </c>
      <c r="W62" t="s">
        <v>73</v>
      </c>
      <c r="X62" t="s">
        <v>73</v>
      </c>
      <c r="Y62" t="s">
        <v>73</v>
      </c>
      <c r="Z62" t="s">
        <v>73</v>
      </c>
      <c r="AA62" t="s">
        <v>73</v>
      </c>
      <c r="AB62" t="s">
        <v>73</v>
      </c>
      <c r="AC62" t="s">
        <v>73</v>
      </c>
      <c r="AD62" t="s">
        <v>73</v>
      </c>
    </row>
    <row r="63" spans="1:30" x14ac:dyDescent="0.3">
      <c r="A63" t="s">
        <v>560</v>
      </c>
      <c r="B63" s="5" t="s">
        <v>561</v>
      </c>
      <c r="C63" t="s">
        <v>177</v>
      </c>
      <c r="D63" s="5" t="s">
        <v>178</v>
      </c>
      <c r="E63">
        <v>377.2</v>
      </c>
      <c r="F63">
        <v>637.1</v>
      </c>
      <c r="G63">
        <v>158.19999999999999</v>
      </c>
      <c r="H63">
        <v>261</v>
      </c>
      <c r="I63">
        <v>275.3</v>
      </c>
      <c r="J63">
        <v>758.2</v>
      </c>
      <c r="K63">
        <v>798.5</v>
      </c>
      <c r="L63">
        <v>938.5</v>
      </c>
      <c r="M63">
        <v>252.2</v>
      </c>
      <c r="N63">
        <v>500.1</v>
      </c>
      <c r="O63">
        <v>511.7</v>
      </c>
      <c r="P63">
        <v>649.1</v>
      </c>
      <c r="Q63">
        <v>689.4</v>
      </c>
      <c r="R63">
        <v>669.8</v>
      </c>
      <c r="S63">
        <v>666.4</v>
      </c>
      <c r="T63">
        <v>642.4</v>
      </c>
      <c r="U63">
        <v>639.70000000000005</v>
      </c>
      <c r="V63">
        <v>642.20000000000005</v>
      </c>
      <c r="W63">
        <v>638.9</v>
      </c>
      <c r="X63">
        <v>638.5</v>
      </c>
      <c r="Y63">
        <v>639.1</v>
      </c>
      <c r="Z63">
        <v>639.70000000000005</v>
      </c>
      <c r="AA63">
        <v>639.1</v>
      </c>
      <c r="AB63">
        <v>639</v>
      </c>
      <c r="AC63" t="s">
        <v>73</v>
      </c>
      <c r="AD63" t="s">
        <v>73</v>
      </c>
    </row>
    <row r="64" spans="1:30" x14ac:dyDescent="0.3">
      <c r="A64" t="s">
        <v>560</v>
      </c>
      <c r="B64" s="5" t="s">
        <v>561</v>
      </c>
      <c r="C64" t="s">
        <v>16</v>
      </c>
      <c r="D64" s="5" t="s">
        <v>179</v>
      </c>
      <c r="E64">
        <v>2114.6999999999998</v>
      </c>
      <c r="F64">
        <v>2037</v>
      </c>
      <c r="G64">
        <v>2024</v>
      </c>
      <c r="H64">
        <v>1921.7</v>
      </c>
      <c r="I64">
        <v>2330.3000000000002</v>
      </c>
      <c r="J64">
        <v>2694.4</v>
      </c>
      <c r="K64">
        <v>2209.9</v>
      </c>
      <c r="L64">
        <v>3009.1</v>
      </c>
      <c r="M64">
        <v>2792.8</v>
      </c>
      <c r="N64">
        <v>2760.5</v>
      </c>
      <c r="O64">
        <v>2464.1999999999998</v>
      </c>
      <c r="P64">
        <v>2598.9</v>
      </c>
      <c r="Q64">
        <v>3412</v>
      </c>
      <c r="R64">
        <v>3135.6</v>
      </c>
      <c r="S64">
        <v>3669.6</v>
      </c>
      <c r="T64">
        <v>4381.6000000000004</v>
      </c>
      <c r="U64">
        <v>2658.4</v>
      </c>
      <c r="V64">
        <v>3967.3</v>
      </c>
      <c r="W64">
        <v>2624.9</v>
      </c>
      <c r="X64">
        <v>4458.6000000000004</v>
      </c>
      <c r="Y64">
        <v>4411.5</v>
      </c>
      <c r="Z64">
        <v>3502.4</v>
      </c>
      <c r="AA64">
        <v>4224.5</v>
      </c>
      <c r="AB64">
        <v>3409.5</v>
      </c>
      <c r="AC64" t="s">
        <v>73</v>
      </c>
      <c r="AD64" t="s">
        <v>73</v>
      </c>
    </row>
    <row r="65" spans="1:30" x14ac:dyDescent="0.3">
      <c r="A65" t="s">
        <v>560</v>
      </c>
      <c r="B65" s="5" t="s">
        <v>561</v>
      </c>
      <c r="C65" t="s">
        <v>180</v>
      </c>
      <c r="D65" s="5" t="s">
        <v>181</v>
      </c>
      <c r="E65">
        <v>1632.7</v>
      </c>
      <c r="F65">
        <v>1417.6</v>
      </c>
      <c r="G65">
        <v>996.5</v>
      </c>
      <c r="H65">
        <v>1023.9</v>
      </c>
      <c r="I65">
        <v>1246.5</v>
      </c>
      <c r="J65">
        <v>1317.1</v>
      </c>
      <c r="K65">
        <v>1423.1</v>
      </c>
      <c r="L65">
        <v>567.6</v>
      </c>
      <c r="M65">
        <v>1001.4</v>
      </c>
      <c r="N65">
        <v>1289.5</v>
      </c>
      <c r="O65">
        <v>1205.3</v>
      </c>
      <c r="P65">
        <v>1343.6</v>
      </c>
      <c r="Q65">
        <v>1337.2</v>
      </c>
      <c r="R65">
        <v>1367.3</v>
      </c>
      <c r="S65">
        <v>1362.3</v>
      </c>
      <c r="T65">
        <v>1259.7</v>
      </c>
      <c r="U65">
        <v>1224.9000000000001</v>
      </c>
      <c r="V65">
        <v>1240.4000000000001</v>
      </c>
      <c r="W65">
        <v>1271.9000000000001</v>
      </c>
      <c r="X65">
        <v>1280.2</v>
      </c>
      <c r="Y65">
        <v>1287</v>
      </c>
      <c r="Z65">
        <v>1438.5</v>
      </c>
      <c r="AA65">
        <v>1597.3</v>
      </c>
      <c r="AB65">
        <v>1227.8</v>
      </c>
      <c r="AC65" t="s">
        <v>73</v>
      </c>
      <c r="AD65" t="s">
        <v>73</v>
      </c>
    </row>
    <row r="66" spans="1:30" x14ac:dyDescent="0.3">
      <c r="A66" t="s">
        <v>560</v>
      </c>
      <c r="B66" s="5" t="s">
        <v>561</v>
      </c>
      <c r="C66" t="s">
        <v>17</v>
      </c>
      <c r="D66" s="5" t="s">
        <v>182</v>
      </c>
      <c r="E66">
        <v>1116.3</v>
      </c>
      <c r="F66">
        <v>1198</v>
      </c>
      <c r="G66">
        <v>1353.7</v>
      </c>
      <c r="H66">
        <v>1123.3</v>
      </c>
      <c r="I66">
        <v>1162.5999999999999</v>
      </c>
      <c r="J66">
        <v>1361.4</v>
      </c>
      <c r="K66">
        <v>1563.3</v>
      </c>
      <c r="L66">
        <v>1441</v>
      </c>
      <c r="M66">
        <v>1418.4</v>
      </c>
      <c r="N66">
        <v>1647.1</v>
      </c>
      <c r="O66">
        <v>1767.3</v>
      </c>
      <c r="P66">
        <v>1876.6</v>
      </c>
      <c r="Q66">
        <v>1963.3</v>
      </c>
      <c r="R66">
        <v>2102</v>
      </c>
      <c r="S66">
        <v>2235.1</v>
      </c>
      <c r="T66">
        <v>2344.9</v>
      </c>
      <c r="U66">
        <v>2352.1999999999998</v>
      </c>
      <c r="V66">
        <v>2539.4</v>
      </c>
      <c r="W66">
        <v>2729.8</v>
      </c>
      <c r="X66">
        <v>2831.8</v>
      </c>
      <c r="Y66">
        <v>2841.2</v>
      </c>
      <c r="Z66">
        <v>2902.7</v>
      </c>
      <c r="AA66">
        <v>2822.5</v>
      </c>
      <c r="AB66">
        <v>2863.8</v>
      </c>
      <c r="AC66" t="s">
        <v>73</v>
      </c>
      <c r="AD66" t="s">
        <v>73</v>
      </c>
    </row>
    <row r="67" spans="1:30" x14ac:dyDescent="0.3">
      <c r="A67" t="s">
        <v>560</v>
      </c>
      <c r="B67" s="5" t="s">
        <v>561</v>
      </c>
      <c r="C67" t="s">
        <v>183</v>
      </c>
      <c r="D67" s="5" t="s">
        <v>184</v>
      </c>
      <c r="E67" t="s">
        <v>73</v>
      </c>
      <c r="F67" t="s">
        <v>73</v>
      </c>
      <c r="G67" t="s">
        <v>73</v>
      </c>
      <c r="H67" t="s">
        <v>73</v>
      </c>
      <c r="I67" t="s">
        <v>73</v>
      </c>
      <c r="J67" t="s">
        <v>73</v>
      </c>
      <c r="K67" t="s">
        <v>73</v>
      </c>
      <c r="L67" t="s">
        <v>73</v>
      </c>
      <c r="M67" t="s">
        <v>73</v>
      </c>
      <c r="N67" t="s">
        <v>73</v>
      </c>
      <c r="O67" t="s">
        <v>73</v>
      </c>
      <c r="P67" t="s">
        <v>73</v>
      </c>
      <c r="Q67" t="s">
        <v>73</v>
      </c>
      <c r="R67" t="s">
        <v>73</v>
      </c>
      <c r="S67" t="s">
        <v>73</v>
      </c>
      <c r="T67" t="s">
        <v>73</v>
      </c>
      <c r="U67" t="s">
        <v>73</v>
      </c>
      <c r="V67" t="s">
        <v>73</v>
      </c>
      <c r="W67" t="s">
        <v>73</v>
      </c>
      <c r="X67" t="s">
        <v>73</v>
      </c>
      <c r="Y67" t="s">
        <v>73</v>
      </c>
      <c r="Z67" t="s">
        <v>73</v>
      </c>
      <c r="AA67" t="s">
        <v>73</v>
      </c>
      <c r="AB67" t="s">
        <v>73</v>
      </c>
      <c r="AC67" t="s">
        <v>73</v>
      </c>
      <c r="AD67" t="s">
        <v>73</v>
      </c>
    </row>
    <row r="68" spans="1:30" x14ac:dyDescent="0.3">
      <c r="A68" t="s">
        <v>560</v>
      </c>
      <c r="B68" s="5" t="s">
        <v>561</v>
      </c>
      <c r="C68" t="s">
        <v>185</v>
      </c>
      <c r="D68" s="5" t="s">
        <v>186</v>
      </c>
      <c r="E68">
        <v>2433.6999999999998</v>
      </c>
      <c r="F68">
        <v>2341.6</v>
      </c>
      <c r="G68">
        <v>2379.8000000000002</v>
      </c>
      <c r="H68">
        <v>2338.9</v>
      </c>
      <c r="I68">
        <v>2352.8000000000002</v>
      </c>
      <c r="J68">
        <v>2349.1999999999998</v>
      </c>
      <c r="K68">
        <v>2283.5</v>
      </c>
      <c r="L68">
        <v>2652.4</v>
      </c>
      <c r="M68">
        <v>2266.1</v>
      </c>
      <c r="N68">
        <v>2819</v>
      </c>
      <c r="O68">
        <v>2871.1</v>
      </c>
      <c r="P68">
        <v>2821.3</v>
      </c>
      <c r="Q68">
        <v>2423.4</v>
      </c>
      <c r="R68">
        <v>2999.5</v>
      </c>
      <c r="S68">
        <v>4475.3999999999996</v>
      </c>
      <c r="T68">
        <v>3001</v>
      </c>
      <c r="U68">
        <v>3000.9</v>
      </c>
      <c r="V68">
        <v>3000.9</v>
      </c>
      <c r="W68">
        <v>3002.2</v>
      </c>
      <c r="X68">
        <v>3352.9</v>
      </c>
      <c r="Y68">
        <v>3666.2</v>
      </c>
      <c r="Z68">
        <v>3887.4</v>
      </c>
      <c r="AA68">
        <v>4090.4</v>
      </c>
      <c r="AB68">
        <v>4109.1000000000004</v>
      </c>
      <c r="AC68" t="s">
        <v>73</v>
      </c>
      <c r="AD68" t="s">
        <v>73</v>
      </c>
    </row>
    <row r="69" spans="1:30" x14ac:dyDescent="0.3">
      <c r="A69" t="s">
        <v>560</v>
      </c>
      <c r="B69" s="5" t="s">
        <v>561</v>
      </c>
      <c r="C69" t="s">
        <v>18</v>
      </c>
      <c r="D69" s="5" t="s">
        <v>187</v>
      </c>
      <c r="E69">
        <v>3498.7</v>
      </c>
      <c r="F69">
        <v>3164.4</v>
      </c>
      <c r="G69">
        <v>3295</v>
      </c>
      <c r="H69">
        <v>3178</v>
      </c>
      <c r="I69">
        <v>3210.6</v>
      </c>
      <c r="J69">
        <v>3422.9</v>
      </c>
      <c r="K69">
        <v>3293.8</v>
      </c>
      <c r="L69">
        <v>3654.7</v>
      </c>
      <c r="M69">
        <v>3542.3</v>
      </c>
      <c r="N69">
        <v>3760.4</v>
      </c>
      <c r="O69">
        <v>3135.3</v>
      </c>
      <c r="P69">
        <v>3521.7</v>
      </c>
      <c r="Q69">
        <v>3533.6</v>
      </c>
      <c r="R69">
        <v>3689.5</v>
      </c>
      <c r="S69">
        <v>3691.4</v>
      </c>
      <c r="T69">
        <v>3613.9</v>
      </c>
      <c r="U69">
        <v>3573.3</v>
      </c>
      <c r="V69">
        <v>3957.9</v>
      </c>
      <c r="W69">
        <v>3052.7</v>
      </c>
      <c r="X69">
        <v>4257.5</v>
      </c>
      <c r="Y69">
        <v>3589.3</v>
      </c>
      <c r="Z69">
        <v>2777.3</v>
      </c>
      <c r="AA69">
        <v>3770.1</v>
      </c>
      <c r="AB69">
        <v>3310.5</v>
      </c>
      <c r="AC69" t="s">
        <v>73</v>
      </c>
      <c r="AD69" t="s">
        <v>73</v>
      </c>
    </row>
    <row r="70" spans="1:30" x14ac:dyDescent="0.3">
      <c r="A70" t="s">
        <v>560</v>
      </c>
      <c r="B70" s="5" t="s">
        <v>561</v>
      </c>
      <c r="C70" t="s">
        <v>19</v>
      </c>
      <c r="D70" s="5" t="s">
        <v>188</v>
      </c>
      <c r="E70">
        <v>7231.5</v>
      </c>
      <c r="F70">
        <v>6729.2</v>
      </c>
      <c r="G70">
        <v>7453</v>
      </c>
      <c r="H70">
        <v>6125.3</v>
      </c>
      <c r="I70">
        <v>7518.7</v>
      </c>
      <c r="J70">
        <v>6965.4</v>
      </c>
      <c r="K70">
        <v>6800.5</v>
      </c>
      <c r="L70">
        <v>6520.6</v>
      </c>
      <c r="M70">
        <v>7252.8</v>
      </c>
      <c r="N70">
        <v>7412.4</v>
      </c>
      <c r="O70">
        <v>7068.6</v>
      </c>
      <c r="P70">
        <v>6919.3</v>
      </c>
      <c r="Q70">
        <v>7254.5</v>
      </c>
      <c r="R70">
        <v>7084.8</v>
      </c>
      <c r="S70">
        <v>7579.1</v>
      </c>
      <c r="T70">
        <v>7590.5</v>
      </c>
      <c r="U70">
        <v>5690.9</v>
      </c>
      <c r="V70">
        <v>7306.7</v>
      </c>
      <c r="W70">
        <v>6829.1</v>
      </c>
      <c r="X70">
        <v>7491.9</v>
      </c>
      <c r="Y70">
        <v>6394.9</v>
      </c>
      <c r="Z70">
        <v>7171.3</v>
      </c>
      <c r="AA70">
        <v>6654.9</v>
      </c>
      <c r="AB70">
        <v>7274</v>
      </c>
      <c r="AC70" t="s">
        <v>73</v>
      </c>
      <c r="AD70" t="s">
        <v>73</v>
      </c>
    </row>
    <row r="71" spans="1:30" x14ac:dyDescent="0.3">
      <c r="A71" t="s">
        <v>560</v>
      </c>
      <c r="B71" s="5" t="s">
        <v>561</v>
      </c>
      <c r="C71" t="s">
        <v>189</v>
      </c>
      <c r="D71" s="5" t="s">
        <v>190</v>
      </c>
      <c r="E71" t="s">
        <v>73</v>
      </c>
      <c r="F71" t="s">
        <v>73</v>
      </c>
      <c r="G71" t="s">
        <v>73</v>
      </c>
      <c r="H71" t="s">
        <v>73</v>
      </c>
      <c r="I71" t="s">
        <v>73</v>
      </c>
      <c r="J71" t="s">
        <v>73</v>
      </c>
      <c r="K71" t="s">
        <v>73</v>
      </c>
      <c r="L71" t="s">
        <v>73</v>
      </c>
      <c r="M71" t="s">
        <v>73</v>
      </c>
      <c r="N71" t="s">
        <v>73</v>
      </c>
      <c r="O71" t="s">
        <v>73</v>
      </c>
      <c r="P71" t="s">
        <v>73</v>
      </c>
      <c r="Q71" t="s">
        <v>73</v>
      </c>
      <c r="R71" t="s">
        <v>73</v>
      </c>
      <c r="S71" t="s">
        <v>73</v>
      </c>
      <c r="T71" t="s">
        <v>73</v>
      </c>
      <c r="U71" t="s">
        <v>73</v>
      </c>
      <c r="V71" t="s">
        <v>73</v>
      </c>
      <c r="W71" t="s">
        <v>73</v>
      </c>
      <c r="X71" t="s">
        <v>73</v>
      </c>
      <c r="Y71" t="s">
        <v>73</v>
      </c>
      <c r="Z71" t="s">
        <v>73</v>
      </c>
      <c r="AA71" t="s">
        <v>73</v>
      </c>
      <c r="AB71" t="s">
        <v>73</v>
      </c>
      <c r="AC71" t="s">
        <v>73</v>
      </c>
      <c r="AD71" t="s">
        <v>73</v>
      </c>
    </row>
    <row r="72" spans="1:30" x14ac:dyDescent="0.3">
      <c r="A72" t="s">
        <v>560</v>
      </c>
      <c r="B72" s="5" t="s">
        <v>561</v>
      </c>
      <c r="C72" t="s">
        <v>191</v>
      </c>
      <c r="D72" s="5" t="s">
        <v>192</v>
      </c>
      <c r="E72">
        <v>1630.3</v>
      </c>
      <c r="F72">
        <v>1541.5</v>
      </c>
      <c r="G72">
        <v>1449.4</v>
      </c>
      <c r="H72">
        <v>1538.1</v>
      </c>
      <c r="I72">
        <v>1559.8</v>
      </c>
      <c r="J72">
        <v>1569.9</v>
      </c>
      <c r="K72">
        <v>1580</v>
      </c>
      <c r="L72">
        <v>1667.1</v>
      </c>
      <c r="M72">
        <v>1611.4</v>
      </c>
      <c r="N72">
        <v>1589.1</v>
      </c>
      <c r="O72">
        <v>1595</v>
      </c>
      <c r="P72">
        <v>1596.1</v>
      </c>
      <c r="Q72">
        <v>1600.6</v>
      </c>
      <c r="R72">
        <v>1600.4</v>
      </c>
      <c r="S72">
        <v>1592.5</v>
      </c>
      <c r="T72">
        <v>1591.7</v>
      </c>
      <c r="U72">
        <v>1590.2</v>
      </c>
      <c r="V72">
        <v>1587.6</v>
      </c>
      <c r="W72">
        <v>1587</v>
      </c>
      <c r="X72">
        <v>1586.2</v>
      </c>
      <c r="Y72">
        <v>1587.2</v>
      </c>
      <c r="Z72">
        <v>1587</v>
      </c>
      <c r="AA72">
        <v>1586.8</v>
      </c>
      <c r="AB72">
        <v>1586.8</v>
      </c>
      <c r="AC72" t="s">
        <v>73</v>
      </c>
      <c r="AD72" t="s">
        <v>73</v>
      </c>
    </row>
    <row r="73" spans="1:30" x14ac:dyDescent="0.3">
      <c r="A73" t="s">
        <v>560</v>
      </c>
      <c r="B73" s="5" t="s">
        <v>561</v>
      </c>
      <c r="C73" t="s">
        <v>193</v>
      </c>
      <c r="D73" s="5" t="s">
        <v>194</v>
      </c>
      <c r="E73">
        <v>1305.3</v>
      </c>
      <c r="F73">
        <v>1292.5</v>
      </c>
      <c r="G73">
        <v>966.5</v>
      </c>
      <c r="H73">
        <v>1207.7</v>
      </c>
      <c r="I73">
        <v>1179</v>
      </c>
      <c r="J73">
        <v>1047.4000000000001</v>
      </c>
      <c r="K73">
        <v>1033</v>
      </c>
      <c r="L73">
        <v>805.3</v>
      </c>
      <c r="M73">
        <v>983.5</v>
      </c>
      <c r="N73">
        <v>1057.7</v>
      </c>
      <c r="O73">
        <v>1136.0999999999999</v>
      </c>
      <c r="P73">
        <v>879.2</v>
      </c>
      <c r="Q73">
        <v>920</v>
      </c>
      <c r="R73">
        <v>968.9</v>
      </c>
      <c r="S73">
        <v>753.2</v>
      </c>
      <c r="T73">
        <v>893.1</v>
      </c>
      <c r="U73">
        <v>739.5</v>
      </c>
      <c r="V73">
        <v>575.29999999999995</v>
      </c>
      <c r="W73">
        <v>593.5</v>
      </c>
      <c r="X73">
        <v>450.9</v>
      </c>
      <c r="Y73">
        <v>659.8</v>
      </c>
      <c r="Z73">
        <v>1054.0999999999999</v>
      </c>
      <c r="AA73">
        <v>805</v>
      </c>
      <c r="AB73">
        <v>800.7</v>
      </c>
      <c r="AC73" t="s">
        <v>73</v>
      </c>
      <c r="AD73" t="s">
        <v>73</v>
      </c>
    </row>
    <row r="74" spans="1:30" x14ac:dyDescent="0.3">
      <c r="A74" t="s">
        <v>560</v>
      </c>
      <c r="B74" s="5" t="s">
        <v>561</v>
      </c>
      <c r="C74" t="s">
        <v>195</v>
      </c>
      <c r="D74" s="5" t="s">
        <v>196</v>
      </c>
      <c r="E74">
        <v>1369</v>
      </c>
      <c r="F74">
        <v>2012.2</v>
      </c>
      <c r="G74">
        <v>1860.1</v>
      </c>
      <c r="H74">
        <v>2136.9</v>
      </c>
      <c r="I74">
        <v>2003.4</v>
      </c>
      <c r="J74">
        <v>2011.6</v>
      </c>
      <c r="K74">
        <v>1583.8</v>
      </c>
      <c r="L74">
        <v>2114.5</v>
      </c>
      <c r="M74">
        <v>2090.4</v>
      </c>
      <c r="N74">
        <v>1907.8</v>
      </c>
      <c r="O74">
        <v>1271.4000000000001</v>
      </c>
      <c r="P74">
        <v>2201.3000000000002</v>
      </c>
      <c r="Q74">
        <v>2186.4</v>
      </c>
      <c r="R74">
        <v>2200.6</v>
      </c>
      <c r="S74">
        <v>2032.8</v>
      </c>
      <c r="T74">
        <v>1959.4</v>
      </c>
      <c r="U74">
        <v>2514.5</v>
      </c>
      <c r="V74">
        <v>1976.2</v>
      </c>
      <c r="W74">
        <v>2531.1999999999998</v>
      </c>
      <c r="X74">
        <v>2539.1</v>
      </c>
      <c r="Y74">
        <v>2647</v>
      </c>
      <c r="Z74">
        <v>2750.4</v>
      </c>
      <c r="AA74">
        <v>2408.5</v>
      </c>
      <c r="AB74">
        <v>2568.5</v>
      </c>
      <c r="AC74" t="s">
        <v>73</v>
      </c>
      <c r="AD74" t="s">
        <v>73</v>
      </c>
    </row>
    <row r="75" spans="1:30" x14ac:dyDescent="0.3">
      <c r="A75" t="s">
        <v>560</v>
      </c>
      <c r="B75" s="5" t="s">
        <v>561</v>
      </c>
      <c r="C75" t="s">
        <v>20</v>
      </c>
      <c r="D75" s="5" t="s">
        <v>197</v>
      </c>
      <c r="E75">
        <v>6452.9</v>
      </c>
      <c r="F75">
        <v>7055.2</v>
      </c>
      <c r="G75">
        <v>6251.5</v>
      </c>
      <c r="H75">
        <v>5764.5</v>
      </c>
      <c r="I75">
        <v>7355.3</v>
      </c>
      <c r="J75">
        <v>6723.2</v>
      </c>
      <c r="K75">
        <v>6486.6</v>
      </c>
      <c r="L75">
        <v>6182.9</v>
      </c>
      <c r="M75">
        <v>7118.8</v>
      </c>
      <c r="N75">
        <v>7201.4</v>
      </c>
      <c r="O75">
        <v>6685.2</v>
      </c>
      <c r="P75">
        <v>6458.3</v>
      </c>
      <c r="Q75">
        <v>6964.9</v>
      </c>
      <c r="R75">
        <v>7318</v>
      </c>
      <c r="S75">
        <v>8050.3</v>
      </c>
      <c r="T75">
        <v>7497.8</v>
      </c>
      <c r="U75">
        <v>7182.1</v>
      </c>
      <c r="V75">
        <v>7269.9</v>
      </c>
      <c r="W75">
        <v>6178.9</v>
      </c>
      <c r="X75">
        <v>6952</v>
      </c>
      <c r="Y75">
        <v>7133.3</v>
      </c>
      <c r="Z75">
        <v>6998.1</v>
      </c>
      <c r="AA75">
        <v>7126.1</v>
      </c>
      <c r="AB75">
        <v>7007.3</v>
      </c>
      <c r="AC75" t="s">
        <v>73</v>
      </c>
      <c r="AD75" t="s">
        <v>73</v>
      </c>
    </row>
    <row r="76" spans="1:30" x14ac:dyDescent="0.3">
      <c r="A76" t="s">
        <v>560</v>
      </c>
      <c r="B76" s="5" t="s">
        <v>561</v>
      </c>
      <c r="C76" t="s">
        <v>198</v>
      </c>
      <c r="D76" s="5" t="s">
        <v>199</v>
      </c>
      <c r="E76">
        <v>1309.2</v>
      </c>
      <c r="F76">
        <v>1186.0999999999999</v>
      </c>
      <c r="G76">
        <v>1349</v>
      </c>
      <c r="H76">
        <v>1396.4</v>
      </c>
      <c r="I76">
        <v>1373.3</v>
      </c>
      <c r="J76">
        <v>1432.3</v>
      </c>
      <c r="K76">
        <v>1334.5</v>
      </c>
      <c r="L76">
        <v>1317</v>
      </c>
      <c r="M76">
        <v>1598.1</v>
      </c>
      <c r="N76">
        <v>1659.8</v>
      </c>
      <c r="O76">
        <v>1814.3</v>
      </c>
      <c r="P76">
        <v>1594.2</v>
      </c>
      <c r="Q76">
        <v>1768.1</v>
      </c>
      <c r="R76">
        <v>1688.8</v>
      </c>
      <c r="S76">
        <v>1703.4</v>
      </c>
      <c r="T76">
        <v>1830.3</v>
      </c>
      <c r="U76">
        <v>1842.4</v>
      </c>
      <c r="V76">
        <v>1930.7</v>
      </c>
      <c r="W76">
        <v>2172.6</v>
      </c>
      <c r="X76">
        <v>2346.1999999999998</v>
      </c>
      <c r="Y76">
        <v>2410.8000000000002</v>
      </c>
      <c r="Z76">
        <v>2360.5</v>
      </c>
      <c r="AA76">
        <v>2433.8000000000002</v>
      </c>
      <c r="AB76">
        <v>2687.6</v>
      </c>
      <c r="AC76" t="s">
        <v>73</v>
      </c>
      <c r="AD76" t="s">
        <v>73</v>
      </c>
    </row>
    <row r="77" spans="1:30" x14ac:dyDescent="0.3">
      <c r="A77" t="s">
        <v>560</v>
      </c>
      <c r="B77" s="5" t="s">
        <v>561</v>
      </c>
      <c r="C77" t="s">
        <v>200</v>
      </c>
      <c r="D77" s="5" t="s">
        <v>201</v>
      </c>
      <c r="E77" t="s">
        <v>73</v>
      </c>
      <c r="F77" t="s">
        <v>73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  <c r="L77" t="s">
        <v>73</v>
      </c>
      <c r="M77" t="s">
        <v>73</v>
      </c>
      <c r="N77" t="s">
        <v>73</v>
      </c>
      <c r="O77" t="s">
        <v>73</v>
      </c>
      <c r="P77" t="s">
        <v>73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73</v>
      </c>
      <c r="X77" t="s">
        <v>73</v>
      </c>
      <c r="Y77" t="s">
        <v>73</v>
      </c>
      <c r="Z77" t="s">
        <v>73</v>
      </c>
      <c r="AA77" t="s">
        <v>73</v>
      </c>
      <c r="AB77" t="s">
        <v>73</v>
      </c>
      <c r="AC77" t="s">
        <v>73</v>
      </c>
      <c r="AD77" t="s">
        <v>73</v>
      </c>
    </row>
    <row r="78" spans="1:30" x14ac:dyDescent="0.3">
      <c r="A78" t="s">
        <v>560</v>
      </c>
      <c r="B78" s="5" t="s">
        <v>561</v>
      </c>
      <c r="C78" t="s">
        <v>21</v>
      </c>
      <c r="D78" s="5" t="s">
        <v>202</v>
      </c>
      <c r="E78">
        <v>3868.8</v>
      </c>
      <c r="F78">
        <v>3847.6</v>
      </c>
      <c r="G78">
        <v>3747.2</v>
      </c>
      <c r="H78">
        <v>3693.6</v>
      </c>
      <c r="I78">
        <v>4017.4</v>
      </c>
      <c r="J78">
        <v>4049.8</v>
      </c>
      <c r="K78">
        <v>3918.9</v>
      </c>
      <c r="L78">
        <v>3929.9</v>
      </c>
      <c r="M78">
        <v>4515.8</v>
      </c>
      <c r="N78">
        <v>4266.2</v>
      </c>
      <c r="O78">
        <v>4064.9</v>
      </c>
      <c r="P78">
        <v>4344.1000000000004</v>
      </c>
      <c r="Q78">
        <v>4206.7</v>
      </c>
      <c r="R78">
        <v>4393.3</v>
      </c>
      <c r="S78">
        <v>4286.5</v>
      </c>
      <c r="T78">
        <v>4214.8999999999996</v>
      </c>
      <c r="U78">
        <v>4223.5</v>
      </c>
      <c r="V78">
        <v>4317.2</v>
      </c>
      <c r="W78">
        <v>3799.6</v>
      </c>
      <c r="X78">
        <v>4043.5</v>
      </c>
      <c r="Y78">
        <v>4197.1000000000004</v>
      </c>
      <c r="Z78">
        <v>4194.7</v>
      </c>
      <c r="AA78">
        <v>4142.6000000000004</v>
      </c>
      <c r="AB78">
        <v>4139.8999999999996</v>
      </c>
      <c r="AC78" t="s">
        <v>73</v>
      </c>
      <c r="AD78" t="s">
        <v>73</v>
      </c>
    </row>
    <row r="79" spans="1:30" x14ac:dyDescent="0.3">
      <c r="A79" t="s">
        <v>560</v>
      </c>
      <c r="B79" s="5" t="s">
        <v>561</v>
      </c>
      <c r="C79" t="s">
        <v>203</v>
      </c>
      <c r="D79" s="5" t="s">
        <v>204</v>
      </c>
      <c r="E79" t="s">
        <v>73</v>
      </c>
      <c r="F79" t="s">
        <v>73</v>
      </c>
      <c r="G79" t="s">
        <v>73</v>
      </c>
      <c r="H79" t="s">
        <v>73</v>
      </c>
      <c r="I79" t="s">
        <v>73</v>
      </c>
      <c r="J79" t="s">
        <v>73</v>
      </c>
      <c r="K79" t="s">
        <v>73</v>
      </c>
      <c r="L79" t="s">
        <v>73</v>
      </c>
      <c r="M79" t="s">
        <v>73</v>
      </c>
      <c r="N79" t="s">
        <v>73</v>
      </c>
      <c r="O79" t="s">
        <v>73</v>
      </c>
      <c r="P79" t="s">
        <v>73</v>
      </c>
      <c r="Q79" t="s">
        <v>73</v>
      </c>
      <c r="R79" t="s">
        <v>73</v>
      </c>
      <c r="S79" t="s">
        <v>73</v>
      </c>
      <c r="T79" t="s">
        <v>73</v>
      </c>
      <c r="U79" t="s">
        <v>73</v>
      </c>
      <c r="V79" t="s">
        <v>73</v>
      </c>
      <c r="W79" t="s">
        <v>73</v>
      </c>
      <c r="X79" t="s">
        <v>73</v>
      </c>
      <c r="Y79" t="s">
        <v>73</v>
      </c>
      <c r="Z79" t="s">
        <v>73</v>
      </c>
      <c r="AA79" t="s">
        <v>73</v>
      </c>
      <c r="AB79" t="s">
        <v>73</v>
      </c>
      <c r="AC79" t="s">
        <v>73</v>
      </c>
      <c r="AD79" t="s">
        <v>73</v>
      </c>
    </row>
    <row r="80" spans="1:30" x14ac:dyDescent="0.3">
      <c r="A80" t="s">
        <v>560</v>
      </c>
      <c r="B80" s="5" t="s">
        <v>561</v>
      </c>
      <c r="C80" t="s">
        <v>205</v>
      </c>
      <c r="D80" s="5" t="s">
        <v>206</v>
      </c>
      <c r="E80">
        <v>1002.8</v>
      </c>
      <c r="F80">
        <v>1001.8</v>
      </c>
      <c r="G80">
        <v>997.1</v>
      </c>
      <c r="H80">
        <v>999.6</v>
      </c>
      <c r="I80">
        <v>1000.6</v>
      </c>
      <c r="J80">
        <v>984.4</v>
      </c>
      <c r="K80">
        <v>1000</v>
      </c>
      <c r="L80">
        <v>1000</v>
      </c>
      <c r="M80">
        <v>1005.6</v>
      </c>
      <c r="N80">
        <v>1007.1</v>
      </c>
      <c r="O80">
        <v>1008.4</v>
      </c>
      <c r="P80">
        <v>1009</v>
      </c>
      <c r="Q80">
        <v>1028.5999999999999</v>
      </c>
      <c r="R80">
        <v>1000</v>
      </c>
      <c r="S80">
        <v>993.3</v>
      </c>
      <c r="T80">
        <v>1002.1</v>
      </c>
      <c r="U80">
        <v>998.3</v>
      </c>
      <c r="V80">
        <v>997.2</v>
      </c>
      <c r="W80">
        <v>996.5</v>
      </c>
      <c r="X80">
        <v>997.5</v>
      </c>
      <c r="Y80">
        <v>998.7</v>
      </c>
      <c r="Z80">
        <v>999.3</v>
      </c>
      <c r="AA80">
        <v>999.1</v>
      </c>
      <c r="AB80">
        <v>998.8</v>
      </c>
      <c r="AC80" t="s">
        <v>73</v>
      </c>
      <c r="AD80" t="s">
        <v>73</v>
      </c>
    </row>
    <row r="81" spans="1:30" x14ac:dyDescent="0.3">
      <c r="A81" t="s">
        <v>560</v>
      </c>
      <c r="B81" s="5" t="s">
        <v>561</v>
      </c>
      <c r="C81" t="s">
        <v>207</v>
      </c>
      <c r="D81" s="5" t="s">
        <v>208</v>
      </c>
      <c r="E81" t="s">
        <v>73</v>
      </c>
      <c r="F81" t="s">
        <v>73</v>
      </c>
      <c r="G81" t="s">
        <v>73</v>
      </c>
      <c r="H81" t="s">
        <v>73</v>
      </c>
      <c r="I81" t="s">
        <v>73</v>
      </c>
      <c r="J81" t="s">
        <v>73</v>
      </c>
      <c r="K81" t="s">
        <v>73</v>
      </c>
      <c r="L81" t="s">
        <v>73</v>
      </c>
      <c r="M81" t="s">
        <v>73</v>
      </c>
      <c r="N81" t="s">
        <v>73</v>
      </c>
      <c r="O81" t="s">
        <v>73</v>
      </c>
      <c r="P81" t="s">
        <v>73</v>
      </c>
      <c r="Q81" t="s">
        <v>73</v>
      </c>
      <c r="R81" t="s">
        <v>73</v>
      </c>
      <c r="S81" t="s">
        <v>73</v>
      </c>
      <c r="T81" t="s">
        <v>73</v>
      </c>
      <c r="U81" t="s">
        <v>73</v>
      </c>
      <c r="V81" t="s">
        <v>73</v>
      </c>
      <c r="W81" t="s">
        <v>73</v>
      </c>
      <c r="X81" t="s">
        <v>73</v>
      </c>
      <c r="Y81" t="s">
        <v>73</v>
      </c>
      <c r="Z81" t="s">
        <v>73</v>
      </c>
      <c r="AA81" t="s">
        <v>73</v>
      </c>
      <c r="AB81" t="s">
        <v>73</v>
      </c>
      <c r="AC81" t="s">
        <v>73</v>
      </c>
      <c r="AD81" t="s">
        <v>73</v>
      </c>
    </row>
    <row r="82" spans="1:30" x14ac:dyDescent="0.3">
      <c r="A82" t="s">
        <v>560</v>
      </c>
      <c r="B82" s="5" t="s">
        <v>561</v>
      </c>
      <c r="C82" t="s">
        <v>209</v>
      </c>
      <c r="D82" s="5" t="s">
        <v>210</v>
      </c>
      <c r="E82">
        <v>1776.4</v>
      </c>
      <c r="F82">
        <v>2038.8</v>
      </c>
      <c r="G82">
        <v>2017.2</v>
      </c>
      <c r="H82">
        <v>2053.6999999999998</v>
      </c>
      <c r="I82">
        <v>2117.1</v>
      </c>
      <c r="J82">
        <v>2311.9</v>
      </c>
      <c r="K82">
        <v>2514.1</v>
      </c>
      <c r="L82">
        <v>2305.8000000000002</v>
      </c>
      <c r="M82">
        <v>2010.6</v>
      </c>
      <c r="N82">
        <v>1983.3</v>
      </c>
      <c r="O82">
        <v>1996.6</v>
      </c>
      <c r="P82">
        <v>2000.4</v>
      </c>
      <c r="Q82">
        <v>2036.7</v>
      </c>
      <c r="R82">
        <v>2082.4</v>
      </c>
      <c r="S82">
        <v>2092.4</v>
      </c>
      <c r="T82">
        <v>2115.6999999999998</v>
      </c>
      <c r="U82">
        <v>2152.3000000000002</v>
      </c>
      <c r="V82">
        <v>2153.3000000000002</v>
      </c>
      <c r="W82">
        <v>2153.3000000000002</v>
      </c>
      <c r="X82">
        <v>2114.4</v>
      </c>
      <c r="Y82">
        <v>2047.4</v>
      </c>
      <c r="Z82">
        <v>1990.2</v>
      </c>
      <c r="AA82">
        <v>1930.7</v>
      </c>
      <c r="AB82">
        <v>1821.7</v>
      </c>
      <c r="AC82" t="s">
        <v>73</v>
      </c>
      <c r="AD82" t="s">
        <v>73</v>
      </c>
    </row>
    <row r="83" spans="1:30" x14ac:dyDescent="0.3">
      <c r="A83" t="s">
        <v>560</v>
      </c>
      <c r="B83" s="5" t="s">
        <v>561</v>
      </c>
      <c r="C83" t="s">
        <v>211</v>
      </c>
      <c r="D83" s="5" t="s">
        <v>212</v>
      </c>
      <c r="E83">
        <v>1492.1</v>
      </c>
      <c r="F83">
        <v>1483</v>
      </c>
      <c r="G83">
        <v>1487.2</v>
      </c>
      <c r="H83">
        <v>1484.8</v>
      </c>
      <c r="I83">
        <v>1491.3</v>
      </c>
      <c r="J83">
        <v>1495.6</v>
      </c>
      <c r="K83">
        <v>1502</v>
      </c>
      <c r="L83">
        <v>1514</v>
      </c>
      <c r="M83">
        <v>1464.7</v>
      </c>
      <c r="N83">
        <v>1484.3</v>
      </c>
      <c r="O83">
        <v>1184.7</v>
      </c>
      <c r="P83">
        <v>1226</v>
      </c>
      <c r="Q83">
        <v>1152.2</v>
      </c>
      <c r="R83">
        <v>1189.5999999999999</v>
      </c>
      <c r="S83">
        <v>1123</v>
      </c>
      <c r="T83">
        <v>1122.4000000000001</v>
      </c>
      <c r="U83">
        <v>1155.5</v>
      </c>
      <c r="V83">
        <v>1165.4000000000001</v>
      </c>
      <c r="W83">
        <v>1186.7</v>
      </c>
      <c r="X83">
        <v>1257.9000000000001</v>
      </c>
      <c r="Y83">
        <v>1323.7</v>
      </c>
      <c r="Z83">
        <v>1356.5</v>
      </c>
      <c r="AA83">
        <v>1369.5</v>
      </c>
      <c r="AB83">
        <v>1370.7</v>
      </c>
      <c r="AC83" t="s">
        <v>73</v>
      </c>
      <c r="AD83" t="s">
        <v>73</v>
      </c>
    </row>
    <row r="84" spans="1:30" x14ac:dyDescent="0.3">
      <c r="A84" t="s">
        <v>560</v>
      </c>
      <c r="B84" s="5" t="s">
        <v>561</v>
      </c>
      <c r="C84" t="s">
        <v>213</v>
      </c>
      <c r="D84" s="5" t="s">
        <v>214</v>
      </c>
      <c r="E84">
        <v>1097</v>
      </c>
      <c r="F84">
        <v>1004.9</v>
      </c>
      <c r="G84">
        <v>1067.3</v>
      </c>
      <c r="H84">
        <v>1075.9000000000001</v>
      </c>
      <c r="I84">
        <v>1164</v>
      </c>
      <c r="J84">
        <v>1325.6</v>
      </c>
      <c r="K84">
        <v>1412.6</v>
      </c>
      <c r="L84">
        <v>1346.1</v>
      </c>
      <c r="M84">
        <v>1490.3</v>
      </c>
      <c r="N84">
        <v>1632.2</v>
      </c>
      <c r="O84">
        <v>1723.8</v>
      </c>
      <c r="P84">
        <v>1588.7</v>
      </c>
      <c r="Q84">
        <v>1512.1</v>
      </c>
      <c r="R84">
        <v>1397.7</v>
      </c>
      <c r="S84">
        <v>1394.8</v>
      </c>
      <c r="T84">
        <v>1402.1</v>
      </c>
      <c r="U84">
        <v>1414.4</v>
      </c>
      <c r="V84">
        <v>1385.9</v>
      </c>
      <c r="W84">
        <v>1397.3</v>
      </c>
      <c r="X84">
        <v>1287</v>
      </c>
      <c r="Y84">
        <v>1343</v>
      </c>
      <c r="Z84">
        <v>1352.4</v>
      </c>
      <c r="AA84">
        <v>1558.3</v>
      </c>
      <c r="AB84">
        <v>1582</v>
      </c>
      <c r="AC84" t="s">
        <v>73</v>
      </c>
      <c r="AD84" t="s">
        <v>73</v>
      </c>
    </row>
    <row r="85" spans="1:30" x14ac:dyDescent="0.3">
      <c r="A85" t="s">
        <v>560</v>
      </c>
      <c r="B85" s="5" t="s">
        <v>561</v>
      </c>
      <c r="C85" t="s">
        <v>215</v>
      </c>
      <c r="D85" s="5" t="s">
        <v>216</v>
      </c>
      <c r="E85">
        <v>3799.2</v>
      </c>
      <c r="F85">
        <v>3947.9</v>
      </c>
      <c r="G85">
        <v>4084</v>
      </c>
      <c r="H85">
        <v>4155.5</v>
      </c>
      <c r="I85">
        <v>4216.6000000000004</v>
      </c>
      <c r="J85">
        <v>3861.4</v>
      </c>
      <c r="K85">
        <v>4523</v>
      </c>
      <c r="L85">
        <v>4222.2</v>
      </c>
      <c r="M85">
        <v>4161.5</v>
      </c>
      <c r="N85">
        <v>4345.5</v>
      </c>
      <c r="O85">
        <v>4165.3999999999996</v>
      </c>
      <c r="P85">
        <v>4343.8999999999996</v>
      </c>
      <c r="Q85">
        <v>4465.3999999999996</v>
      </c>
      <c r="R85">
        <v>4936.7</v>
      </c>
      <c r="S85">
        <v>5210.7</v>
      </c>
      <c r="T85">
        <v>5476.9</v>
      </c>
      <c r="U85">
        <v>5395.5</v>
      </c>
      <c r="V85">
        <v>5523.4</v>
      </c>
      <c r="W85">
        <v>5696.2</v>
      </c>
      <c r="X85">
        <v>5831.3</v>
      </c>
      <c r="Y85">
        <v>5634.1</v>
      </c>
      <c r="Z85">
        <v>5443.6</v>
      </c>
      <c r="AA85">
        <v>5941.9</v>
      </c>
      <c r="AB85">
        <v>6028.1</v>
      </c>
      <c r="AC85" t="s">
        <v>73</v>
      </c>
      <c r="AD85" t="s">
        <v>73</v>
      </c>
    </row>
    <row r="86" spans="1:30" x14ac:dyDescent="0.3">
      <c r="A86" t="s">
        <v>560</v>
      </c>
      <c r="B86" s="5" t="s">
        <v>561</v>
      </c>
      <c r="C86" t="s">
        <v>217</v>
      </c>
      <c r="D86" s="5" t="s">
        <v>218</v>
      </c>
      <c r="E86">
        <v>931.8</v>
      </c>
      <c r="F86">
        <v>826.5</v>
      </c>
      <c r="G86">
        <v>920.4</v>
      </c>
      <c r="H86">
        <v>920.8</v>
      </c>
      <c r="I86">
        <v>933.8</v>
      </c>
      <c r="J86">
        <v>956.8</v>
      </c>
      <c r="K86">
        <v>962.9</v>
      </c>
      <c r="L86">
        <v>959.8</v>
      </c>
      <c r="M86">
        <v>961.1</v>
      </c>
      <c r="N86">
        <v>994.6</v>
      </c>
      <c r="O86">
        <v>977.4</v>
      </c>
      <c r="P86">
        <v>982.2</v>
      </c>
      <c r="Q86">
        <v>1077</v>
      </c>
      <c r="R86">
        <v>1059.9000000000001</v>
      </c>
      <c r="S86">
        <v>895</v>
      </c>
      <c r="T86">
        <v>978.1</v>
      </c>
      <c r="U86">
        <v>1012.3</v>
      </c>
      <c r="V86">
        <v>894.6</v>
      </c>
      <c r="W86">
        <v>709.9</v>
      </c>
      <c r="X86">
        <v>1599.3</v>
      </c>
      <c r="Y86">
        <v>927.7</v>
      </c>
      <c r="Z86">
        <v>1070.5999999999999</v>
      </c>
      <c r="AA86">
        <v>1061.5999999999999</v>
      </c>
      <c r="AB86">
        <v>1062.5999999999999</v>
      </c>
      <c r="AC86" t="s">
        <v>73</v>
      </c>
      <c r="AD86" t="s">
        <v>73</v>
      </c>
    </row>
    <row r="87" spans="1:30" x14ac:dyDescent="0.3">
      <c r="A87" t="s">
        <v>560</v>
      </c>
      <c r="B87" s="5" t="s">
        <v>561</v>
      </c>
      <c r="C87" t="s">
        <v>219</v>
      </c>
      <c r="D87" s="5" t="s">
        <v>220</v>
      </c>
      <c r="E87">
        <v>1368.1</v>
      </c>
      <c r="F87">
        <v>1447.1</v>
      </c>
      <c r="G87">
        <v>1341.8</v>
      </c>
      <c r="H87">
        <v>1533.4</v>
      </c>
      <c r="I87">
        <v>1388.1</v>
      </c>
      <c r="J87">
        <v>1506.5</v>
      </c>
      <c r="K87">
        <v>1522.3</v>
      </c>
      <c r="L87">
        <v>1682.7</v>
      </c>
      <c r="M87">
        <v>1680.5</v>
      </c>
      <c r="N87">
        <v>1727.2</v>
      </c>
      <c r="O87">
        <v>1660.3</v>
      </c>
      <c r="P87">
        <v>1711.5</v>
      </c>
      <c r="Q87">
        <v>1646.9</v>
      </c>
      <c r="R87">
        <v>1671.4</v>
      </c>
      <c r="S87">
        <v>1854.7</v>
      </c>
      <c r="T87">
        <v>1821.3</v>
      </c>
      <c r="U87">
        <v>1890.9</v>
      </c>
      <c r="V87">
        <v>1865.7</v>
      </c>
      <c r="W87">
        <v>1847</v>
      </c>
      <c r="X87">
        <v>1862.6</v>
      </c>
      <c r="Y87">
        <v>1886.3</v>
      </c>
      <c r="Z87">
        <v>1885.7</v>
      </c>
      <c r="AA87">
        <v>1892.9</v>
      </c>
      <c r="AB87">
        <v>1887.4</v>
      </c>
      <c r="AC87" t="s">
        <v>73</v>
      </c>
      <c r="AD87" t="s">
        <v>73</v>
      </c>
    </row>
    <row r="88" spans="1:30" x14ac:dyDescent="0.3">
      <c r="A88" t="s">
        <v>560</v>
      </c>
      <c r="B88" s="5" t="s">
        <v>561</v>
      </c>
      <c r="C88" t="s">
        <v>221</v>
      </c>
      <c r="D88" s="5" t="s">
        <v>222</v>
      </c>
      <c r="E88">
        <v>1923.3</v>
      </c>
      <c r="F88">
        <v>1905.8</v>
      </c>
      <c r="G88">
        <v>1989.9</v>
      </c>
      <c r="H88">
        <v>1989.8</v>
      </c>
      <c r="I88">
        <v>1989.8</v>
      </c>
      <c r="J88">
        <v>1989.9</v>
      </c>
      <c r="K88" t="s">
        <v>73</v>
      </c>
      <c r="L88">
        <v>1985.4</v>
      </c>
      <c r="M88">
        <v>1975.2</v>
      </c>
      <c r="N88">
        <v>2000.4</v>
      </c>
      <c r="O88">
        <v>2000.4</v>
      </c>
      <c r="P88">
        <v>2000.4</v>
      </c>
      <c r="Q88">
        <v>2000.4</v>
      </c>
      <c r="R88">
        <v>2000.4</v>
      </c>
      <c r="S88">
        <v>2030.6</v>
      </c>
      <c r="T88">
        <v>2079.4</v>
      </c>
      <c r="U88">
        <v>2095.6999999999998</v>
      </c>
      <c r="V88">
        <v>2101.1</v>
      </c>
      <c r="W88">
        <v>2109</v>
      </c>
      <c r="X88">
        <v>2102.4</v>
      </c>
      <c r="Y88">
        <v>2115.8000000000002</v>
      </c>
      <c r="Z88">
        <v>2039.9</v>
      </c>
      <c r="AA88">
        <v>2049.4</v>
      </c>
      <c r="AB88">
        <v>2059</v>
      </c>
      <c r="AC88" t="s">
        <v>73</v>
      </c>
      <c r="AD88" t="s">
        <v>73</v>
      </c>
    </row>
    <row r="89" spans="1:30" x14ac:dyDescent="0.3">
      <c r="A89" t="s">
        <v>560</v>
      </c>
      <c r="B89" s="5" t="s">
        <v>561</v>
      </c>
      <c r="C89" t="s">
        <v>223</v>
      </c>
      <c r="D89" s="5" t="s">
        <v>224</v>
      </c>
      <c r="E89">
        <v>3632.7</v>
      </c>
      <c r="F89">
        <v>4884.8999999999996</v>
      </c>
      <c r="G89">
        <v>3963.2</v>
      </c>
      <c r="H89">
        <v>3038.9</v>
      </c>
      <c r="I89">
        <v>5589.9</v>
      </c>
      <c r="J89">
        <v>5526.6</v>
      </c>
      <c r="K89">
        <v>5097.3</v>
      </c>
      <c r="L89">
        <v>3492</v>
      </c>
      <c r="M89">
        <v>5800.2</v>
      </c>
      <c r="N89">
        <v>4715.2</v>
      </c>
      <c r="O89">
        <v>4719</v>
      </c>
      <c r="P89">
        <v>5105.1000000000004</v>
      </c>
      <c r="Q89">
        <v>3761.1</v>
      </c>
      <c r="R89">
        <v>4831.5</v>
      </c>
      <c r="S89">
        <v>5897</v>
      </c>
      <c r="T89">
        <v>5243.4</v>
      </c>
      <c r="U89">
        <v>6486.6</v>
      </c>
      <c r="V89">
        <v>5835.5</v>
      </c>
      <c r="W89">
        <v>6286.2</v>
      </c>
      <c r="X89">
        <v>6365.8</v>
      </c>
      <c r="Y89">
        <v>6659.1</v>
      </c>
      <c r="Z89">
        <v>5920</v>
      </c>
      <c r="AA89">
        <v>4032.1</v>
      </c>
      <c r="AB89">
        <v>6252</v>
      </c>
      <c r="AC89" t="s">
        <v>73</v>
      </c>
      <c r="AD89" t="s">
        <v>73</v>
      </c>
    </row>
    <row r="90" spans="1:30" x14ac:dyDescent="0.3">
      <c r="A90" t="s">
        <v>560</v>
      </c>
      <c r="B90" s="5" t="s">
        <v>561</v>
      </c>
      <c r="C90" t="s">
        <v>225</v>
      </c>
      <c r="D90" s="5" t="s">
        <v>226</v>
      </c>
      <c r="E90" t="s">
        <v>73</v>
      </c>
      <c r="F90" t="s">
        <v>73</v>
      </c>
      <c r="G90" t="s">
        <v>73</v>
      </c>
      <c r="H90" t="s">
        <v>73</v>
      </c>
      <c r="I90" t="s">
        <v>73</v>
      </c>
      <c r="J90" t="s">
        <v>73</v>
      </c>
      <c r="K90" t="s">
        <v>73</v>
      </c>
      <c r="L90" t="s">
        <v>73</v>
      </c>
      <c r="M90" t="s">
        <v>73</v>
      </c>
      <c r="N90" t="s">
        <v>73</v>
      </c>
      <c r="O90" t="s">
        <v>73</v>
      </c>
      <c r="P90" t="s">
        <v>73</v>
      </c>
      <c r="Q90" t="s">
        <v>73</v>
      </c>
      <c r="R90" t="s">
        <v>73</v>
      </c>
      <c r="S90" t="s">
        <v>73</v>
      </c>
      <c r="T90">
        <v>3186.8</v>
      </c>
      <c r="U90">
        <v>3212.6</v>
      </c>
      <c r="V90">
        <v>3523.8</v>
      </c>
      <c r="W90">
        <v>2600</v>
      </c>
      <c r="X90">
        <v>3590.9</v>
      </c>
      <c r="Y90">
        <v>4858</v>
      </c>
      <c r="Z90">
        <v>3120.8</v>
      </c>
      <c r="AA90">
        <v>2966.7</v>
      </c>
      <c r="AB90">
        <v>2430.1</v>
      </c>
      <c r="AC90" t="s">
        <v>73</v>
      </c>
      <c r="AD90" t="s">
        <v>73</v>
      </c>
    </row>
    <row r="91" spans="1:30" x14ac:dyDescent="0.3">
      <c r="A91" t="s">
        <v>560</v>
      </c>
      <c r="B91" s="5" t="s">
        <v>561</v>
      </c>
      <c r="C91" t="s">
        <v>22</v>
      </c>
      <c r="D91" s="5" t="s">
        <v>227</v>
      </c>
      <c r="E91">
        <v>2294.1999999999998</v>
      </c>
      <c r="F91">
        <v>2423.1</v>
      </c>
      <c r="G91">
        <v>2187.3000000000002</v>
      </c>
      <c r="H91">
        <v>2399.4</v>
      </c>
      <c r="I91">
        <v>2350</v>
      </c>
      <c r="J91">
        <v>2411.6</v>
      </c>
      <c r="K91">
        <v>2446.5</v>
      </c>
      <c r="L91">
        <v>2583.3000000000002</v>
      </c>
      <c r="M91">
        <v>2637.9</v>
      </c>
      <c r="N91">
        <v>2580.8000000000002</v>
      </c>
      <c r="O91">
        <v>2676.4</v>
      </c>
      <c r="P91">
        <v>2860.7</v>
      </c>
      <c r="Q91">
        <v>2963.5</v>
      </c>
      <c r="R91">
        <v>2977.5</v>
      </c>
      <c r="S91">
        <v>2966.4</v>
      </c>
      <c r="T91">
        <v>2854</v>
      </c>
      <c r="U91">
        <v>2995.1</v>
      </c>
      <c r="V91">
        <v>3127.7</v>
      </c>
      <c r="W91">
        <v>3278</v>
      </c>
      <c r="X91">
        <v>3416</v>
      </c>
      <c r="Y91">
        <v>3383.8</v>
      </c>
      <c r="Z91">
        <v>3497.8</v>
      </c>
      <c r="AA91">
        <v>3589.1</v>
      </c>
      <c r="AB91">
        <v>3626.4</v>
      </c>
      <c r="AC91" t="s">
        <v>73</v>
      </c>
      <c r="AD91" t="s">
        <v>73</v>
      </c>
    </row>
    <row r="92" spans="1:30" x14ac:dyDescent="0.3">
      <c r="A92" t="s">
        <v>560</v>
      </c>
      <c r="B92" s="5" t="s">
        <v>561</v>
      </c>
      <c r="C92" t="s">
        <v>23</v>
      </c>
      <c r="D92" s="5" t="s">
        <v>228</v>
      </c>
      <c r="E92">
        <v>4026.4</v>
      </c>
      <c r="F92">
        <v>4044.9</v>
      </c>
      <c r="G92">
        <v>4169.5</v>
      </c>
      <c r="H92">
        <v>4248.1000000000004</v>
      </c>
      <c r="I92">
        <v>4274.5</v>
      </c>
      <c r="J92">
        <v>4311.3</v>
      </c>
      <c r="K92">
        <v>4365.8</v>
      </c>
      <c r="L92">
        <v>4413.8999999999996</v>
      </c>
      <c r="M92">
        <v>4703</v>
      </c>
      <c r="N92">
        <v>4808.7</v>
      </c>
      <c r="O92">
        <v>4872.3999999999996</v>
      </c>
      <c r="P92">
        <v>4891.3</v>
      </c>
      <c r="Q92">
        <v>5086.8</v>
      </c>
      <c r="R92">
        <v>5087</v>
      </c>
      <c r="S92">
        <v>5099.1000000000004</v>
      </c>
      <c r="T92">
        <v>5313.8</v>
      </c>
      <c r="U92">
        <v>5158.7</v>
      </c>
      <c r="V92">
        <v>5138.3999999999996</v>
      </c>
      <c r="W92">
        <v>5227.8</v>
      </c>
      <c r="X92">
        <v>5351.2</v>
      </c>
      <c r="Y92">
        <v>5461.8</v>
      </c>
      <c r="Z92">
        <v>5695.7</v>
      </c>
      <c r="AA92">
        <v>5833.8</v>
      </c>
      <c r="AB92">
        <v>5828.8</v>
      </c>
      <c r="AC92" t="s">
        <v>73</v>
      </c>
      <c r="AD92" t="s">
        <v>73</v>
      </c>
    </row>
    <row r="93" spans="1:30" x14ac:dyDescent="0.3">
      <c r="A93" t="s">
        <v>560</v>
      </c>
      <c r="B93" s="5" t="s">
        <v>561</v>
      </c>
      <c r="C93" t="s">
        <v>24</v>
      </c>
      <c r="D93" s="5" t="s">
        <v>229</v>
      </c>
      <c r="E93">
        <v>1835.1</v>
      </c>
      <c r="F93">
        <v>1932.6</v>
      </c>
      <c r="G93">
        <v>2272.9</v>
      </c>
      <c r="H93">
        <v>2383.4</v>
      </c>
      <c r="I93">
        <v>2417.1</v>
      </c>
      <c r="J93">
        <v>2301.1999999999998</v>
      </c>
      <c r="K93">
        <v>2391.8000000000002</v>
      </c>
      <c r="L93">
        <v>2454.3000000000002</v>
      </c>
      <c r="M93">
        <v>1720.9</v>
      </c>
      <c r="N93">
        <v>1997.2</v>
      </c>
      <c r="O93">
        <v>2173.5</v>
      </c>
      <c r="P93">
        <v>1713.7</v>
      </c>
      <c r="Q93">
        <v>1745.4</v>
      </c>
      <c r="R93">
        <v>1847.1</v>
      </c>
      <c r="S93">
        <v>2051.5</v>
      </c>
      <c r="T93">
        <v>2231</v>
      </c>
      <c r="U93">
        <v>2653.3</v>
      </c>
      <c r="V93">
        <v>2531</v>
      </c>
      <c r="W93">
        <v>2657.3</v>
      </c>
      <c r="X93">
        <v>2653.7</v>
      </c>
      <c r="Y93">
        <v>2618.8000000000002</v>
      </c>
      <c r="Z93">
        <v>2301.5</v>
      </c>
      <c r="AA93">
        <v>2317.6</v>
      </c>
      <c r="AB93">
        <v>2420.4</v>
      </c>
      <c r="AC93" t="s">
        <v>73</v>
      </c>
      <c r="AD93" t="s">
        <v>73</v>
      </c>
    </row>
    <row r="94" spans="1:30" x14ac:dyDescent="0.3">
      <c r="A94" t="s">
        <v>560</v>
      </c>
      <c r="B94" s="5" t="s">
        <v>561</v>
      </c>
      <c r="C94" t="s">
        <v>230</v>
      </c>
      <c r="D94" s="5" t="s">
        <v>231</v>
      </c>
      <c r="E94">
        <v>363.2</v>
      </c>
      <c r="F94">
        <v>692.7</v>
      </c>
      <c r="G94">
        <v>1306.4000000000001</v>
      </c>
      <c r="H94">
        <v>1209.8</v>
      </c>
      <c r="I94">
        <v>1191.5999999999999</v>
      </c>
      <c r="J94">
        <v>948.1</v>
      </c>
      <c r="K94">
        <v>1329.2</v>
      </c>
      <c r="L94">
        <v>1264.8</v>
      </c>
      <c r="M94">
        <v>1403.5</v>
      </c>
      <c r="N94">
        <v>1774.5</v>
      </c>
      <c r="O94">
        <v>1697.1</v>
      </c>
      <c r="P94">
        <v>1798.5</v>
      </c>
      <c r="Q94">
        <v>2318.9</v>
      </c>
      <c r="R94">
        <v>2293.9</v>
      </c>
      <c r="S94">
        <v>2116.6999999999998</v>
      </c>
      <c r="T94">
        <v>2726.6</v>
      </c>
      <c r="U94">
        <v>3138.9</v>
      </c>
      <c r="V94">
        <v>2833.8</v>
      </c>
      <c r="W94">
        <v>2682.6</v>
      </c>
      <c r="X94">
        <v>2673.7</v>
      </c>
      <c r="Y94">
        <v>2639.3</v>
      </c>
      <c r="Z94">
        <v>2793.3</v>
      </c>
      <c r="AA94">
        <v>2978.6</v>
      </c>
      <c r="AB94">
        <v>2748.9</v>
      </c>
      <c r="AC94" t="s">
        <v>73</v>
      </c>
      <c r="AD94" t="s">
        <v>73</v>
      </c>
    </row>
    <row r="95" spans="1:30" x14ac:dyDescent="0.3">
      <c r="A95" t="s">
        <v>560</v>
      </c>
      <c r="B95" s="5" t="s">
        <v>561</v>
      </c>
      <c r="C95" t="s">
        <v>25</v>
      </c>
      <c r="D95" s="5" t="s">
        <v>232</v>
      </c>
      <c r="E95">
        <v>7795.7</v>
      </c>
      <c r="F95">
        <v>7580.9</v>
      </c>
      <c r="G95">
        <v>6567.1</v>
      </c>
      <c r="H95">
        <v>7100.7</v>
      </c>
      <c r="I95">
        <v>8077.9</v>
      </c>
      <c r="J95">
        <v>6904.7</v>
      </c>
      <c r="K95">
        <v>7465.2</v>
      </c>
      <c r="L95">
        <v>7188.8</v>
      </c>
      <c r="M95">
        <v>7644.9</v>
      </c>
      <c r="N95">
        <v>6887.1</v>
      </c>
      <c r="O95">
        <v>7456.3</v>
      </c>
      <c r="P95">
        <v>8441.5</v>
      </c>
      <c r="Q95">
        <v>6741.2</v>
      </c>
      <c r="R95">
        <v>7802.1</v>
      </c>
      <c r="S95">
        <v>8471.4</v>
      </c>
      <c r="T95">
        <v>9008.2000000000007</v>
      </c>
      <c r="U95">
        <v>8222.7999999999993</v>
      </c>
      <c r="V95">
        <v>8783.6</v>
      </c>
      <c r="W95">
        <v>6839.5</v>
      </c>
      <c r="X95">
        <v>8505.2000000000007</v>
      </c>
      <c r="Y95">
        <v>7124.8</v>
      </c>
      <c r="Z95">
        <v>8606.5</v>
      </c>
      <c r="AA95">
        <v>8701.5</v>
      </c>
      <c r="AB95">
        <v>6977.8</v>
      </c>
      <c r="AC95" t="s">
        <v>73</v>
      </c>
      <c r="AD95" t="s">
        <v>73</v>
      </c>
    </row>
    <row r="96" spans="1:30" x14ac:dyDescent="0.3">
      <c r="A96" t="s">
        <v>560</v>
      </c>
      <c r="B96" s="5" t="s">
        <v>561</v>
      </c>
      <c r="C96" t="s">
        <v>233</v>
      </c>
      <c r="D96" s="5" t="s">
        <v>234</v>
      </c>
      <c r="E96" t="s">
        <v>73</v>
      </c>
      <c r="F96" t="s">
        <v>73</v>
      </c>
      <c r="G96" t="s">
        <v>73</v>
      </c>
      <c r="H96" t="s">
        <v>73</v>
      </c>
      <c r="I96" t="s">
        <v>73</v>
      </c>
      <c r="J96" t="s">
        <v>73</v>
      </c>
      <c r="K96" t="s">
        <v>73</v>
      </c>
      <c r="L96" t="s">
        <v>73</v>
      </c>
      <c r="M96" t="s">
        <v>73</v>
      </c>
      <c r="N96" t="s">
        <v>73</v>
      </c>
      <c r="O96" t="s">
        <v>73</v>
      </c>
      <c r="P96" t="s">
        <v>73</v>
      </c>
      <c r="Q96" t="s">
        <v>73</v>
      </c>
      <c r="R96" t="s">
        <v>73</v>
      </c>
      <c r="S96" t="s">
        <v>73</v>
      </c>
      <c r="T96" t="s">
        <v>73</v>
      </c>
      <c r="U96" t="s">
        <v>73</v>
      </c>
      <c r="V96" t="s">
        <v>73</v>
      </c>
      <c r="W96" t="s">
        <v>73</v>
      </c>
      <c r="X96" t="s">
        <v>73</v>
      </c>
      <c r="Y96" t="s">
        <v>73</v>
      </c>
      <c r="Z96" t="s">
        <v>73</v>
      </c>
      <c r="AA96" t="s">
        <v>73</v>
      </c>
      <c r="AB96" t="s">
        <v>73</v>
      </c>
      <c r="AC96" t="s">
        <v>73</v>
      </c>
      <c r="AD96" t="s">
        <v>73</v>
      </c>
    </row>
    <row r="97" spans="1:30" x14ac:dyDescent="0.3">
      <c r="A97" t="s">
        <v>560</v>
      </c>
      <c r="B97" s="5" t="s">
        <v>561</v>
      </c>
      <c r="C97" t="s">
        <v>235</v>
      </c>
      <c r="D97" s="5" t="s">
        <v>236</v>
      </c>
      <c r="E97">
        <v>2443.3000000000002</v>
      </c>
      <c r="F97">
        <v>2454.8000000000002</v>
      </c>
      <c r="G97">
        <v>2689.5</v>
      </c>
      <c r="H97">
        <v>3306.5</v>
      </c>
      <c r="I97">
        <v>3066.7</v>
      </c>
      <c r="J97">
        <v>2951.9</v>
      </c>
      <c r="K97">
        <v>2398.5</v>
      </c>
      <c r="L97">
        <v>2752.1</v>
      </c>
      <c r="M97">
        <v>2438.8000000000002</v>
      </c>
      <c r="N97">
        <v>3174.1</v>
      </c>
      <c r="O97">
        <v>3037.6</v>
      </c>
      <c r="P97">
        <v>3669.3</v>
      </c>
      <c r="Q97">
        <v>4299.5</v>
      </c>
      <c r="R97">
        <v>4177.1000000000004</v>
      </c>
      <c r="S97">
        <v>4910.1000000000004</v>
      </c>
      <c r="T97">
        <v>4978.8999999999996</v>
      </c>
      <c r="U97">
        <v>4834.8999999999996</v>
      </c>
      <c r="V97">
        <v>3196.9</v>
      </c>
      <c r="W97">
        <v>2461.6999999999998</v>
      </c>
      <c r="X97">
        <v>3624.2</v>
      </c>
      <c r="Y97">
        <v>3834.1</v>
      </c>
      <c r="Z97">
        <v>2147.5</v>
      </c>
      <c r="AA97">
        <v>1844.4</v>
      </c>
      <c r="AB97">
        <v>2550.9</v>
      </c>
      <c r="AC97" t="s">
        <v>73</v>
      </c>
      <c r="AD97" t="s">
        <v>73</v>
      </c>
    </row>
    <row r="98" spans="1:30" x14ac:dyDescent="0.3">
      <c r="A98" t="s">
        <v>560</v>
      </c>
      <c r="B98" s="5" t="s">
        <v>561</v>
      </c>
      <c r="C98" t="s">
        <v>26</v>
      </c>
      <c r="D98" s="5" t="s">
        <v>237</v>
      </c>
      <c r="E98">
        <v>4993.8999999999996</v>
      </c>
      <c r="F98">
        <v>4821.3999999999996</v>
      </c>
      <c r="G98">
        <v>4959.2</v>
      </c>
      <c r="H98">
        <v>4307.2</v>
      </c>
      <c r="I98">
        <v>5444.4</v>
      </c>
      <c r="J98">
        <v>5361.4</v>
      </c>
      <c r="K98">
        <v>5316.1</v>
      </c>
      <c r="L98">
        <v>5174</v>
      </c>
      <c r="M98">
        <v>5353</v>
      </c>
      <c r="N98">
        <v>5086.8999999999996</v>
      </c>
      <c r="O98">
        <v>5322.5</v>
      </c>
      <c r="P98">
        <v>5677.2</v>
      </c>
      <c r="Q98">
        <v>5315.1</v>
      </c>
      <c r="R98">
        <v>5264.6</v>
      </c>
      <c r="S98">
        <v>5717.5</v>
      </c>
      <c r="T98">
        <v>5402.2</v>
      </c>
      <c r="U98">
        <v>5599</v>
      </c>
      <c r="V98">
        <v>5174.8</v>
      </c>
      <c r="W98">
        <v>5350.8</v>
      </c>
      <c r="X98">
        <v>5336.2</v>
      </c>
      <c r="Y98">
        <v>5626.5</v>
      </c>
      <c r="Z98">
        <v>5562.8</v>
      </c>
      <c r="AA98">
        <v>4750</v>
      </c>
      <c r="AB98">
        <v>5059.3999999999996</v>
      </c>
      <c r="AC98" t="s">
        <v>73</v>
      </c>
      <c r="AD98" t="s">
        <v>73</v>
      </c>
    </row>
    <row r="99" spans="1:30" x14ac:dyDescent="0.3">
      <c r="A99" t="s">
        <v>560</v>
      </c>
      <c r="B99" s="5" t="s">
        <v>561</v>
      </c>
      <c r="C99" t="s">
        <v>238</v>
      </c>
      <c r="D99" s="5" t="s">
        <v>239</v>
      </c>
      <c r="E99">
        <v>1146.8</v>
      </c>
      <c r="F99">
        <v>1209.0999999999999</v>
      </c>
      <c r="G99">
        <v>1179.8</v>
      </c>
      <c r="H99">
        <v>1230.3</v>
      </c>
      <c r="I99">
        <v>1185.4000000000001</v>
      </c>
      <c r="J99">
        <v>1255.9000000000001</v>
      </c>
      <c r="K99">
        <v>1228.9000000000001</v>
      </c>
      <c r="L99">
        <v>1222.2</v>
      </c>
      <c r="M99">
        <v>1294.2</v>
      </c>
      <c r="N99">
        <v>1315.7</v>
      </c>
      <c r="O99">
        <v>1266.9000000000001</v>
      </c>
      <c r="P99">
        <v>1356.4</v>
      </c>
      <c r="Q99">
        <v>1282.8</v>
      </c>
      <c r="R99">
        <v>1200.3</v>
      </c>
      <c r="S99">
        <v>1138.7</v>
      </c>
      <c r="T99">
        <v>1143.0999999999999</v>
      </c>
      <c r="U99">
        <v>1090.0999999999999</v>
      </c>
      <c r="V99">
        <v>1162.5</v>
      </c>
      <c r="W99">
        <v>1148.5</v>
      </c>
      <c r="X99">
        <v>1125.8</v>
      </c>
      <c r="Y99">
        <v>1114.3</v>
      </c>
      <c r="Z99">
        <v>1118</v>
      </c>
      <c r="AA99">
        <v>1162.4000000000001</v>
      </c>
      <c r="AB99">
        <v>1140.4000000000001</v>
      </c>
      <c r="AC99" t="s">
        <v>73</v>
      </c>
      <c r="AD99" t="s">
        <v>73</v>
      </c>
    </row>
    <row r="100" spans="1:30" x14ac:dyDescent="0.3">
      <c r="A100" t="s">
        <v>560</v>
      </c>
      <c r="B100" s="5" t="s">
        <v>561</v>
      </c>
      <c r="C100" t="s">
        <v>27</v>
      </c>
      <c r="D100" s="5" t="s">
        <v>240</v>
      </c>
      <c r="E100">
        <v>6256.6</v>
      </c>
      <c r="F100">
        <v>6107</v>
      </c>
      <c r="G100">
        <v>6085.5</v>
      </c>
      <c r="H100">
        <v>5451</v>
      </c>
      <c r="I100">
        <v>5942.3</v>
      </c>
      <c r="J100">
        <v>6154</v>
      </c>
      <c r="K100">
        <v>5852.4</v>
      </c>
      <c r="L100">
        <v>6062.1</v>
      </c>
      <c r="M100">
        <v>6262.4</v>
      </c>
      <c r="N100">
        <v>5919.5</v>
      </c>
      <c r="O100">
        <v>5853.7</v>
      </c>
      <c r="P100">
        <v>6010.6</v>
      </c>
      <c r="Q100">
        <v>6248.5</v>
      </c>
      <c r="R100">
        <v>6281.5</v>
      </c>
      <c r="S100">
        <v>6325.1</v>
      </c>
      <c r="T100">
        <v>6316.7</v>
      </c>
      <c r="U100">
        <v>6253.4</v>
      </c>
      <c r="V100">
        <v>6284.5</v>
      </c>
      <c r="W100">
        <v>6132.3</v>
      </c>
      <c r="X100">
        <v>6295.5</v>
      </c>
      <c r="Y100">
        <v>6230.1</v>
      </c>
      <c r="Z100">
        <v>6417</v>
      </c>
      <c r="AA100">
        <v>6319.9</v>
      </c>
      <c r="AB100">
        <v>6245.1</v>
      </c>
      <c r="AC100" t="s">
        <v>73</v>
      </c>
      <c r="AD100" t="s">
        <v>73</v>
      </c>
    </row>
    <row r="101" spans="1:30" x14ac:dyDescent="0.3">
      <c r="A101" t="s">
        <v>560</v>
      </c>
      <c r="B101" s="5" t="s">
        <v>561</v>
      </c>
      <c r="C101" t="s">
        <v>241</v>
      </c>
      <c r="D101" s="5" t="s">
        <v>242</v>
      </c>
      <c r="E101">
        <v>1205.8</v>
      </c>
      <c r="F101">
        <v>1097.8</v>
      </c>
      <c r="G101">
        <v>1145.0999999999999</v>
      </c>
      <c r="H101">
        <v>1237.2</v>
      </c>
      <c r="I101">
        <v>966.3</v>
      </c>
      <c r="J101">
        <v>1087.7</v>
      </c>
      <c r="K101">
        <v>748.6</v>
      </c>
      <c r="L101">
        <v>710.4</v>
      </c>
      <c r="M101">
        <v>698.4</v>
      </c>
      <c r="N101">
        <v>858.9</v>
      </c>
      <c r="O101">
        <v>1355.9</v>
      </c>
      <c r="P101">
        <v>1555</v>
      </c>
      <c r="Q101">
        <v>1323.1</v>
      </c>
      <c r="R101">
        <v>1446.9</v>
      </c>
      <c r="S101">
        <v>1315.9</v>
      </c>
      <c r="T101">
        <v>1115.3</v>
      </c>
      <c r="U101">
        <v>1274.9000000000001</v>
      </c>
      <c r="V101">
        <v>1309.5999999999999</v>
      </c>
      <c r="W101">
        <v>1221.7</v>
      </c>
      <c r="X101">
        <v>1354.3</v>
      </c>
      <c r="Y101">
        <v>1858.1</v>
      </c>
      <c r="Z101">
        <v>1532</v>
      </c>
      <c r="AA101">
        <v>1434.7</v>
      </c>
      <c r="AB101">
        <v>1595.1</v>
      </c>
      <c r="AC101" t="s">
        <v>73</v>
      </c>
      <c r="AD101" t="s">
        <v>73</v>
      </c>
    </row>
    <row r="102" spans="1:30" x14ac:dyDescent="0.3">
      <c r="A102" t="s">
        <v>560</v>
      </c>
      <c r="B102" s="5" t="s">
        <v>561</v>
      </c>
      <c r="C102" t="s">
        <v>243</v>
      </c>
      <c r="D102" s="5" t="s">
        <v>244</v>
      </c>
      <c r="E102">
        <v>942.5</v>
      </c>
      <c r="F102">
        <v>1216.5999999999999</v>
      </c>
      <c r="G102">
        <v>1145.7</v>
      </c>
      <c r="H102">
        <v>1077.5</v>
      </c>
      <c r="I102">
        <v>884.3</v>
      </c>
      <c r="J102">
        <v>998.2</v>
      </c>
      <c r="K102">
        <v>1170.9000000000001</v>
      </c>
      <c r="L102">
        <v>1326.9</v>
      </c>
      <c r="M102">
        <v>1011.3</v>
      </c>
      <c r="N102">
        <v>1253.0999999999999</v>
      </c>
      <c r="O102">
        <v>804.1</v>
      </c>
      <c r="P102">
        <v>1688.6</v>
      </c>
      <c r="Q102">
        <v>865</v>
      </c>
      <c r="R102">
        <v>1164.9000000000001</v>
      </c>
      <c r="S102">
        <v>1172.7</v>
      </c>
      <c r="T102">
        <v>1278.0999999999999</v>
      </c>
      <c r="U102">
        <v>1347.7</v>
      </c>
      <c r="V102">
        <v>1355</v>
      </c>
      <c r="W102">
        <v>1366</v>
      </c>
      <c r="X102">
        <v>1155.2</v>
      </c>
      <c r="Y102">
        <v>1287.7</v>
      </c>
      <c r="Z102">
        <v>1048.8</v>
      </c>
      <c r="AA102">
        <v>1377.2</v>
      </c>
      <c r="AB102">
        <v>1037.4000000000001</v>
      </c>
      <c r="AC102" t="s">
        <v>73</v>
      </c>
      <c r="AD102" t="s">
        <v>73</v>
      </c>
    </row>
    <row r="103" spans="1:30" x14ac:dyDescent="0.3">
      <c r="A103" t="s">
        <v>560</v>
      </c>
      <c r="B103" s="5" t="s">
        <v>561</v>
      </c>
      <c r="C103" t="s">
        <v>245</v>
      </c>
      <c r="D103" s="5" t="s">
        <v>246</v>
      </c>
      <c r="E103">
        <v>1375</v>
      </c>
      <c r="F103">
        <v>1639.6</v>
      </c>
      <c r="G103">
        <v>1488.3</v>
      </c>
      <c r="H103">
        <v>1594</v>
      </c>
      <c r="I103">
        <v>1805.7</v>
      </c>
      <c r="J103">
        <v>1646.1</v>
      </c>
      <c r="K103">
        <v>1646.4</v>
      </c>
      <c r="L103">
        <v>1773.1</v>
      </c>
      <c r="M103">
        <v>1417.5</v>
      </c>
      <c r="N103">
        <v>1242.8</v>
      </c>
      <c r="O103">
        <v>1710.1</v>
      </c>
      <c r="P103">
        <v>1514.6</v>
      </c>
      <c r="Q103">
        <v>1744.8</v>
      </c>
      <c r="R103">
        <v>1661.5</v>
      </c>
      <c r="S103">
        <v>1583.4</v>
      </c>
      <c r="T103">
        <v>1772.7</v>
      </c>
      <c r="U103">
        <v>1383.1</v>
      </c>
      <c r="V103">
        <v>1426</v>
      </c>
      <c r="W103">
        <v>1709.2</v>
      </c>
      <c r="X103">
        <v>1604.7</v>
      </c>
      <c r="Y103">
        <v>1842.6</v>
      </c>
      <c r="Z103">
        <v>1522.4</v>
      </c>
      <c r="AA103">
        <v>1477.4</v>
      </c>
      <c r="AB103">
        <v>1757.5</v>
      </c>
      <c r="AC103" t="s">
        <v>73</v>
      </c>
      <c r="AD103" t="s">
        <v>73</v>
      </c>
    </row>
    <row r="104" spans="1:30" x14ac:dyDescent="0.3">
      <c r="A104" t="s">
        <v>560</v>
      </c>
      <c r="B104" s="5" t="s">
        <v>561</v>
      </c>
      <c r="C104" t="s">
        <v>247</v>
      </c>
      <c r="D104" s="5" t="s">
        <v>248</v>
      </c>
      <c r="E104" t="s">
        <v>73</v>
      </c>
      <c r="F104" t="s">
        <v>73</v>
      </c>
      <c r="G104" t="s">
        <v>73</v>
      </c>
      <c r="H104" t="s">
        <v>73</v>
      </c>
      <c r="I104" t="s">
        <v>73</v>
      </c>
      <c r="J104" t="s">
        <v>73</v>
      </c>
      <c r="K104" t="s">
        <v>73</v>
      </c>
      <c r="L104" t="s">
        <v>73</v>
      </c>
      <c r="M104" t="s">
        <v>73</v>
      </c>
      <c r="N104" t="s">
        <v>73</v>
      </c>
      <c r="O104" t="s">
        <v>73</v>
      </c>
      <c r="P104" t="s">
        <v>73</v>
      </c>
      <c r="Q104" t="s">
        <v>73</v>
      </c>
      <c r="R104" t="s">
        <v>73</v>
      </c>
      <c r="S104" t="s">
        <v>73</v>
      </c>
      <c r="T104" t="s">
        <v>73</v>
      </c>
      <c r="U104" t="s">
        <v>73</v>
      </c>
      <c r="V104" t="s">
        <v>73</v>
      </c>
      <c r="W104" t="s">
        <v>73</v>
      </c>
      <c r="X104" t="s">
        <v>73</v>
      </c>
      <c r="Y104" t="s">
        <v>73</v>
      </c>
      <c r="Z104" t="s">
        <v>73</v>
      </c>
      <c r="AA104" t="s">
        <v>73</v>
      </c>
      <c r="AB104" t="s">
        <v>73</v>
      </c>
      <c r="AC104" t="s">
        <v>73</v>
      </c>
      <c r="AD104" t="s">
        <v>73</v>
      </c>
    </row>
    <row r="105" spans="1:30" x14ac:dyDescent="0.3">
      <c r="A105" t="s">
        <v>560</v>
      </c>
      <c r="B105" s="5" t="s">
        <v>561</v>
      </c>
      <c r="C105" t="s">
        <v>249</v>
      </c>
      <c r="D105" s="5" t="s">
        <v>250</v>
      </c>
      <c r="E105">
        <v>2375.4</v>
      </c>
      <c r="F105">
        <v>3015.7</v>
      </c>
      <c r="G105">
        <v>3190.8</v>
      </c>
      <c r="H105">
        <v>3250.3</v>
      </c>
      <c r="I105">
        <v>3429.6</v>
      </c>
      <c r="J105">
        <v>3367.8</v>
      </c>
      <c r="K105">
        <v>3543.7</v>
      </c>
      <c r="L105">
        <v>2921.5</v>
      </c>
      <c r="M105">
        <v>3554.9</v>
      </c>
      <c r="N105">
        <v>3364.4</v>
      </c>
      <c r="O105">
        <v>3424</v>
      </c>
      <c r="P105">
        <v>3586.3</v>
      </c>
      <c r="Q105">
        <v>3922.4</v>
      </c>
      <c r="R105">
        <v>3979.6</v>
      </c>
      <c r="S105">
        <v>4151.8</v>
      </c>
      <c r="T105">
        <v>3654</v>
      </c>
      <c r="U105">
        <v>4079.7</v>
      </c>
      <c r="V105">
        <v>4015.9</v>
      </c>
      <c r="W105">
        <v>3504.3</v>
      </c>
      <c r="X105">
        <v>4381.8999999999996</v>
      </c>
      <c r="Y105">
        <v>3495.6</v>
      </c>
      <c r="Z105">
        <v>3423.7</v>
      </c>
      <c r="AA105">
        <v>3631.4</v>
      </c>
      <c r="AB105">
        <v>3576.3</v>
      </c>
      <c r="AC105" t="s">
        <v>73</v>
      </c>
      <c r="AD105" t="s">
        <v>73</v>
      </c>
    </row>
    <row r="106" spans="1:30" x14ac:dyDescent="0.3">
      <c r="A106" t="s">
        <v>560</v>
      </c>
      <c r="B106" s="5" t="s">
        <v>561</v>
      </c>
      <c r="C106" t="s">
        <v>34</v>
      </c>
      <c r="D106" s="5" t="s">
        <v>251</v>
      </c>
      <c r="E106">
        <v>6379.5</v>
      </c>
      <c r="F106">
        <v>6465.6</v>
      </c>
      <c r="G106">
        <v>6017.1</v>
      </c>
      <c r="H106">
        <v>5786.9</v>
      </c>
      <c r="I106">
        <v>6427</v>
      </c>
      <c r="J106">
        <v>6302.3</v>
      </c>
      <c r="K106">
        <v>6299.9</v>
      </c>
      <c r="L106">
        <v>6035.3</v>
      </c>
      <c r="M106">
        <v>6630</v>
      </c>
      <c r="N106">
        <v>6745.3</v>
      </c>
      <c r="O106">
        <v>6202.2</v>
      </c>
      <c r="P106">
        <v>6292.7</v>
      </c>
      <c r="Q106">
        <v>6135.8</v>
      </c>
      <c r="R106">
        <v>6479.2</v>
      </c>
      <c r="S106">
        <v>6618</v>
      </c>
      <c r="T106">
        <v>6814.9</v>
      </c>
      <c r="U106">
        <v>6792.7</v>
      </c>
      <c r="V106">
        <v>6678.5</v>
      </c>
      <c r="W106">
        <v>6607.2</v>
      </c>
      <c r="X106">
        <v>6538.1</v>
      </c>
      <c r="Y106">
        <v>6211.6</v>
      </c>
      <c r="Z106">
        <v>6826.1</v>
      </c>
      <c r="AA106">
        <v>6612.2</v>
      </c>
      <c r="AB106">
        <v>6615.2</v>
      </c>
      <c r="AC106" t="s">
        <v>73</v>
      </c>
      <c r="AD106" t="s">
        <v>73</v>
      </c>
    </row>
    <row r="107" spans="1:30" x14ac:dyDescent="0.3">
      <c r="A107" t="s">
        <v>560</v>
      </c>
      <c r="B107" s="5" t="s">
        <v>561</v>
      </c>
      <c r="C107" t="s">
        <v>252</v>
      </c>
      <c r="D107" s="5" t="s">
        <v>253</v>
      </c>
      <c r="E107" t="s">
        <v>73</v>
      </c>
      <c r="F107" t="s">
        <v>73</v>
      </c>
      <c r="G107" t="s">
        <v>73</v>
      </c>
      <c r="H107" t="s">
        <v>73</v>
      </c>
      <c r="I107" t="s">
        <v>73</v>
      </c>
      <c r="J107" t="s">
        <v>73</v>
      </c>
      <c r="K107" t="s">
        <v>73</v>
      </c>
      <c r="L107" t="s">
        <v>73</v>
      </c>
      <c r="M107" t="s">
        <v>73</v>
      </c>
      <c r="N107" t="s">
        <v>73</v>
      </c>
      <c r="O107" t="s">
        <v>73</v>
      </c>
      <c r="P107" t="s">
        <v>73</v>
      </c>
      <c r="Q107" t="s">
        <v>73</v>
      </c>
      <c r="R107" t="s">
        <v>73</v>
      </c>
      <c r="S107" t="s">
        <v>73</v>
      </c>
      <c r="T107" t="s">
        <v>73</v>
      </c>
      <c r="U107" t="s">
        <v>73</v>
      </c>
      <c r="V107" t="s">
        <v>73</v>
      </c>
      <c r="W107" t="s">
        <v>73</v>
      </c>
      <c r="X107" t="s">
        <v>73</v>
      </c>
      <c r="Y107" t="s">
        <v>73</v>
      </c>
      <c r="Z107" t="s">
        <v>73</v>
      </c>
      <c r="AA107" t="s">
        <v>73</v>
      </c>
      <c r="AB107" t="s">
        <v>73</v>
      </c>
      <c r="AC107" t="s">
        <v>73</v>
      </c>
      <c r="AD107" t="s">
        <v>73</v>
      </c>
    </row>
    <row r="108" spans="1:30" x14ac:dyDescent="0.3">
      <c r="A108" t="s">
        <v>560</v>
      </c>
      <c r="B108" s="5" t="s">
        <v>561</v>
      </c>
      <c r="C108" t="s">
        <v>254</v>
      </c>
      <c r="D108" s="5" t="s">
        <v>255</v>
      </c>
      <c r="E108">
        <v>5611.2</v>
      </c>
      <c r="F108">
        <v>5844</v>
      </c>
      <c r="G108">
        <v>7329.6</v>
      </c>
      <c r="H108">
        <v>10253.4</v>
      </c>
      <c r="I108">
        <v>6188.9</v>
      </c>
      <c r="J108">
        <v>6423.2</v>
      </c>
      <c r="K108">
        <v>8717.7000000000007</v>
      </c>
      <c r="L108">
        <v>10498.9</v>
      </c>
      <c r="M108">
        <v>9235.7999999999993</v>
      </c>
      <c r="N108">
        <v>7977.4</v>
      </c>
      <c r="O108">
        <v>10805.8</v>
      </c>
      <c r="P108">
        <v>14171.5</v>
      </c>
      <c r="Q108">
        <v>13782.5</v>
      </c>
      <c r="R108">
        <v>17975.099999999999</v>
      </c>
      <c r="S108">
        <v>21865.5</v>
      </c>
      <c r="T108">
        <v>6542.5</v>
      </c>
      <c r="U108">
        <v>5220.5</v>
      </c>
      <c r="V108">
        <v>5656.2</v>
      </c>
      <c r="W108">
        <v>10483.200000000001</v>
      </c>
      <c r="X108">
        <v>17625.400000000001</v>
      </c>
      <c r="Y108">
        <v>15627.2</v>
      </c>
      <c r="Z108">
        <v>14702.4</v>
      </c>
      <c r="AA108">
        <v>14492.4</v>
      </c>
      <c r="AB108">
        <v>14956.8</v>
      </c>
      <c r="AC108" t="s">
        <v>73</v>
      </c>
      <c r="AD108" t="s">
        <v>73</v>
      </c>
    </row>
    <row r="109" spans="1:30" x14ac:dyDescent="0.3">
      <c r="A109" t="s">
        <v>560</v>
      </c>
      <c r="B109" s="5" t="s">
        <v>561</v>
      </c>
      <c r="C109" t="s">
        <v>256</v>
      </c>
      <c r="D109" s="5" t="s">
        <v>257</v>
      </c>
      <c r="E109">
        <v>2669.3</v>
      </c>
      <c r="F109">
        <v>2866.9</v>
      </c>
      <c r="G109">
        <v>2665.4</v>
      </c>
      <c r="H109">
        <v>2774.2</v>
      </c>
      <c r="I109">
        <v>2876.5</v>
      </c>
      <c r="J109">
        <v>2677.9</v>
      </c>
      <c r="K109">
        <v>2550.6</v>
      </c>
      <c r="L109">
        <v>2512.9</v>
      </c>
      <c r="M109">
        <v>2380.1999999999998</v>
      </c>
      <c r="N109">
        <v>3034.2</v>
      </c>
      <c r="O109">
        <v>2610.5</v>
      </c>
      <c r="P109">
        <v>2603.1</v>
      </c>
      <c r="Q109">
        <v>2367.1</v>
      </c>
      <c r="R109">
        <v>2904</v>
      </c>
      <c r="S109">
        <v>2276.3000000000002</v>
      </c>
      <c r="T109">
        <v>2999</v>
      </c>
      <c r="U109">
        <v>3104.2</v>
      </c>
      <c r="V109">
        <v>3093.4</v>
      </c>
      <c r="W109">
        <v>3162.2</v>
      </c>
      <c r="X109">
        <v>3234</v>
      </c>
      <c r="Y109">
        <v>3260.4</v>
      </c>
      <c r="Z109">
        <v>2334.9</v>
      </c>
      <c r="AA109">
        <v>3249.4</v>
      </c>
      <c r="AB109">
        <v>2798.6</v>
      </c>
      <c r="AC109" t="s">
        <v>73</v>
      </c>
      <c r="AD109" t="s">
        <v>73</v>
      </c>
    </row>
    <row r="110" spans="1:30" x14ac:dyDescent="0.3">
      <c r="A110" t="s">
        <v>560</v>
      </c>
      <c r="B110" s="5" t="s">
        <v>561</v>
      </c>
      <c r="C110" t="s">
        <v>258</v>
      </c>
      <c r="D110" s="5" t="s">
        <v>259</v>
      </c>
      <c r="E110">
        <v>3017.7</v>
      </c>
      <c r="F110">
        <v>3094.4</v>
      </c>
      <c r="G110">
        <v>3244.5</v>
      </c>
      <c r="H110">
        <v>3116.7</v>
      </c>
      <c r="I110">
        <v>3261.4</v>
      </c>
      <c r="J110">
        <v>3577.2</v>
      </c>
      <c r="K110">
        <v>3634.4</v>
      </c>
      <c r="L110">
        <v>3837.3</v>
      </c>
      <c r="M110">
        <v>4015.5</v>
      </c>
      <c r="N110">
        <v>4170.1000000000004</v>
      </c>
      <c r="O110">
        <v>3831.5</v>
      </c>
      <c r="P110">
        <v>4043.3</v>
      </c>
      <c r="Q110">
        <v>4081.7</v>
      </c>
      <c r="R110">
        <v>4195.6000000000004</v>
      </c>
      <c r="S110">
        <v>4507.8</v>
      </c>
      <c r="T110">
        <v>4608.2</v>
      </c>
      <c r="U110">
        <v>4626.7</v>
      </c>
      <c r="V110">
        <v>4497.7</v>
      </c>
      <c r="W110">
        <v>4504.2</v>
      </c>
      <c r="X110">
        <v>4317.6000000000004</v>
      </c>
      <c r="Y110">
        <v>3993</v>
      </c>
      <c r="Z110">
        <v>4158.2</v>
      </c>
      <c r="AA110">
        <v>4454.2</v>
      </c>
      <c r="AB110">
        <v>4434.8999999999996</v>
      </c>
      <c r="AC110" t="s">
        <v>73</v>
      </c>
      <c r="AD110" t="s">
        <v>73</v>
      </c>
    </row>
    <row r="111" spans="1:30" x14ac:dyDescent="0.3">
      <c r="A111" t="s">
        <v>560</v>
      </c>
      <c r="B111" s="5" t="s">
        <v>561</v>
      </c>
      <c r="C111" t="s">
        <v>28</v>
      </c>
      <c r="D111" s="5" t="s">
        <v>260</v>
      </c>
      <c r="E111">
        <v>2199</v>
      </c>
      <c r="F111">
        <v>2091.5</v>
      </c>
      <c r="G111">
        <v>2478.3000000000002</v>
      </c>
      <c r="H111">
        <v>2176</v>
      </c>
      <c r="I111">
        <v>2426.1999999999998</v>
      </c>
      <c r="J111">
        <v>2802.9</v>
      </c>
      <c r="K111">
        <v>2264</v>
      </c>
      <c r="L111">
        <v>2941.6</v>
      </c>
      <c r="M111">
        <v>3104.4</v>
      </c>
      <c r="N111">
        <v>3075.3</v>
      </c>
      <c r="O111">
        <v>2775.5</v>
      </c>
      <c r="P111">
        <v>2738</v>
      </c>
      <c r="Q111">
        <v>3767.5</v>
      </c>
      <c r="R111">
        <v>3373.8</v>
      </c>
      <c r="S111">
        <v>3486.5</v>
      </c>
      <c r="T111">
        <v>4513.1000000000004</v>
      </c>
      <c r="U111">
        <v>3828.4</v>
      </c>
      <c r="V111">
        <v>4250.2</v>
      </c>
      <c r="W111">
        <v>3026.3</v>
      </c>
      <c r="X111">
        <v>4310.1000000000004</v>
      </c>
      <c r="Y111">
        <v>4662.8</v>
      </c>
      <c r="Z111">
        <v>3900.2</v>
      </c>
      <c r="AA111">
        <v>4186</v>
      </c>
      <c r="AB111">
        <v>3557.5</v>
      </c>
      <c r="AC111" t="s">
        <v>73</v>
      </c>
      <c r="AD111" t="s">
        <v>73</v>
      </c>
    </row>
    <row r="112" spans="1:30" x14ac:dyDescent="0.3">
      <c r="A112" t="s">
        <v>560</v>
      </c>
      <c r="B112" s="5" t="s">
        <v>561</v>
      </c>
      <c r="C112" t="s">
        <v>261</v>
      </c>
      <c r="D112" s="5" t="s">
        <v>262</v>
      </c>
      <c r="E112">
        <v>2414.9</v>
      </c>
      <c r="F112">
        <v>2911.7</v>
      </c>
      <c r="G112">
        <v>2467.5</v>
      </c>
      <c r="H112">
        <v>2372</v>
      </c>
      <c r="I112">
        <v>2727.6</v>
      </c>
      <c r="J112">
        <v>2703.1</v>
      </c>
      <c r="K112">
        <v>2684.8</v>
      </c>
      <c r="L112">
        <v>2189.6999999999998</v>
      </c>
      <c r="M112">
        <v>2687.7</v>
      </c>
      <c r="N112">
        <v>2618.9</v>
      </c>
      <c r="O112">
        <v>2624.9</v>
      </c>
      <c r="P112">
        <v>2763.2</v>
      </c>
      <c r="Q112">
        <v>2889.3</v>
      </c>
      <c r="R112">
        <v>2981.4</v>
      </c>
      <c r="S112">
        <v>3386</v>
      </c>
      <c r="T112">
        <v>3268.6</v>
      </c>
      <c r="U112">
        <v>3155.5</v>
      </c>
      <c r="V112">
        <v>2898.5</v>
      </c>
      <c r="W112">
        <v>2970.1</v>
      </c>
      <c r="X112">
        <v>2940.6</v>
      </c>
      <c r="Y112">
        <v>3100</v>
      </c>
      <c r="Z112">
        <v>2177.9</v>
      </c>
      <c r="AA112">
        <v>2414.5</v>
      </c>
      <c r="AB112">
        <v>2415.3000000000002</v>
      </c>
      <c r="AC112" t="s">
        <v>73</v>
      </c>
      <c r="AD112" t="s">
        <v>73</v>
      </c>
    </row>
    <row r="113" spans="1:30" x14ac:dyDescent="0.3">
      <c r="A113" t="s">
        <v>560</v>
      </c>
      <c r="B113" s="5" t="s">
        <v>561</v>
      </c>
      <c r="C113" t="s">
        <v>263</v>
      </c>
      <c r="D113" s="5" t="s">
        <v>264</v>
      </c>
      <c r="E113">
        <v>718.8</v>
      </c>
      <c r="F113">
        <v>995.5</v>
      </c>
      <c r="G113">
        <v>736.3</v>
      </c>
      <c r="H113">
        <v>609.1</v>
      </c>
      <c r="I113">
        <v>595.4</v>
      </c>
      <c r="J113">
        <v>686.8</v>
      </c>
      <c r="K113">
        <v>490.8</v>
      </c>
      <c r="L113">
        <v>414.4</v>
      </c>
      <c r="M113">
        <v>374.5</v>
      </c>
      <c r="N113">
        <v>402.2</v>
      </c>
      <c r="O113">
        <v>909.1</v>
      </c>
      <c r="P113">
        <v>664.3</v>
      </c>
      <c r="Q113">
        <v>655.6</v>
      </c>
      <c r="R113">
        <v>769</v>
      </c>
      <c r="S113">
        <v>683.2</v>
      </c>
      <c r="T113">
        <v>661.5</v>
      </c>
      <c r="U113">
        <v>471.4</v>
      </c>
      <c r="V113">
        <v>990.2</v>
      </c>
      <c r="W113">
        <v>715.9</v>
      </c>
      <c r="X113">
        <v>705</v>
      </c>
      <c r="Y113">
        <v>436.7</v>
      </c>
      <c r="Z113">
        <v>972.5</v>
      </c>
      <c r="AA113">
        <v>728.9</v>
      </c>
      <c r="AB113">
        <v>804.1</v>
      </c>
      <c r="AC113" t="s">
        <v>73</v>
      </c>
      <c r="AD113" t="s">
        <v>73</v>
      </c>
    </row>
    <row r="114" spans="1:30" x14ac:dyDescent="0.3">
      <c r="A114" t="s">
        <v>560</v>
      </c>
      <c r="B114" s="5" t="s">
        <v>561</v>
      </c>
      <c r="C114" t="s">
        <v>265</v>
      </c>
      <c r="D114" s="5" t="s">
        <v>266</v>
      </c>
      <c r="E114">
        <v>1278</v>
      </c>
      <c r="F114">
        <v>1115.4000000000001</v>
      </c>
      <c r="G114">
        <v>916.7</v>
      </c>
      <c r="H114">
        <v>833.3</v>
      </c>
      <c r="I114">
        <v>916.7</v>
      </c>
      <c r="J114">
        <v>1290</v>
      </c>
      <c r="K114">
        <v>1261.5</v>
      </c>
      <c r="L114">
        <v>1448.8</v>
      </c>
      <c r="M114">
        <v>1553.4</v>
      </c>
      <c r="N114">
        <v>1183.5</v>
      </c>
      <c r="O114">
        <v>1178.5999999999999</v>
      </c>
      <c r="P114">
        <v>1173.0999999999999</v>
      </c>
      <c r="Q114">
        <v>1285.3</v>
      </c>
      <c r="R114">
        <v>1250.0999999999999</v>
      </c>
      <c r="S114">
        <v>1172</v>
      </c>
      <c r="T114">
        <v>1129.0999999999999</v>
      </c>
      <c r="U114">
        <v>1073.2</v>
      </c>
      <c r="V114">
        <v>1059.5</v>
      </c>
      <c r="W114">
        <v>1083.5999999999999</v>
      </c>
      <c r="X114">
        <v>1128.2</v>
      </c>
      <c r="Y114">
        <v>1148.0999999999999</v>
      </c>
      <c r="Z114">
        <v>1051.9000000000001</v>
      </c>
      <c r="AA114">
        <v>1120.5999999999999</v>
      </c>
      <c r="AB114">
        <v>1067.5</v>
      </c>
      <c r="AC114" t="s">
        <v>73</v>
      </c>
      <c r="AD114" t="s">
        <v>73</v>
      </c>
    </row>
    <row r="115" spans="1:30" x14ac:dyDescent="0.3">
      <c r="A115" t="s">
        <v>560</v>
      </c>
      <c r="B115" s="5" t="s">
        <v>561</v>
      </c>
      <c r="C115" t="s">
        <v>267</v>
      </c>
      <c r="D115" s="5" t="s">
        <v>268</v>
      </c>
      <c r="E115">
        <v>637.70000000000005</v>
      </c>
      <c r="F115">
        <v>619.4</v>
      </c>
      <c r="G115">
        <v>632.29999999999995</v>
      </c>
      <c r="H115">
        <v>620</v>
      </c>
      <c r="I115">
        <v>620</v>
      </c>
      <c r="J115">
        <v>622.79999999999995</v>
      </c>
      <c r="K115">
        <v>622.6</v>
      </c>
      <c r="L115">
        <v>623</v>
      </c>
      <c r="M115">
        <v>621.70000000000005</v>
      </c>
      <c r="N115">
        <v>634.1</v>
      </c>
      <c r="O115">
        <v>669.9</v>
      </c>
      <c r="P115">
        <v>664.5</v>
      </c>
      <c r="Q115">
        <v>681.4</v>
      </c>
      <c r="R115">
        <v>663.8</v>
      </c>
      <c r="S115">
        <v>666.8</v>
      </c>
      <c r="T115">
        <v>665.3</v>
      </c>
      <c r="U115">
        <v>669.9</v>
      </c>
      <c r="V115">
        <v>676</v>
      </c>
      <c r="W115">
        <v>680.5</v>
      </c>
      <c r="X115">
        <v>679.7</v>
      </c>
      <c r="Y115">
        <v>672.4</v>
      </c>
      <c r="Z115">
        <v>673.4</v>
      </c>
      <c r="AA115">
        <v>671.9</v>
      </c>
      <c r="AB115">
        <v>671.4</v>
      </c>
      <c r="AC115" t="s">
        <v>73</v>
      </c>
      <c r="AD115" t="s">
        <v>73</v>
      </c>
    </row>
    <row r="116" spans="1:30" x14ac:dyDescent="0.3">
      <c r="A116" t="s">
        <v>560</v>
      </c>
      <c r="B116" s="5" t="s">
        <v>561</v>
      </c>
      <c r="C116" t="s">
        <v>269</v>
      </c>
      <c r="D116" s="5" t="s">
        <v>270</v>
      </c>
      <c r="E116" t="s">
        <v>73</v>
      </c>
      <c r="F116" t="s">
        <v>73</v>
      </c>
      <c r="G116" t="s">
        <v>73</v>
      </c>
      <c r="H116" t="s">
        <v>73</v>
      </c>
      <c r="I116" t="s">
        <v>73</v>
      </c>
      <c r="J116" t="s">
        <v>73</v>
      </c>
      <c r="K116" t="s">
        <v>73</v>
      </c>
      <c r="L116" t="s">
        <v>73</v>
      </c>
      <c r="M116" t="s">
        <v>73</v>
      </c>
      <c r="N116" t="s">
        <v>73</v>
      </c>
      <c r="O116" t="s">
        <v>73</v>
      </c>
      <c r="P116" t="s">
        <v>73</v>
      </c>
      <c r="Q116" t="s">
        <v>73</v>
      </c>
      <c r="R116" t="s">
        <v>73</v>
      </c>
      <c r="S116" t="s">
        <v>73</v>
      </c>
      <c r="T116" t="s">
        <v>73</v>
      </c>
      <c r="U116" t="s">
        <v>73</v>
      </c>
      <c r="V116" t="s">
        <v>73</v>
      </c>
      <c r="W116" t="s">
        <v>73</v>
      </c>
      <c r="X116" t="s">
        <v>73</v>
      </c>
      <c r="Y116" t="s">
        <v>73</v>
      </c>
      <c r="Z116" t="s">
        <v>73</v>
      </c>
      <c r="AA116" t="s">
        <v>73</v>
      </c>
      <c r="AB116" t="s">
        <v>73</v>
      </c>
      <c r="AC116" t="s">
        <v>73</v>
      </c>
      <c r="AD116" t="s">
        <v>73</v>
      </c>
    </row>
    <row r="117" spans="1:30" x14ac:dyDescent="0.3">
      <c r="A117" t="s">
        <v>560</v>
      </c>
      <c r="B117" s="5" t="s">
        <v>561</v>
      </c>
      <c r="C117" t="s">
        <v>271</v>
      </c>
      <c r="D117" s="5" t="s">
        <v>272</v>
      </c>
      <c r="E117">
        <v>2707.5</v>
      </c>
      <c r="F117">
        <v>2505</v>
      </c>
      <c r="G117">
        <v>2765.9</v>
      </c>
      <c r="H117">
        <v>3037</v>
      </c>
      <c r="I117">
        <v>3254.9</v>
      </c>
      <c r="J117">
        <v>2940.2</v>
      </c>
      <c r="K117">
        <v>1929.4</v>
      </c>
      <c r="L117">
        <v>3007.1</v>
      </c>
      <c r="M117">
        <v>3348.2</v>
      </c>
      <c r="N117">
        <v>3449.6</v>
      </c>
      <c r="O117">
        <v>2763.5</v>
      </c>
      <c r="P117">
        <v>3029.9</v>
      </c>
      <c r="Q117">
        <v>4015.3</v>
      </c>
      <c r="R117">
        <v>3687.8</v>
      </c>
      <c r="S117">
        <v>3975.2</v>
      </c>
      <c r="T117">
        <v>4564.6000000000004</v>
      </c>
      <c r="U117">
        <v>3859.8</v>
      </c>
      <c r="V117">
        <v>4230.2</v>
      </c>
      <c r="W117">
        <v>3094.1</v>
      </c>
      <c r="X117">
        <v>3801.6</v>
      </c>
      <c r="Y117">
        <v>4734.2</v>
      </c>
      <c r="Z117">
        <v>3937.2</v>
      </c>
      <c r="AA117">
        <v>4210.2</v>
      </c>
      <c r="AB117">
        <v>4187.3</v>
      </c>
      <c r="AC117" t="s">
        <v>73</v>
      </c>
      <c r="AD117" t="s">
        <v>73</v>
      </c>
    </row>
    <row r="118" spans="1:30" x14ac:dyDescent="0.3">
      <c r="A118" t="s">
        <v>560</v>
      </c>
      <c r="B118" s="5" t="s">
        <v>561</v>
      </c>
      <c r="C118" t="s">
        <v>273</v>
      </c>
      <c r="D118" s="5" t="s">
        <v>274</v>
      </c>
      <c r="E118">
        <v>5328.8</v>
      </c>
      <c r="F118">
        <v>5142.3</v>
      </c>
      <c r="G118">
        <v>5748</v>
      </c>
      <c r="H118">
        <v>5678</v>
      </c>
      <c r="I118">
        <v>6396.6</v>
      </c>
      <c r="J118">
        <v>5634.8</v>
      </c>
      <c r="K118">
        <v>5596.8</v>
      </c>
      <c r="L118">
        <v>5202.8999999999996</v>
      </c>
      <c r="M118">
        <v>6106.4</v>
      </c>
      <c r="N118">
        <v>6202.1</v>
      </c>
      <c r="O118">
        <v>5593.3</v>
      </c>
      <c r="P118">
        <v>5193.2</v>
      </c>
      <c r="Q118">
        <v>5522.7</v>
      </c>
      <c r="R118">
        <v>5967.4</v>
      </c>
      <c r="S118">
        <v>5935.5</v>
      </c>
      <c r="T118">
        <v>6027.1</v>
      </c>
      <c r="U118">
        <v>4999.6000000000004</v>
      </c>
      <c r="V118">
        <v>5339.5</v>
      </c>
      <c r="W118">
        <v>5993.5</v>
      </c>
      <c r="X118">
        <v>5972.6</v>
      </c>
      <c r="Y118">
        <v>5736.8</v>
      </c>
      <c r="Z118">
        <v>5593.3</v>
      </c>
      <c r="AA118">
        <v>6154.3</v>
      </c>
      <c r="AB118">
        <v>5539.5</v>
      </c>
      <c r="AC118" t="s">
        <v>73</v>
      </c>
      <c r="AD118" t="s">
        <v>73</v>
      </c>
    </row>
    <row r="119" spans="1:30" x14ac:dyDescent="0.3">
      <c r="A119" t="s">
        <v>560</v>
      </c>
      <c r="B119" s="5" t="s">
        <v>561</v>
      </c>
      <c r="C119" t="s">
        <v>275</v>
      </c>
      <c r="D119" s="5" t="s">
        <v>276</v>
      </c>
      <c r="E119" t="s">
        <v>73</v>
      </c>
      <c r="F119" t="s">
        <v>73</v>
      </c>
      <c r="G119" t="s">
        <v>73</v>
      </c>
      <c r="H119" t="s">
        <v>73</v>
      </c>
      <c r="I119" t="s">
        <v>73</v>
      </c>
      <c r="J119" t="s">
        <v>73</v>
      </c>
      <c r="K119" t="s">
        <v>73</v>
      </c>
      <c r="L119" t="s">
        <v>73</v>
      </c>
      <c r="M119" t="s">
        <v>73</v>
      </c>
      <c r="N119" t="s">
        <v>73</v>
      </c>
      <c r="O119" t="s">
        <v>73</v>
      </c>
      <c r="P119" t="s">
        <v>73</v>
      </c>
      <c r="Q119" t="s">
        <v>73</v>
      </c>
      <c r="R119" t="s">
        <v>73</v>
      </c>
      <c r="S119" t="s">
        <v>73</v>
      </c>
      <c r="T119" t="s">
        <v>73</v>
      </c>
      <c r="U119" t="s">
        <v>73</v>
      </c>
      <c r="V119" t="s">
        <v>73</v>
      </c>
      <c r="W119" t="s">
        <v>73</v>
      </c>
      <c r="X119" t="s">
        <v>73</v>
      </c>
      <c r="Y119" t="s">
        <v>73</v>
      </c>
      <c r="Z119" t="s">
        <v>73</v>
      </c>
      <c r="AA119" t="s">
        <v>73</v>
      </c>
      <c r="AB119" t="s">
        <v>73</v>
      </c>
      <c r="AC119" t="s">
        <v>73</v>
      </c>
      <c r="AD119" t="s">
        <v>73</v>
      </c>
    </row>
    <row r="120" spans="1:30" x14ac:dyDescent="0.3">
      <c r="A120" t="s">
        <v>560</v>
      </c>
      <c r="B120" s="5" t="s">
        <v>561</v>
      </c>
      <c r="C120" t="s">
        <v>277</v>
      </c>
      <c r="D120" s="5" t="s">
        <v>278</v>
      </c>
      <c r="E120">
        <v>1890.9</v>
      </c>
      <c r="F120">
        <v>2020.7</v>
      </c>
      <c r="G120">
        <v>1967.4</v>
      </c>
      <c r="H120">
        <v>2201.6999999999998</v>
      </c>
      <c r="I120">
        <v>2353.1999999999998</v>
      </c>
      <c r="J120">
        <v>2514.5</v>
      </c>
      <c r="K120">
        <v>2565.3000000000002</v>
      </c>
      <c r="L120">
        <v>2620.1</v>
      </c>
      <c r="M120">
        <v>2811.3</v>
      </c>
      <c r="N120">
        <v>3183.4</v>
      </c>
      <c r="O120">
        <v>3271.6</v>
      </c>
      <c r="P120">
        <v>3238</v>
      </c>
      <c r="Q120">
        <v>3289.2</v>
      </c>
      <c r="R120">
        <v>3203.2</v>
      </c>
      <c r="S120">
        <v>3010.1</v>
      </c>
      <c r="T120">
        <v>3057.8</v>
      </c>
      <c r="U120">
        <v>2852.1</v>
      </c>
      <c r="V120">
        <v>2750.2</v>
      </c>
      <c r="W120">
        <v>2645.1</v>
      </c>
      <c r="X120">
        <v>2389</v>
      </c>
      <c r="Y120">
        <v>2467.6999999999998</v>
      </c>
      <c r="Z120">
        <v>2776.5</v>
      </c>
      <c r="AA120">
        <v>2975.8</v>
      </c>
      <c r="AB120">
        <v>2425.6</v>
      </c>
      <c r="AC120" t="s">
        <v>73</v>
      </c>
      <c r="AD120" t="s">
        <v>73</v>
      </c>
    </row>
    <row r="121" spans="1:30" x14ac:dyDescent="0.3">
      <c r="A121" t="s">
        <v>560</v>
      </c>
      <c r="B121" s="5" t="s">
        <v>561</v>
      </c>
      <c r="C121" t="s">
        <v>279</v>
      </c>
      <c r="D121" s="5" t="s">
        <v>280</v>
      </c>
      <c r="E121">
        <v>1675.5</v>
      </c>
      <c r="F121">
        <v>1175.5</v>
      </c>
      <c r="G121">
        <v>1045.7</v>
      </c>
      <c r="H121">
        <v>1209</v>
      </c>
      <c r="I121">
        <v>1020.6</v>
      </c>
      <c r="J121">
        <v>777.8</v>
      </c>
      <c r="K121">
        <v>1444.7</v>
      </c>
      <c r="L121">
        <v>2467</v>
      </c>
      <c r="M121">
        <v>1598.7</v>
      </c>
      <c r="N121">
        <v>2124.3000000000002</v>
      </c>
      <c r="O121">
        <v>1906.9</v>
      </c>
      <c r="P121">
        <v>2094.3000000000002</v>
      </c>
      <c r="Q121">
        <v>2087.1</v>
      </c>
      <c r="R121">
        <v>2068.8000000000002</v>
      </c>
      <c r="S121">
        <v>2218.1</v>
      </c>
      <c r="T121">
        <v>1590.6</v>
      </c>
      <c r="U121">
        <v>1347.4</v>
      </c>
      <c r="V121">
        <v>1903.1</v>
      </c>
      <c r="W121">
        <v>1531.2</v>
      </c>
      <c r="X121">
        <v>1874</v>
      </c>
      <c r="Y121">
        <v>2004.4</v>
      </c>
      <c r="Z121">
        <v>2319.1</v>
      </c>
      <c r="AA121">
        <v>1944.2</v>
      </c>
      <c r="AB121">
        <v>1856.9</v>
      </c>
      <c r="AC121" t="s">
        <v>73</v>
      </c>
      <c r="AD121" t="s">
        <v>73</v>
      </c>
    </row>
    <row r="122" spans="1:30" x14ac:dyDescent="0.3">
      <c r="A122" t="s">
        <v>560</v>
      </c>
      <c r="B122" s="5" t="s">
        <v>561</v>
      </c>
      <c r="C122" t="s">
        <v>281</v>
      </c>
      <c r="D122" s="5" t="s">
        <v>282</v>
      </c>
      <c r="E122">
        <v>3064</v>
      </c>
      <c r="F122">
        <v>3110.1</v>
      </c>
      <c r="G122">
        <v>3238.5</v>
      </c>
      <c r="H122">
        <v>3359.6</v>
      </c>
      <c r="I122">
        <v>3326</v>
      </c>
      <c r="J122">
        <v>3422.1</v>
      </c>
      <c r="K122">
        <v>3390.7</v>
      </c>
      <c r="L122">
        <v>3527.7</v>
      </c>
      <c r="M122">
        <v>3583.6</v>
      </c>
      <c r="N122">
        <v>3720.5</v>
      </c>
      <c r="O122">
        <v>3636.1</v>
      </c>
      <c r="P122">
        <v>3746.8</v>
      </c>
      <c r="Q122">
        <v>3797.2</v>
      </c>
      <c r="R122">
        <v>3876.3</v>
      </c>
      <c r="S122">
        <v>4629.2</v>
      </c>
      <c r="T122">
        <v>4022.3</v>
      </c>
      <c r="U122">
        <v>3977.5</v>
      </c>
      <c r="V122">
        <v>3749.6</v>
      </c>
      <c r="W122">
        <v>3770.4</v>
      </c>
      <c r="X122">
        <v>3500.9</v>
      </c>
      <c r="Y122">
        <v>3653.8</v>
      </c>
      <c r="Z122">
        <v>3768.1</v>
      </c>
      <c r="AA122">
        <v>3576.5</v>
      </c>
      <c r="AB122">
        <v>3523.7</v>
      </c>
      <c r="AC122" t="s">
        <v>73</v>
      </c>
      <c r="AD122" t="s">
        <v>73</v>
      </c>
    </row>
    <row r="123" spans="1:30" x14ac:dyDescent="0.3">
      <c r="A123" t="s">
        <v>560</v>
      </c>
      <c r="B123" s="5" t="s">
        <v>561</v>
      </c>
      <c r="C123" t="s">
        <v>283</v>
      </c>
      <c r="D123" s="5" t="s">
        <v>284</v>
      </c>
      <c r="E123">
        <v>1476.6</v>
      </c>
      <c r="F123">
        <v>1622.4</v>
      </c>
      <c r="G123">
        <v>1671.4</v>
      </c>
      <c r="H123">
        <v>1502.4</v>
      </c>
      <c r="I123">
        <v>1970.1</v>
      </c>
      <c r="J123">
        <v>1764.7</v>
      </c>
      <c r="K123">
        <v>1928.6</v>
      </c>
      <c r="L123">
        <v>1958.8</v>
      </c>
      <c r="M123">
        <v>2078.8000000000002</v>
      </c>
      <c r="N123">
        <v>2141.6999999999998</v>
      </c>
      <c r="O123">
        <v>2247.1</v>
      </c>
      <c r="P123">
        <v>2372.1999999999998</v>
      </c>
      <c r="Q123">
        <v>2494.1999999999998</v>
      </c>
      <c r="R123">
        <v>2527.8000000000002</v>
      </c>
      <c r="S123">
        <v>2309</v>
      </c>
      <c r="T123">
        <v>2280.1</v>
      </c>
      <c r="U123">
        <v>2467.8000000000002</v>
      </c>
      <c r="V123">
        <v>2391.6</v>
      </c>
      <c r="W123">
        <v>2469</v>
      </c>
      <c r="X123">
        <v>2431.4</v>
      </c>
      <c r="Y123">
        <v>2432.4</v>
      </c>
      <c r="Z123">
        <v>2444</v>
      </c>
      <c r="AA123">
        <v>2441.8000000000002</v>
      </c>
      <c r="AB123">
        <v>2444</v>
      </c>
      <c r="AC123" t="s">
        <v>73</v>
      </c>
      <c r="AD123" t="s">
        <v>73</v>
      </c>
    </row>
    <row r="124" spans="1:30" x14ac:dyDescent="0.3">
      <c r="A124" t="s">
        <v>560</v>
      </c>
      <c r="B124" s="5" t="s">
        <v>561</v>
      </c>
      <c r="C124" t="s">
        <v>285</v>
      </c>
      <c r="D124" s="5" t="s">
        <v>286</v>
      </c>
      <c r="E124">
        <v>1006.5</v>
      </c>
      <c r="F124">
        <v>986.3</v>
      </c>
      <c r="G124">
        <v>788.6</v>
      </c>
      <c r="H124">
        <v>981.4</v>
      </c>
      <c r="I124">
        <v>1206.5</v>
      </c>
      <c r="J124">
        <v>1089.5</v>
      </c>
      <c r="K124">
        <v>1124.8</v>
      </c>
      <c r="L124">
        <v>1101.2</v>
      </c>
      <c r="M124">
        <v>1397.7</v>
      </c>
      <c r="N124">
        <v>1800.4</v>
      </c>
      <c r="O124">
        <v>1452.8</v>
      </c>
      <c r="P124">
        <v>1046.8</v>
      </c>
      <c r="Q124">
        <v>1506.8</v>
      </c>
      <c r="R124">
        <v>1512.4</v>
      </c>
      <c r="S124">
        <v>1550.7</v>
      </c>
      <c r="T124">
        <v>1575.5</v>
      </c>
      <c r="U124">
        <v>1607.5</v>
      </c>
      <c r="V124">
        <v>1601.9</v>
      </c>
      <c r="W124">
        <v>1728.9</v>
      </c>
      <c r="X124">
        <v>1767.7</v>
      </c>
      <c r="Y124">
        <v>1686</v>
      </c>
      <c r="Z124">
        <v>1441.2</v>
      </c>
      <c r="AA124">
        <v>1671</v>
      </c>
      <c r="AB124">
        <v>1587.6</v>
      </c>
      <c r="AC124" t="s">
        <v>73</v>
      </c>
      <c r="AD124" t="s">
        <v>73</v>
      </c>
    </row>
    <row r="125" spans="1:30" x14ac:dyDescent="0.3">
      <c r="A125" t="s">
        <v>560</v>
      </c>
      <c r="B125" s="5" t="s">
        <v>561</v>
      </c>
      <c r="C125" t="s">
        <v>287</v>
      </c>
      <c r="D125" s="5" t="s">
        <v>288</v>
      </c>
      <c r="E125">
        <v>4007.5</v>
      </c>
      <c r="F125">
        <v>4000</v>
      </c>
      <c r="G125">
        <v>4781.3</v>
      </c>
      <c r="H125">
        <v>4013.6</v>
      </c>
      <c r="I125">
        <v>4083.2</v>
      </c>
      <c r="J125">
        <v>4129</v>
      </c>
      <c r="K125">
        <v>4032.3</v>
      </c>
      <c r="L125">
        <v>4238.8</v>
      </c>
      <c r="M125">
        <v>4714.3</v>
      </c>
      <c r="N125">
        <v>4789.2</v>
      </c>
      <c r="O125">
        <v>4691.1000000000004</v>
      </c>
      <c r="P125">
        <v>4670.8999999999996</v>
      </c>
      <c r="Q125">
        <v>4639.7</v>
      </c>
      <c r="R125">
        <v>4668.6000000000004</v>
      </c>
      <c r="S125">
        <v>4740.3999999999996</v>
      </c>
      <c r="T125">
        <v>4824.3</v>
      </c>
      <c r="U125">
        <v>4820.3999999999996</v>
      </c>
      <c r="V125">
        <v>4879.8999999999996</v>
      </c>
      <c r="W125" t="s">
        <v>73</v>
      </c>
      <c r="X125" t="s">
        <v>73</v>
      </c>
      <c r="Y125" t="s">
        <v>73</v>
      </c>
      <c r="Z125" t="s">
        <v>73</v>
      </c>
      <c r="AA125" t="s">
        <v>73</v>
      </c>
      <c r="AB125" t="s">
        <v>73</v>
      </c>
      <c r="AC125" t="s">
        <v>73</v>
      </c>
      <c r="AD125" t="s">
        <v>73</v>
      </c>
    </row>
    <row r="126" spans="1:30" x14ac:dyDescent="0.3">
      <c r="A126" t="s">
        <v>560</v>
      </c>
      <c r="B126" s="5" t="s">
        <v>561</v>
      </c>
      <c r="C126" t="s">
        <v>289</v>
      </c>
      <c r="D126" s="5" t="s">
        <v>290</v>
      </c>
      <c r="E126" t="s">
        <v>73</v>
      </c>
      <c r="F126" t="s">
        <v>73</v>
      </c>
      <c r="G126" t="s">
        <v>73</v>
      </c>
      <c r="H126" t="s">
        <v>73</v>
      </c>
      <c r="I126" t="s">
        <v>73</v>
      </c>
      <c r="J126" t="s">
        <v>73</v>
      </c>
      <c r="K126" t="s">
        <v>73</v>
      </c>
      <c r="L126" t="s">
        <v>73</v>
      </c>
      <c r="M126" t="s">
        <v>73</v>
      </c>
      <c r="N126" t="s">
        <v>73</v>
      </c>
      <c r="O126" t="s">
        <v>73</v>
      </c>
      <c r="P126" t="s">
        <v>73</v>
      </c>
      <c r="Q126" t="s">
        <v>73</v>
      </c>
      <c r="R126" t="s">
        <v>73</v>
      </c>
      <c r="S126" t="s">
        <v>73</v>
      </c>
      <c r="T126" t="s">
        <v>73</v>
      </c>
      <c r="U126" t="s">
        <v>73</v>
      </c>
      <c r="V126" t="s">
        <v>73</v>
      </c>
      <c r="W126" t="s">
        <v>73</v>
      </c>
      <c r="X126" t="s">
        <v>73</v>
      </c>
      <c r="Y126" t="s">
        <v>73</v>
      </c>
      <c r="Z126" t="s">
        <v>73</v>
      </c>
      <c r="AA126" t="s">
        <v>73</v>
      </c>
      <c r="AB126" t="s">
        <v>73</v>
      </c>
      <c r="AC126" t="s">
        <v>73</v>
      </c>
      <c r="AD126" t="s">
        <v>73</v>
      </c>
    </row>
    <row r="127" spans="1:30" x14ac:dyDescent="0.3">
      <c r="A127" t="s">
        <v>560</v>
      </c>
      <c r="B127" s="5" t="s">
        <v>561</v>
      </c>
      <c r="C127" t="s">
        <v>291</v>
      </c>
      <c r="D127" s="5" t="s">
        <v>292</v>
      </c>
      <c r="E127">
        <v>864.4</v>
      </c>
      <c r="F127">
        <v>639.1</v>
      </c>
      <c r="G127">
        <v>1011.8</v>
      </c>
      <c r="H127">
        <v>797.7</v>
      </c>
      <c r="I127">
        <v>637.5</v>
      </c>
      <c r="J127">
        <v>841.2</v>
      </c>
      <c r="K127">
        <v>661.3</v>
      </c>
      <c r="L127">
        <v>705.8</v>
      </c>
      <c r="M127">
        <v>765.8</v>
      </c>
      <c r="N127">
        <v>713.3</v>
      </c>
      <c r="O127">
        <v>955.2</v>
      </c>
      <c r="P127">
        <v>1374.5</v>
      </c>
      <c r="Q127">
        <v>1034.4000000000001</v>
      </c>
      <c r="R127">
        <v>1197</v>
      </c>
      <c r="S127">
        <v>1678.8</v>
      </c>
      <c r="T127">
        <v>1262.2</v>
      </c>
      <c r="U127">
        <v>1231.2</v>
      </c>
      <c r="V127">
        <v>1912</v>
      </c>
      <c r="W127">
        <v>1506.4</v>
      </c>
      <c r="X127">
        <v>1391.4</v>
      </c>
      <c r="Y127">
        <v>1322.2</v>
      </c>
      <c r="Z127">
        <v>2035</v>
      </c>
      <c r="AA127">
        <v>1522.2</v>
      </c>
      <c r="AB127">
        <v>1968.2</v>
      </c>
      <c r="AC127" t="s">
        <v>73</v>
      </c>
      <c r="AD127" t="s">
        <v>73</v>
      </c>
    </row>
    <row r="128" spans="1:30" x14ac:dyDescent="0.3">
      <c r="A128" t="s">
        <v>560</v>
      </c>
      <c r="B128" s="5" t="s">
        <v>561</v>
      </c>
      <c r="C128" t="s">
        <v>293</v>
      </c>
      <c r="D128" s="5" t="s">
        <v>294</v>
      </c>
      <c r="E128">
        <v>8900</v>
      </c>
      <c r="F128">
        <v>7203.7</v>
      </c>
      <c r="G128">
        <v>7763.2</v>
      </c>
      <c r="H128">
        <v>6555.6</v>
      </c>
      <c r="I128">
        <v>6473.7</v>
      </c>
      <c r="J128">
        <v>7539.7</v>
      </c>
      <c r="K128">
        <v>7793.1</v>
      </c>
      <c r="L128">
        <v>9453.7000000000007</v>
      </c>
      <c r="M128">
        <v>7541</v>
      </c>
      <c r="N128">
        <v>8000</v>
      </c>
      <c r="O128">
        <v>6833.3</v>
      </c>
      <c r="P128">
        <v>3901.8</v>
      </c>
      <c r="Q128">
        <v>3389.6</v>
      </c>
      <c r="R128">
        <v>3219.1</v>
      </c>
      <c r="S128">
        <v>3765.1</v>
      </c>
      <c r="T128">
        <v>2695.9</v>
      </c>
      <c r="U128">
        <v>3455</v>
      </c>
      <c r="V128">
        <v>5234.8</v>
      </c>
      <c r="W128">
        <v>5272.7</v>
      </c>
      <c r="X128">
        <v>6880</v>
      </c>
      <c r="Y128">
        <v>8942.5</v>
      </c>
      <c r="Z128">
        <v>8640.6</v>
      </c>
      <c r="AA128">
        <v>9247.2000000000007</v>
      </c>
      <c r="AB128">
        <v>11643.4</v>
      </c>
      <c r="AC128" t="s">
        <v>73</v>
      </c>
      <c r="AD128" t="s">
        <v>73</v>
      </c>
    </row>
    <row r="129" spans="1:30" x14ac:dyDescent="0.3">
      <c r="A129" t="s">
        <v>560</v>
      </c>
      <c r="B129" s="5" t="s">
        <v>561</v>
      </c>
      <c r="C129" t="s">
        <v>29</v>
      </c>
      <c r="D129" s="5" t="s">
        <v>295</v>
      </c>
      <c r="E129">
        <v>2760.9</v>
      </c>
      <c r="F129">
        <v>2855.2</v>
      </c>
      <c r="G129">
        <v>2913.1</v>
      </c>
      <c r="H129">
        <v>2964</v>
      </c>
      <c r="I129">
        <v>3078.6</v>
      </c>
      <c r="J129">
        <v>3130.8</v>
      </c>
      <c r="K129">
        <v>3213.3</v>
      </c>
      <c r="L129">
        <v>3353</v>
      </c>
      <c r="M129">
        <v>3452.3</v>
      </c>
      <c r="N129">
        <v>3433.7</v>
      </c>
      <c r="O129">
        <v>3501.2</v>
      </c>
      <c r="P129">
        <v>3240.5</v>
      </c>
      <c r="Q129">
        <v>3453.4</v>
      </c>
      <c r="R129">
        <v>3386.9</v>
      </c>
      <c r="S129">
        <v>3581.9</v>
      </c>
      <c r="T129">
        <v>3470.1</v>
      </c>
      <c r="U129">
        <v>3748.8</v>
      </c>
      <c r="V129">
        <v>3799.7</v>
      </c>
      <c r="W129">
        <v>3826.3</v>
      </c>
      <c r="X129">
        <v>3992.4</v>
      </c>
      <c r="Y129">
        <v>3806.5</v>
      </c>
      <c r="Z129">
        <v>3878.9</v>
      </c>
      <c r="AA129">
        <v>3950.2</v>
      </c>
      <c r="AB129">
        <v>4262.2</v>
      </c>
      <c r="AC129" t="s">
        <v>73</v>
      </c>
      <c r="AD129" t="s">
        <v>73</v>
      </c>
    </row>
    <row r="130" spans="1:30" x14ac:dyDescent="0.3">
      <c r="A130" t="s">
        <v>560</v>
      </c>
      <c r="B130" s="5" t="s">
        <v>561</v>
      </c>
      <c r="C130" t="s">
        <v>296</v>
      </c>
      <c r="D130" s="5" t="s">
        <v>297</v>
      </c>
      <c r="E130">
        <v>1230.8</v>
      </c>
      <c r="F130">
        <v>1234.7</v>
      </c>
      <c r="G130">
        <v>1238.9000000000001</v>
      </c>
      <c r="H130">
        <v>1243.5</v>
      </c>
      <c r="I130">
        <v>1254.5999999999999</v>
      </c>
      <c r="J130">
        <v>1272.2</v>
      </c>
      <c r="K130">
        <v>1287.4000000000001</v>
      </c>
      <c r="L130">
        <v>1192.9000000000001</v>
      </c>
      <c r="M130">
        <v>1366.1</v>
      </c>
      <c r="N130">
        <v>1421.4</v>
      </c>
      <c r="O130">
        <v>1475.2</v>
      </c>
      <c r="P130">
        <v>1528.1</v>
      </c>
      <c r="Q130">
        <v>1674.3</v>
      </c>
      <c r="R130">
        <v>1673.8</v>
      </c>
      <c r="S130">
        <v>1670.5</v>
      </c>
      <c r="T130">
        <v>1678.1</v>
      </c>
      <c r="U130">
        <v>1697.3</v>
      </c>
      <c r="V130">
        <v>1722.4</v>
      </c>
      <c r="W130">
        <v>1741.9</v>
      </c>
      <c r="X130">
        <v>1755</v>
      </c>
      <c r="Y130">
        <v>1710.4</v>
      </c>
      <c r="Z130">
        <v>1717.7</v>
      </c>
      <c r="AA130">
        <v>1711.5</v>
      </c>
      <c r="AB130">
        <v>1703.7</v>
      </c>
      <c r="AC130" t="s">
        <v>73</v>
      </c>
      <c r="AD130" t="s">
        <v>73</v>
      </c>
    </row>
    <row r="131" spans="1:30" x14ac:dyDescent="0.3">
      <c r="A131" t="s">
        <v>560</v>
      </c>
      <c r="B131" s="5" t="s">
        <v>561</v>
      </c>
      <c r="C131" t="s">
        <v>298</v>
      </c>
      <c r="D131" s="5" t="s">
        <v>299</v>
      </c>
      <c r="E131">
        <v>2032.8</v>
      </c>
      <c r="F131">
        <v>2487.1</v>
      </c>
      <c r="G131">
        <v>2502.8000000000002</v>
      </c>
      <c r="H131">
        <v>2353.5</v>
      </c>
      <c r="I131">
        <v>2832</v>
      </c>
      <c r="J131">
        <v>2793.4</v>
      </c>
      <c r="K131">
        <v>2550.1999999999998</v>
      </c>
      <c r="L131">
        <v>2110.9</v>
      </c>
      <c r="M131">
        <v>3221.6</v>
      </c>
      <c r="N131">
        <v>2372.6999999999998</v>
      </c>
      <c r="O131">
        <v>2734</v>
      </c>
      <c r="P131">
        <v>2865.9</v>
      </c>
      <c r="Q131">
        <v>1357.1</v>
      </c>
      <c r="R131">
        <v>2851.8</v>
      </c>
      <c r="S131">
        <v>3162.3</v>
      </c>
      <c r="T131">
        <v>2370.9</v>
      </c>
      <c r="U131">
        <v>3197.3</v>
      </c>
      <c r="V131">
        <v>3651.9</v>
      </c>
      <c r="W131">
        <v>3683.2</v>
      </c>
      <c r="X131">
        <v>3859</v>
      </c>
      <c r="Y131">
        <v>1893.6</v>
      </c>
      <c r="Z131">
        <v>5157.7</v>
      </c>
      <c r="AA131">
        <v>2127.9</v>
      </c>
      <c r="AB131">
        <v>3434</v>
      </c>
      <c r="AC131" t="s">
        <v>73</v>
      </c>
      <c r="AD131" t="s">
        <v>73</v>
      </c>
    </row>
    <row r="132" spans="1:30" x14ac:dyDescent="0.3">
      <c r="A132" t="s">
        <v>560</v>
      </c>
      <c r="B132" s="5" t="s">
        <v>561</v>
      </c>
      <c r="C132" t="s">
        <v>300</v>
      </c>
      <c r="D132" s="5" t="s">
        <v>301</v>
      </c>
      <c r="E132" t="s">
        <v>73</v>
      </c>
      <c r="F132" t="s">
        <v>73</v>
      </c>
      <c r="G132" t="s">
        <v>73</v>
      </c>
      <c r="H132" t="s">
        <v>73</v>
      </c>
      <c r="I132" t="s">
        <v>73</v>
      </c>
      <c r="J132" t="s">
        <v>73</v>
      </c>
      <c r="K132" t="s">
        <v>73</v>
      </c>
      <c r="L132" t="s">
        <v>73</v>
      </c>
      <c r="M132" t="s">
        <v>73</v>
      </c>
      <c r="N132" t="s">
        <v>73</v>
      </c>
      <c r="O132" t="s">
        <v>73</v>
      </c>
      <c r="P132" t="s">
        <v>73</v>
      </c>
      <c r="Q132" t="s">
        <v>73</v>
      </c>
      <c r="R132" t="s">
        <v>73</v>
      </c>
      <c r="S132" t="s">
        <v>73</v>
      </c>
      <c r="T132" t="s">
        <v>73</v>
      </c>
      <c r="U132" t="s">
        <v>73</v>
      </c>
      <c r="V132" t="s">
        <v>73</v>
      </c>
      <c r="W132" t="s">
        <v>73</v>
      </c>
      <c r="X132" t="s">
        <v>73</v>
      </c>
      <c r="Y132" t="s">
        <v>73</v>
      </c>
      <c r="Z132" t="s">
        <v>73</v>
      </c>
      <c r="AA132" t="s">
        <v>73</v>
      </c>
      <c r="AB132" t="s">
        <v>73</v>
      </c>
      <c r="AC132" t="s">
        <v>73</v>
      </c>
      <c r="AD132" t="s">
        <v>73</v>
      </c>
    </row>
    <row r="133" spans="1:30" x14ac:dyDescent="0.3">
      <c r="A133" t="s">
        <v>560</v>
      </c>
      <c r="B133" s="5" t="s">
        <v>561</v>
      </c>
      <c r="C133" t="s">
        <v>302</v>
      </c>
      <c r="D133" s="5" t="s">
        <v>303</v>
      </c>
      <c r="E133">
        <v>770.1</v>
      </c>
      <c r="F133">
        <v>708.4</v>
      </c>
      <c r="G133">
        <v>585.4</v>
      </c>
      <c r="H133">
        <v>785.3</v>
      </c>
      <c r="I133">
        <v>787.5</v>
      </c>
      <c r="J133">
        <v>474.3</v>
      </c>
      <c r="K133">
        <v>1098</v>
      </c>
      <c r="L133">
        <v>942.5</v>
      </c>
      <c r="M133">
        <v>1382.8</v>
      </c>
      <c r="N133">
        <v>1551.8</v>
      </c>
      <c r="O133">
        <v>1370.3</v>
      </c>
      <c r="P133">
        <v>1487.2</v>
      </c>
      <c r="Q133">
        <v>1565.3</v>
      </c>
      <c r="R133">
        <v>1319.8</v>
      </c>
      <c r="S133">
        <v>1668</v>
      </c>
      <c r="T133">
        <v>574.70000000000005</v>
      </c>
      <c r="U133">
        <v>1279.5999999999999</v>
      </c>
      <c r="V133">
        <v>843.7</v>
      </c>
      <c r="W133">
        <v>1379.6</v>
      </c>
      <c r="X133">
        <v>1271.9000000000001</v>
      </c>
      <c r="Y133">
        <v>1218.5999999999999</v>
      </c>
      <c r="Z133">
        <v>1420</v>
      </c>
      <c r="AA133">
        <v>1113.2</v>
      </c>
      <c r="AB133">
        <v>1295.5</v>
      </c>
      <c r="AC133" t="s">
        <v>73</v>
      </c>
      <c r="AD133" t="s">
        <v>73</v>
      </c>
    </row>
    <row r="134" spans="1:30" x14ac:dyDescent="0.3">
      <c r="A134" t="s">
        <v>560</v>
      </c>
      <c r="B134" s="5" t="s">
        <v>561</v>
      </c>
      <c r="C134" t="s">
        <v>304</v>
      </c>
      <c r="D134" s="5" t="s">
        <v>305</v>
      </c>
      <c r="E134" t="s">
        <v>73</v>
      </c>
      <c r="F134" t="s">
        <v>73</v>
      </c>
      <c r="G134" t="s">
        <v>73</v>
      </c>
      <c r="H134" t="s">
        <v>73</v>
      </c>
      <c r="I134" t="s">
        <v>73</v>
      </c>
      <c r="J134" t="s">
        <v>73</v>
      </c>
      <c r="K134">
        <v>2971.2</v>
      </c>
      <c r="L134">
        <v>1992.4</v>
      </c>
      <c r="M134">
        <v>3239.7</v>
      </c>
      <c r="N134">
        <v>3347.9</v>
      </c>
      <c r="O134">
        <v>3321.4</v>
      </c>
      <c r="P134">
        <v>3305.7</v>
      </c>
      <c r="Q134">
        <v>2638.8</v>
      </c>
      <c r="R134">
        <v>3770.5</v>
      </c>
      <c r="S134">
        <v>3451.5</v>
      </c>
      <c r="T134">
        <v>3146.5</v>
      </c>
      <c r="U134">
        <v>3261.7</v>
      </c>
      <c r="V134">
        <v>3288</v>
      </c>
      <c r="W134">
        <v>3311.8</v>
      </c>
      <c r="X134">
        <v>3166.8</v>
      </c>
      <c r="Y134">
        <v>3260</v>
      </c>
      <c r="Z134">
        <v>3193.4</v>
      </c>
      <c r="AA134">
        <v>3216.6</v>
      </c>
      <c r="AB134">
        <v>3314.8</v>
      </c>
      <c r="AC134" t="s">
        <v>73</v>
      </c>
      <c r="AD134" t="s">
        <v>73</v>
      </c>
    </row>
    <row r="135" spans="1:30" x14ac:dyDescent="0.3">
      <c r="A135" t="s">
        <v>560</v>
      </c>
      <c r="B135" s="5" t="s">
        <v>561</v>
      </c>
      <c r="C135" t="s">
        <v>306</v>
      </c>
      <c r="D135" s="5" t="s">
        <v>307</v>
      </c>
      <c r="E135">
        <v>366.8</v>
      </c>
      <c r="F135">
        <v>894.6</v>
      </c>
      <c r="G135">
        <v>1068.7</v>
      </c>
      <c r="H135">
        <v>1432.9</v>
      </c>
      <c r="I135">
        <v>1512.1</v>
      </c>
      <c r="J135">
        <v>783.9</v>
      </c>
      <c r="K135">
        <v>1652.1</v>
      </c>
      <c r="L135">
        <v>516.4</v>
      </c>
      <c r="M135">
        <v>1002.9</v>
      </c>
      <c r="N135">
        <v>1919.4</v>
      </c>
      <c r="O135">
        <v>1547.5</v>
      </c>
      <c r="P135">
        <v>1614.4</v>
      </c>
      <c r="Q135">
        <v>1016.6</v>
      </c>
      <c r="R135">
        <v>1828.3</v>
      </c>
      <c r="S135">
        <v>1454.3</v>
      </c>
      <c r="T135">
        <v>2140.6999999999998</v>
      </c>
      <c r="U135">
        <v>936</v>
      </c>
      <c r="V135">
        <v>1757.4</v>
      </c>
      <c r="W135">
        <v>2263.1999999999998</v>
      </c>
      <c r="X135">
        <v>1453.6</v>
      </c>
      <c r="Y135">
        <v>747.3</v>
      </c>
      <c r="Z135">
        <v>2328.8000000000002</v>
      </c>
      <c r="AA135">
        <v>943.3</v>
      </c>
      <c r="AB135">
        <v>1494.9</v>
      </c>
      <c r="AC135" t="s">
        <v>73</v>
      </c>
      <c r="AD135" t="s">
        <v>73</v>
      </c>
    </row>
    <row r="136" spans="1:30" x14ac:dyDescent="0.3">
      <c r="A136" t="s">
        <v>560</v>
      </c>
      <c r="B136" s="5" t="s">
        <v>561</v>
      </c>
      <c r="C136" t="s">
        <v>308</v>
      </c>
      <c r="D136" s="5" t="s">
        <v>309</v>
      </c>
      <c r="E136">
        <v>868.1</v>
      </c>
      <c r="F136">
        <v>880.1</v>
      </c>
      <c r="G136">
        <v>615.70000000000005</v>
      </c>
      <c r="H136">
        <v>775.2</v>
      </c>
      <c r="I136">
        <v>725.9</v>
      </c>
      <c r="J136">
        <v>444.7</v>
      </c>
      <c r="K136">
        <v>718.6</v>
      </c>
      <c r="L136">
        <v>609.29999999999995</v>
      </c>
      <c r="M136">
        <v>555</v>
      </c>
      <c r="N136">
        <v>837.6</v>
      </c>
      <c r="O136">
        <v>979.4</v>
      </c>
      <c r="P136">
        <v>990.9</v>
      </c>
      <c r="Q136">
        <v>1167.4000000000001</v>
      </c>
      <c r="R136">
        <v>606</v>
      </c>
      <c r="S136">
        <v>745.3</v>
      </c>
      <c r="T136">
        <v>734</v>
      </c>
      <c r="U136">
        <v>662.6</v>
      </c>
      <c r="V136">
        <v>678.7</v>
      </c>
      <c r="W136">
        <v>798.9</v>
      </c>
      <c r="X136">
        <v>799.4</v>
      </c>
      <c r="Y136">
        <v>685.2</v>
      </c>
      <c r="Z136">
        <v>997.3</v>
      </c>
      <c r="AA136">
        <v>1162.8</v>
      </c>
      <c r="AB136">
        <v>737.7</v>
      </c>
      <c r="AC136" t="s">
        <v>73</v>
      </c>
      <c r="AD136" t="s">
        <v>73</v>
      </c>
    </row>
    <row r="137" spans="1:30" x14ac:dyDescent="0.3">
      <c r="A137" t="s">
        <v>560</v>
      </c>
      <c r="B137" s="5" t="s">
        <v>561</v>
      </c>
      <c r="C137" t="s">
        <v>310</v>
      </c>
      <c r="D137" s="5" t="s">
        <v>311</v>
      </c>
      <c r="E137">
        <v>3100.4</v>
      </c>
      <c r="F137">
        <v>3157.6</v>
      </c>
      <c r="G137">
        <v>3160.6</v>
      </c>
      <c r="H137">
        <v>3286</v>
      </c>
      <c r="I137">
        <v>3383.5</v>
      </c>
      <c r="J137">
        <v>3493.7</v>
      </c>
      <c r="K137">
        <v>3610</v>
      </c>
      <c r="L137">
        <v>3723.5</v>
      </c>
      <c r="M137">
        <v>3824.8</v>
      </c>
      <c r="N137">
        <v>3839</v>
      </c>
      <c r="O137">
        <v>3855.2</v>
      </c>
      <c r="P137">
        <v>3643.4</v>
      </c>
      <c r="Q137">
        <v>3610.5</v>
      </c>
      <c r="R137">
        <v>3646.1</v>
      </c>
      <c r="S137">
        <v>3690.2</v>
      </c>
      <c r="T137">
        <v>3710.9</v>
      </c>
      <c r="U137">
        <v>3659.7</v>
      </c>
      <c r="V137">
        <v>3671.5</v>
      </c>
      <c r="W137">
        <v>3761.3</v>
      </c>
      <c r="X137">
        <v>3714.1</v>
      </c>
      <c r="Y137">
        <v>3726.7</v>
      </c>
      <c r="Z137">
        <v>3743.8</v>
      </c>
      <c r="AA137">
        <v>3799.2</v>
      </c>
      <c r="AB137">
        <v>3792</v>
      </c>
      <c r="AC137" t="s">
        <v>73</v>
      </c>
      <c r="AD137" t="s">
        <v>73</v>
      </c>
    </row>
    <row r="138" spans="1:30" x14ac:dyDescent="0.3">
      <c r="A138" t="s">
        <v>560</v>
      </c>
      <c r="B138" s="5" t="s">
        <v>561</v>
      </c>
      <c r="C138" t="s">
        <v>312</v>
      </c>
      <c r="D138" s="5" t="s">
        <v>313</v>
      </c>
      <c r="E138">
        <v>391.2</v>
      </c>
      <c r="F138">
        <v>440.9</v>
      </c>
      <c r="G138">
        <v>270.8</v>
      </c>
      <c r="H138">
        <v>301.5</v>
      </c>
      <c r="I138">
        <v>418.3</v>
      </c>
      <c r="J138">
        <v>465.6</v>
      </c>
      <c r="K138">
        <v>620.5</v>
      </c>
      <c r="L138">
        <v>481.3</v>
      </c>
      <c r="M138">
        <v>495.5</v>
      </c>
      <c r="N138">
        <v>364.8</v>
      </c>
      <c r="O138">
        <v>405</v>
      </c>
      <c r="P138">
        <v>427.5</v>
      </c>
      <c r="Q138">
        <v>431.1</v>
      </c>
      <c r="R138">
        <v>458.7</v>
      </c>
      <c r="S138">
        <v>226.1</v>
      </c>
      <c r="T138">
        <v>370.7</v>
      </c>
      <c r="U138">
        <v>261.5</v>
      </c>
      <c r="V138">
        <v>426.3</v>
      </c>
      <c r="W138">
        <v>502.5</v>
      </c>
      <c r="X138">
        <v>943</v>
      </c>
      <c r="Y138">
        <v>549.29999999999995</v>
      </c>
      <c r="Z138">
        <v>471.2</v>
      </c>
      <c r="AA138">
        <v>487.8</v>
      </c>
      <c r="AB138">
        <v>451.2</v>
      </c>
      <c r="AC138" t="s">
        <v>73</v>
      </c>
      <c r="AD138" t="s">
        <v>73</v>
      </c>
    </row>
    <row r="139" spans="1:30" x14ac:dyDescent="0.3">
      <c r="A139" t="s">
        <v>560</v>
      </c>
      <c r="B139" s="5" t="s">
        <v>561</v>
      </c>
      <c r="C139" t="s">
        <v>314</v>
      </c>
      <c r="D139" s="5" t="s">
        <v>315</v>
      </c>
      <c r="E139" t="s">
        <v>73</v>
      </c>
      <c r="F139" t="s">
        <v>73</v>
      </c>
      <c r="G139" t="s">
        <v>73</v>
      </c>
      <c r="H139" t="s">
        <v>73</v>
      </c>
      <c r="I139" t="s">
        <v>73</v>
      </c>
      <c r="J139" t="s">
        <v>73</v>
      </c>
      <c r="K139" t="s">
        <v>73</v>
      </c>
      <c r="L139" t="s">
        <v>73</v>
      </c>
      <c r="M139" t="s">
        <v>73</v>
      </c>
      <c r="N139" t="s">
        <v>73</v>
      </c>
      <c r="O139" t="s">
        <v>73</v>
      </c>
      <c r="P139" t="s">
        <v>73</v>
      </c>
      <c r="Q139" t="s">
        <v>73</v>
      </c>
      <c r="R139" t="s">
        <v>73</v>
      </c>
      <c r="S139" t="s">
        <v>73</v>
      </c>
      <c r="T139" t="s">
        <v>73</v>
      </c>
      <c r="U139" t="s">
        <v>73</v>
      </c>
      <c r="V139" t="s">
        <v>73</v>
      </c>
      <c r="W139" t="s">
        <v>73</v>
      </c>
      <c r="X139" t="s">
        <v>73</v>
      </c>
      <c r="Y139" t="s">
        <v>73</v>
      </c>
      <c r="Z139" t="s">
        <v>73</v>
      </c>
      <c r="AA139" t="s">
        <v>73</v>
      </c>
      <c r="AB139" t="s">
        <v>73</v>
      </c>
      <c r="AC139" t="s">
        <v>73</v>
      </c>
      <c r="AD139" t="s">
        <v>73</v>
      </c>
    </row>
    <row r="140" spans="1:30" x14ac:dyDescent="0.3">
      <c r="A140" t="s">
        <v>560</v>
      </c>
      <c r="B140" s="5" t="s">
        <v>561</v>
      </c>
      <c r="C140" t="s">
        <v>316</v>
      </c>
      <c r="D140" s="5" t="s">
        <v>317</v>
      </c>
      <c r="E140">
        <v>2148.6</v>
      </c>
      <c r="F140">
        <v>2149</v>
      </c>
      <c r="G140">
        <v>2165.6</v>
      </c>
      <c r="H140">
        <v>2287.4</v>
      </c>
      <c r="I140">
        <v>2273.6999999999998</v>
      </c>
      <c r="J140">
        <v>2282.4</v>
      </c>
      <c r="K140">
        <v>2188.1</v>
      </c>
      <c r="L140">
        <v>2323</v>
      </c>
      <c r="M140">
        <v>2417</v>
      </c>
      <c r="N140">
        <v>2272.8000000000002</v>
      </c>
      <c r="O140">
        <v>2407.8000000000002</v>
      </c>
      <c r="P140">
        <v>2626</v>
      </c>
      <c r="Q140">
        <v>2635.2</v>
      </c>
      <c r="R140">
        <v>2678.9</v>
      </c>
      <c r="S140">
        <v>2721.8</v>
      </c>
      <c r="T140">
        <v>2647.9</v>
      </c>
      <c r="U140">
        <v>2730.5</v>
      </c>
      <c r="V140">
        <v>2840.7</v>
      </c>
      <c r="W140">
        <v>3045.9</v>
      </c>
      <c r="X140">
        <v>3106</v>
      </c>
      <c r="Y140">
        <v>3203.3</v>
      </c>
      <c r="Z140">
        <v>3063.2</v>
      </c>
      <c r="AA140">
        <v>3218.5</v>
      </c>
      <c r="AB140">
        <v>3344.3</v>
      </c>
      <c r="AC140" t="s">
        <v>73</v>
      </c>
      <c r="AD140" t="s">
        <v>73</v>
      </c>
    </row>
    <row r="141" spans="1:30" x14ac:dyDescent="0.3">
      <c r="A141" t="s">
        <v>560</v>
      </c>
      <c r="B141" s="5" t="s">
        <v>561</v>
      </c>
      <c r="C141" t="s">
        <v>30</v>
      </c>
      <c r="D141" s="5" t="s">
        <v>318</v>
      </c>
      <c r="E141">
        <v>7905.5</v>
      </c>
      <c r="F141">
        <v>7280.5</v>
      </c>
      <c r="G141">
        <v>7313.9</v>
      </c>
      <c r="H141">
        <v>7956.8</v>
      </c>
      <c r="I141">
        <v>8066.3</v>
      </c>
      <c r="J141">
        <v>7879.7</v>
      </c>
      <c r="K141">
        <v>7854.2</v>
      </c>
      <c r="L141">
        <v>7289.7</v>
      </c>
      <c r="M141">
        <v>8332.2999999999993</v>
      </c>
      <c r="N141">
        <v>9032.9</v>
      </c>
      <c r="O141">
        <v>8569.2999999999993</v>
      </c>
      <c r="P141">
        <v>7800.8</v>
      </c>
      <c r="Q141">
        <v>8545</v>
      </c>
      <c r="R141">
        <v>8630.1</v>
      </c>
      <c r="S141">
        <v>9073.7000000000007</v>
      </c>
      <c r="T141">
        <v>8752.7999999999993</v>
      </c>
      <c r="U141">
        <v>7776.9</v>
      </c>
      <c r="V141">
        <v>8794.5</v>
      </c>
      <c r="W141">
        <v>7905.1</v>
      </c>
      <c r="X141">
        <v>8654.2000000000007</v>
      </c>
      <c r="Y141">
        <v>7919.9</v>
      </c>
      <c r="Z141">
        <v>7872.3</v>
      </c>
      <c r="AA141">
        <v>8885.1</v>
      </c>
      <c r="AB141">
        <v>8059.1</v>
      </c>
      <c r="AC141" t="s">
        <v>73</v>
      </c>
      <c r="AD141" t="s">
        <v>73</v>
      </c>
    </row>
    <row r="142" spans="1:30" x14ac:dyDescent="0.3">
      <c r="A142" t="s">
        <v>560</v>
      </c>
      <c r="B142" s="5" t="s">
        <v>561</v>
      </c>
      <c r="C142" t="s">
        <v>319</v>
      </c>
      <c r="D142" s="5" t="s">
        <v>320</v>
      </c>
      <c r="E142">
        <v>3995.8</v>
      </c>
      <c r="F142">
        <v>3941.2</v>
      </c>
      <c r="G142">
        <v>3870.1</v>
      </c>
      <c r="H142">
        <v>4029.1</v>
      </c>
      <c r="I142">
        <v>4012.8</v>
      </c>
      <c r="J142">
        <v>3885.1</v>
      </c>
      <c r="K142">
        <v>3956</v>
      </c>
      <c r="L142">
        <v>4129.3</v>
      </c>
      <c r="M142">
        <v>3820.9</v>
      </c>
      <c r="N142">
        <v>3805.7</v>
      </c>
      <c r="O142">
        <v>3923.5</v>
      </c>
      <c r="P142">
        <v>3462.7</v>
      </c>
      <c r="Q142">
        <v>4610.8999999999996</v>
      </c>
      <c r="R142">
        <v>4018.8</v>
      </c>
      <c r="S142">
        <v>4800.1000000000004</v>
      </c>
      <c r="T142">
        <v>4540</v>
      </c>
      <c r="U142">
        <v>5713.9</v>
      </c>
      <c r="V142">
        <v>6853.6</v>
      </c>
      <c r="W142">
        <v>7574.8</v>
      </c>
      <c r="X142">
        <v>7796</v>
      </c>
      <c r="Y142">
        <v>8444.4</v>
      </c>
      <c r="Z142">
        <v>8255.7000000000007</v>
      </c>
      <c r="AA142">
        <v>9968</v>
      </c>
      <c r="AB142">
        <v>9789.7999999999993</v>
      </c>
      <c r="AC142" t="s">
        <v>73</v>
      </c>
      <c r="AD142" t="s">
        <v>73</v>
      </c>
    </row>
    <row r="143" spans="1:30" x14ac:dyDescent="0.3">
      <c r="A143" t="s">
        <v>560</v>
      </c>
      <c r="B143" s="5" t="s">
        <v>561</v>
      </c>
      <c r="C143" t="s">
        <v>51</v>
      </c>
      <c r="D143" s="5" t="s">
        <v>321</v>
      </c>
      <c r="E143">
        <v>6316.5</v>
      </c>
      <c r="F143">
        <v>6534.7</v>
      </c>
      <c r="G143">
        <v>6276.3</v>
      </c>
      <c r="H143">
        <v>7059.9</v>
      </c>
      <c r="I143">
        <v>6462.1</v>
      </c>
      <c r="J143">
        <v>7566.2</v>
      </c>
      <c r="K143">
        <v>7028.7</v>
      </c>
      <c r="L143">
        <v>7916.4</v>
      </c>
      <c r="M143">
        <v>7379.8</v>
      </c>
      <c r="N143">
        <v>6909.9</v>
      </c>
      <c r="O143">
        <v>7387.1</v>
      </c>
      <c r="P143">
        <v>6953.2</v>
      </c>
      <c r="Q143">
        <v>8012</v>
      </c>
      <c r="R143">
        <v>8105.6</v>
      </c>
      <c r="S143">
        <v>8033.9</v>
      </c>
      <c r="T143">
        <v>8026.6</v>
      </c>
      <c r="U143">
        <v>8383.7999999999993</v>
      </c>
      <c r="V143">
        <v>8464.4</v>
      </c>
      <c r="W143">
        <v>8064.3</v>
      </c>
      <c r="X143">
        <v>8192.2000000000007</v>
      </c>
      <c r="Y143">
        <v>9015.4</v>
      </c>
      <c r="Z143">
        <v>8801.7000000000007</v>
      </c>
      <c r="AA143">
        <v>8385</v>
      </c>
      <c r="AB143">
        <v>8244.4</v>
      </c>
      <c r="AC143" t="s">
        <v>73</v>
      </c>
      <c r="AD143" t="s">
        <v>73</v>
      </c>
    </row>
    <row r="144" spans="1:30" x14ac:dyDescent="0.3">
      <c r="A144" t="s">
        <v>560</v>
      </c>
      <c r="B144" s="5" t="s">
        <v>561</v>
      </c>
      <c r="C144" t="s">
        <v>322</v>
      </c>
      <c r="D144" s="5" t="s">
        <v>323</v>
      </c>
      <c r="E144">
        <v>1687.7</v>
      </c>
      <c r="F144">
        <v>1692.9</v>
      </c>
      <c r="G144">
        <v>1731.9</v>
      </c>
      <c r="H144">
        <v>1860.2</v>
      </c>
      <c r="I144">
        <v>1798.1</v>
      </c>
      <c r="J144">
        <v>1778.7</v>
      </c>
      <c r="K144">
        <v>1902.3</v>
      </c>
      <c r="L144">
        <v>1822.5</v>
      </c>
      <c r="M144">
        <v>1811</v>
      </c>
      <c r="N144">
        <v>2076.6999999999998</v>
      </c>
      <c r="O144">
        <v>2086.1</v>
      </c>
      <c r="P144">
        <v>1994.8</v>
      </c>
      <c r="Q144">
        <v>1944.2</v>
      </c>
      <c r="R144">
        <v>1763.2</v>
      </c>
      <c r="S144">
        <v>1914.3</v>
      </c>
      <c r="T144">
        <v>1940.4</v>
      </c>
      <c r="U144">
        <v>1933.7</v>
      </c>
      <c r="V144">
        <v>2104.1</v>
      </c>
      <c r="W144">
        <v>2281.8000000000002</v>
      </c>
      <c r="X144">
        <v>2248.8000000000002</v>
      </c>
      <c r="Y144">
        <v>2223.6999999999998</v>
      </c>
      <c r="Z144">
        <v>2403.1</v>
      </c>
      <c r="AA144">
        <v>2358.9</v>
      </c>
      <c r="AB144">
        <v>2515.3000000000002</v>
      </c>
      <c r="AC144" t="s">
        <v>73</v>
      </c>
      <c r="AD144" t="s">
        <v>73</v>
      </c>
    </row>
    <row r="145" spans="1:30" x14ac:dyDescent="0.3">
      <c r="A145" t="s">
        <v>560</v>
      </c>
      <c r="B145" s="5" t="s">
        <v>561</v>
      </c>
      <c r="C145" t="s">
        <v>324</v>
      </c>
      <c r="D145" s="5" t="s">
        <v>325</v>
      </c>
      <c r="E145">
        <v>289.2</v>
      </c>
      <c r="F145">
        <v>394.4</v>
      </c>
      <c r="G145">
        <v>422.9</v>
      </c>
      <c r="H145">
        <v>429.5</v>
      </c>
      <c r="I145">
        <v>341.5</v>
      </c>
      <c r="J145">
        <v>436.6</v>
      </c>
      <c r="K145">
        <v>449.6</v>
      </c>
      <c r="L145">
        <v>424.8</v>
      </c>
      <c r="M145">
        <v>496.5</v>
      </c>
      <c r="N145">
        <v>386</v>
      </c>
      <c r="O145">
        <v>494.8</v>
      </c>
      <c r="P145">
        <v>362.8</v>
      </c>
      <c r="Q145">
        <v>520.29999999999995</v>
      </c>
      <c r="R145">
        <v>407.7</v>
      </c>
      <c r="S145">
        <v>446.8</v>
      </c>
      <c r="T145">
        <v>551.29999999999995</v>
      </c>
      <c r="U145">
        <v>536.5</v>
      </c>
      <c r="V145">
        <v>541.9</v>
      </c>
      <c r="W145">
        <v>554.79999999999995</v>
      </c>
      <c r="X145">
        <v>501.5</v>
      </c>
      <c r="Y145">
        <v>551.9</v>
      </c>
      <c r="Z145">
        <v>360.6</v>
      </c>
      <c r="AA145">
        <v>557.4</v>
      </c>
      <c r="AB145">
        <v>488.7</v>
      </c>
      <c r="AC145" t="s">
        <v>73</v>
      </c>
      <c r="AD145" t="s">
        <v>73</v>
      </c>
    </row>
    <row r="146" spans="1:30" x14ac:dyDescent="0.3">
      <c r="A146" t="s">
        <v>560</v>
      </c>
      <c r="B146" s="5" t="s">
        <v>561</v>
      </c>
      <c r="C146" t="s">
        <v>326</v>
      </c>
      <c r="D146" s="5" t="s">
        <v>327</v>
      </c>
      <c r="E146">
        <v>1171.5</v>
      </c>
      <c r="F146">
        <v>1233.5999999999999</v>
      </c>
      <c r="G146">
        <v>1255.2</v>
      </c>
      <c r="H146">
        <v>1308.8</v>
      </c>
      <c r="I146">
        <v>1372.8</v>
      </c>
      <c r="J146">
        <v>1421.7</v>
      </c>
      <c r="K146">
        <v>1507.5</v>
      </c>
      <c r="L146">
        <v>1399.8</v>
      </c>
      <c r="M146">
        <v>1598.4</v>
      </c>
      <c r="N146">
        <v>1531.1</v>
      </c>
      <c r="O146">
        <v>1528</v>
      </c>
      <c r="P146">
        <v>1334.4</v>
      </c>
      <c r="Q146">
        <v>1399</v>
      </c>
      <c r="R146">
        <v>1297.3</v>
      </c>
      <c r="S146">
        <v>1555.4</v>
      </c>
      <c r="T146">
        <v>1527.1</v>
      </c>
      <c r="U146">
        <v>1596.9</v>
      </c>
      <c r="V146">
        <v>1506.1</v>
      </c>
      <c r="W146">
        <v>1549.3</v>
      </c>
      <c r="X146">
        <v>1629.7</v>
      </c>
      <c r="Y146">
        <v>1620.2</v>
      </c>
      <c r="Z146">
        <v>1622.1</v>
      </c>
      <c r="AA146">
        <v>1659.7</v>
      </c>
      <c r="AB146">
        <v>1548.5</v>
      </c>
      <c r="AC146" t="s">
        <v>73</v>
      </c>
      <c r="AD146" t="s">
        <v>73</v>
      </c>
    </row>
    <row r="147" spans="1:30" x14ac:dyDescent="0.3">
      <c r="A147" t="s">
        <v>560</v>
      </c>
      <c r="B147" s="5" t="s">
        <v>561</v>
      </c>
      <c r="C147" t="s">
        <v>328</v>
      </c>
      <c r="D147" s="5" t="s">
        <v>329</v>
      </c>
      <c r="E147">
        <v>2565</v>
      </c>
      <c r="F147">
        <v>2287.8000000000002</v>
      </c>
      <c r="G147">
        <v>2901.3</v>
      </c>
      <c r="H147">
        <v>2422.3000000000002</v>
      </c>
      <c r="I147">
        <v>3596.7</v>
      </c>
      <c r="J147">
        <v>3205</v>
      </c>
      <c r="K147">
        <v>3243.5</v>
      </c>
      <c r="L147">
        <v>2625.2</v>
      </c>
      <c r="M147">
        <v>3536.9</v>
      </c>
      <c r="N147">
        <v>3385.9</v>
      </c>
      <c r="O147">
        <v>3329.6</v>
      </c>
      <c r="P147">
        <v>3502.1</v>
      </c>
      <c r="Q147">
        <v>2839.3</v>
      </c>
      <c r="R147">
        <v>3381.3</v>
      </c>
      <c r="S147">
        <v>3900</v>
      </c>
      <c r="T147">
        <v>3051.1</v>
      </c>
      <c r="U147">
        <v>3859.2</v>
      </c>
      <c r="V147">
        <v>2807.5</v>
      </c>
      <c r="W147">
        <v>3714.6</v>
      </c>
      <c r="X147">
        <v>3554</v>
      </c>
      <c r="Y147">
        <v>3664.2</v>
      </c>
      <c r="Z147">
        <v>3537.8</v>
      </c>
      <c r="AA147">
        <v>3472.1</v>
      </c>
      <c r="AB147">
        <v>3408</v>
      </c>
      <c r="AC147" t="s">
        <v>73</v>
      </c>
      <c r="AD147" t="s">
        <v>73</v>
      </c>
    </row>
    <row r="148" spans="1:30" x14ac:dyDescent="0.3">
      <c r="A148" t="s">
        <v>560</v>
      </c>
      <c r="B148" s="5" t="s">
        <v>561</v>
      </c>
      <c r="C148" t="s">
        <v>330</v>
      </c>
      <c r="D148" s="5" t="s">
        <v>331</v>
      </c>
      <c r="E148" t="s">
        <v>73</v>
      </c>
      <c r="F148" t="s">
        <v>73</v>
      </c>
      <c r="G148" t="s">
        <v>73</v>
      </c>
      <c r="H148" t="s">
        <v>73</v>
      </c>
      <c r="I148" t="s">
        <v>73</v>
      </c>
      <c r="J148" t="s">
        <v>73</v>
      </c>
      <c r="K148" t="s">
        <v>73</v>
      </c>
      <c r="L148" t="s">
        <v>73</v>
      </c>
      <c r="M148" t="s">
        <v>73</v>
      </c>
      <c r="N148" t="s">
        <v>73</v>
      </c>
      <c r="O148" t="s">
        <v>73</v>
      </c>
      <c r="P148" t="s">
        <v>73</v>
      </c>
      <c r="Q148" t="s">
        <v>73</v>
      </c>
      <c r="R148" t="s">
        <v>73</v>
      </c>
      <c r="S148" t="s">
        <v>73</v>
      </c>
      <c r="T148" t="s">
        <v>73</v>
      </c>
      <c r="U148" t="s">
        <v>73</v>
      </c>
      <c r="V148" t="s">
        <v>73</v>
      </c>
      <c r="W148" t="s">
        <v>73</v>
      </c>
      <c r="X148" t="s">
        <v>73</v>
      </c>
      <c r="Y148" t="s">
        <v>73</v>
      </c>
      <c r="Z148" t="s">
        <v>73</v>
      </c>
      <c r="AA148" t="s">
        <v>73</v>
      </c>
      <c r="AB148" t="s">
        <v>73</v>
      </c>
      <c r="AC148" t="s">
        <v>73</v>
      </c>
      <c r="AD148" t="s">
        <v>73</v>
      </c>
    </row>
    <row r="149" spans="1:30" x14ac:dyDescent="0.3">
      <c r="A149" t="s">
        <v>560</v>
      </c>
      <c r="B149" s="5" t="s">
        <v>561</v>
      </c>
      <c r="C149" t="s">
        <v>31</v>
      </c>
      <c r="D149" s="5" t="s">
        <v>332</v>
      </c>
      <c r="E149">
        <v>3930.9</v>
      </c>
      <c r="F149">
        <v>3709.5</v>
      </c>
      <c r="G149">
        <v>3495.2</v>
      </c>
      <c r="H149">
        <v>3940.7</v>
      </c>
      <c r="I149">
        <v>4400.6000000000004</v>
      </c>
      <c r="J149">
        <v>3992.9</v>
      </c>
      <c r="K149">
        <v>3674.5</v>
      </c>
      <c r="L149">
        <v>3855</v>
      </c>
      <c r="M149">
        <v>4488.1000000000004</v>
      </c>
      <c r="N149">
        <v>3446.3</v>
      </c>
      <c r="O149">
        <v>4004.2</v>
      </c>
      <c r="P149">
        <v>3436.9</v>
      </c>
      <c r="Q149">
        <v>3686.8</v>
      </c>
      <c r="R149">
        <v>3374.3</v>
      </c>
      <c r="S149">
        <v>4363.3999999999996</v>
      </c>
      <c r="T149">
        <v>4803</v>
      </c>
      <c r="U149">
        <v>4651.6000000000004</v>
      </c>
      <c r="V149">
        <v>4561.3999999999996</v>
      </c>
      <c r="W149">
        <v>2656.2</v>
      </c>
      <c r="X149">
        <v>4709.8</v>
      </c>
      <c r="Y149">
        <v>4683.8</v>
      </c>
      <c r="Z149">
        <v>4183.7</v>
      </c>
      <c r="AA149">
        <v>4728</v>
      </c>
      <c r="AB149">
        <v>2767.9</v>
      </c>
      <c r="AC149" t="s">
        <v>73</v>
      </c>
      <c r="AD149" t="s">
        <v>73</v>
      </c>
    </row>
    <row r="150" spans="1:30" x14ac:dyDescent="0.3">
      <c r="A150" t="s">
        <v>560</v>
      </c>
      <c r="B150" s="5" t="s">
        <v>561</v>
      </c>
      <c r="C150" t="s">
        <v>333</v>
      </c>
      <c r="D150" s="5" t="s">
        <v>334</v>
      </c>
      <c r="E150">
        <v>5154.3</v>
      </c>
      <c r="F150">
        <v>5100.8999999999996</v>
      </c>
      <c r="G150">
        <v>5096</v>
      </c>
      <c r="H150">
        <v>5066.8</v>
      </c>
      <c r="I150">
        <v>4832.3999999999996</v>
      </c>
      <c r="J150">
        <v>5019.1000000000004</v>
      </c>
      <c r="K150">
        <v>4852.8</v>
      </c>
      <c r="L150">
        <v>4868.3</v>
      </c>
      <c r="M150">
        <v>4774.8</v>
      </c>
      <c r="N150">
        <v>12179.6</v>
      </c>
      <c r="O150">
        <v>9832.4</v>
      </c>
      <c r="P150">
        <v>9423.9</v>
      </c>
      <c r="Q150">
        <v>9480.7000000000007</v>
      </c>
      <c r="R150">
        <v>9047.2999999999993</v>
      </c>
      <c r="S150">
        <v>7750.2</v>
      </c>
      <c r="T150">
        <v>13982.3</v>
      </c>
      <c r="U150">
        <v>12928.2</v>
      </c>
      <c r="V150">
        <v>11339.2</v>
      </c>
      <c r="W150">
        <v>12344.6</v>
      </c>
      <c r="X150">
        <v>12375.7</v>
      </c>
      <c r="Y150">
        <v>15341</v>
      </c>
      <c r="Z150">
        <v>25977.8</v>
      </c>
      <c r="AA150">
        <v>35157.199999999997</v>
      </c>
      <c r="AB150">
        <v>29147</v>
      </c>
      <c r="AC150" t="s">
        <v>73</v>
      </c>
      <c r="AD150" t="s">
        <v>73</v>
      </c>
    </row>
    <row r="151" spans="1:30" x14ac:dyDescent="0.3">
      <c r="A151" t="s">
        <v>560</v>
      </c>
      <c r="B151" s="5" t="s">
        <v>561</v>
      </c>
      <c r="C151" t="s">
        <v>335</v>
      </c>
      <c r="D151" s="5" t="s">
        <v>336</v>
      </c>
      <c r="E151">
        <v>2404.5</v>
      </c>
      <c r="F151">
        <v>2230.5</v>
      </c>
      <c r="G151">
        <v>2260.1999999999998</v>
      </c>
      <c r="H151">
        <v>2320.6</v>
      </c>
      <c r="I151">
        <v>2430.6999999999998</v>
      </c>
      <c r="J151">
        <v>2615.8000000000002</v>
      </c>
      <c r="K151">
        <v>2554</v>
      </c>
      <c r="L151">
        <v>2743.9</v>
      </c>
      <c r="M151">
        <v>2653.7</v>
      </c>
      <c r="N151">
        <v>2789.7</v>
      </c>
      <c r="O151">
        <v>2611</v>
      </c>
      <c r="P151">
        <v>2953.4</v>
      </c>
      <c r="Q151">
        <v>2862.6</v>
      </c>
      <c r="R151">
        <v>3001.3</v>
      </c>
      <c r="S151">
        <v>3001.2</v>
      </c>
      <c r="T151">
        <v>2942.4</v>
      </c>
      <c r="U151">
        <v>3020.7</v>
      </c>
      <c r="V151">
        <v>3180.4</v>
      </c>
      <c r="W151">
        <v>3149</v>
      </c>
      <c r="X151">
        <v>3160.6</v>
      </c>
      <c r="Y151">
        <v>3353.4</v>
      </c>
      <c r="Z151">
        <v>3489.4</v>
      </c>
      <c r="AA151">
        <v>3463</v>
      </c>
      <c r="AB151">
        <v>3634</v>
      </c>
      <c r="AC151" t="s">
        <v>73</v>
      </c>
      <c r="AD151" t="s">
        <v>73</v>
      </c>
    </row>
    <row r="152" spans="1:30" x14ac:dyDescent="0.3">
      <c r="A152" t="s">
        <v>560</v>
      </c>
      <c r="B152" s="5" t="s">
        <v>561</v>
      </c>
      <c r="C152" t="s">
        <v>337</v>
      </c>
      <c r="D152" s="5" t="s">
        <v>338</v>
      </c>
      <c r="E152" t="s">
        <v>73</v>
      </c>
      <c r="F152" t="s">
        <v>73</v>
      </c>
      <c r="G152" t="s">
        <v>73</v>
      </c>
      <c r="H152" t="s">
        <v>73</v>
      </c>
      <c r="I152" t="s">
        <v>73</v>
      </c>
      <c r="J152" t="s">
        <v>73</v>
      </c>
      <c r="K152" t="s">
        <v>73</v>
      </c>
      <c r="L152" t="s">
        <v>73</v>
      </c>
      <c r="M152" t="s">
        <v>73</v>
      </c>
      <c r="N152" t="s">
        <v>73</v>
      </c>
      <c r="O152" t="s">
        <v>73</v>
      </c>
      <c r="P152" t="s">
        <v>73</v>
      </c>
      <c r="Q152" t="s">
        <v>73</v>
      </c>
      <c r="R152" t="s">
        <v>73</v>
      </c>
      <c r="S152" t="s">
        <v>73</v>
      </c>
      <c r="T152" t="s">
        <v>73</v>
      </c>
      <c r="U152" t="s">
        <v>73</v>
      </c>
      <c r="V152" t="s">
        <v>73</v>
      </c>
      <c r="W152" t="s">
        <v>73</v>
      </c>
      <c r="X152" t="s">
        <v>73</v>
      </c>
      <c r="Y152" t="s">
        <v>73</v>
      </c>
      <c r="Z152" t="s">
        <v>73</v>
      </c>
      <c r="AA152" t="s">
        <v>73</v>
      </c>
      <c r="AB152" t="s">
        <v>73</v>
      </c>
      <c r="AC152" t="s">
        <v>73</v>
      </c>
      <c r="AD152" t="s">
        <v>73</v>
      </c>
    </row>
    <row r="153" spans="1:30" x14ac:dyDescent="0.3">
      <c r="A153" t="s">
        <v>560</v>
      </c>
      <c r="B153" s="5" t="s">
        <v>561</v>
      </c>
      <c r="C153" t="s">
        <v>339</v>
      </c>
      <c r="D153" s="5" t="s">
        <v>340</v>
      </c>
      <c r="E153">
        <v>2237</v>
      </c>
      <c r="F153">
        <v>2542.5</v>
      </c>
      <c r="G153">
        <v>2591</v>
      </c>
      <c r="H153">
        <v>2694.6</v>
      </c>
      <c r="I153">
        <v>2159</v>
      </c>
      <c r="J153">
        <v>2483.9</v>
      </c>
      <c r="K153">
        <v>2395.5</v>
      </c>
      <c r="L153">
        <v>2599.5</v>
      </c>
      <c r="M153">
        <v>2694.3</v>
      </c>
      <c r="N153">
        <v>2596.4</v>
      </c>
      <c r="O153">
        <v>2246</v>
      </c>
      <c r="P153">
        <v>2560.1</v>
      </c>
      <c r="Q153">
        <v>2539.8000000000002</v>
      </c>
      <c r="R153">
        <v>2826.8</v>
      </c>
      <c r="S153">
        <v>2983.2</v>
      </c>
      <c r="T153">
        <v>2437.5</v>
      </c>
      <c r="U153">
        <v>2992.5</v>
      </c>
      <c r="V153">
        <v>2955.7</v>
      </c>
      <c r="W153">
        <v>3227.5</v>
      </c>
      <c r="X153">
        <v>3301.2</v>
      </c>
      <c r="Y153">
        <v>3377.4</v>
      </c>
      <c r="Z153">
        <v>3515.4</v>
      </c>
      <c r="AA153">
        <v>3621.3</v>
      </c>
      <c r="AB153">
        <v>3844.7</v>
      </c>
      <c r="AC153" t="s">
        <v>73</v>
      </c>
      <c r="AD153" t="s">
        <v>73</v>
      </c>
    </row>
    <row r="154" spans="1:30" x14ac:dyDescent="0.3">
      <c r="A154" t="s">
        <v>560</v>
      </c>
      <c r="B154" s="5" t="s">
        <v>561</v>
      </c>
      <c r="C154" t="s">
        <v>341</v>
      </c>
      <c r="D154" s="5" t="s">
        <v>342</v>
      </c>
      <c r="E154">
        <v>4024.2</v>
      </c>
      <c r="F154">
        <v>4200</v>
      </c>
      <c r="G154">
        <v>4004.9</v>
      </c>
      <c r="H154">
        <v>3599.2</v>
      </c>
      <c r="I154">
        <v>3620.4</v>
      </c>
      <c r="J154">
        <v>3741</v>
      </c>
      <c r="K154">
        <v>3716.7</v>
      </c>
      <c r="L154">
        <v>3886.8</v>
      </c>
      <c r="M154">
        <v>3967.6</v>
      </c>
      <c r="N154">
        <v>4187.7</v>
      </c>
      <c r="O154">
        <v>4343.8999999999996</v>
      </c>
      <c r="P154">
        <v>4789.3</v>
      </c>
      <c r="Q154">
        <v>4191</v>
      </c>
      <c r="R154">
        <v>4640.6000000000004</v>
      </c>
      <c r="S154">
        <v>4726.3999999999996</v>
      </c>
      <c r="T154">
        <v>4748.3999999999996</v>
      </c>
      <c r="U154">
        <v>4642.8999999999996</v>
      </c>
      <c r="V154">
        <v>4853</v>
      </c>
      <c r="W154">
        <v>4805.3999999999996</v>
      </c>
      <c r="X154">
        <v>4886.5</v>
      </c>
      <c r="Y154">
        <v>4769.1000000000004</v>
      </c>
      <c r="Z154">
        <v>4817.3</v>
      </c>
      <c r="AA154">
        <v>4825.8999999999996</v>
      </c>
      <c r="AB154">
        <v>4787.3999999999996</v>
      </c>
      <c r="AC154" t="s">
        <v>73</v>
      </c>
      <c r="AD154" t="s">
        <v>73</v>
      </c>
    </row>
    <row r="155" spans="1:30" x14ac:dyDescent="0.3">
      <c r="A155" t="s">
        <v>560</v>
      </c>
      <c r="B155" s="5" t="s">
        <v>561</v>
      </c>
      <c r="C155" t="s">
        <v>343</v>
      </c>
      <c r="D155" s="5" t="s">
        <v>344</v>
      </c>
      <c r="E155">
        <v>1980.3</v>
      </c>
      <c r="F155">
        <v>2160.3000000000002</v>
      </c>
      <c r="G155">
        <v>2090.4</v>
      </c>
      <c r="H155">
        <v>2323.5</v>
      </c>
      <c r="I155">
        <v>2461.8000000000002</v>
      </c>
      <c r="J155">
        <v>2167.9</v>
      </c>
      <c r="K155">
        <v>2343.8000000000002</v>
      </c>
      <c r="L155">
        <v>2698.8</v>
      </c>
      <c r="M155">
        <v>2681.3</v>
      </c>
      <c r="N155">
        <v>2357.4</v>
      </c>
      <c r="O155">
        <v>3456.9</v>
      </c>
      <c r="P155">
        <v>3481.8</v>
      </c>
      <c r="Q155">
        <v>3035.7</v>
      </c>
      <c r="R155">
        <v>3683.2</v>
      </c>
      <c r="S155">
        <v>3276.7</v>
      </c>
      <c r="T155">
        <v>4148.8999999999996</v>
      </c>
      <c r="U155">
        <v>4425.5</v>
      </c>
      <c r="V155">
        <v>4446.5</v>
      </c>
      <c r="W155">
        <v>4225.7</v>
      </c>
      <c r="X155">
        <v>4601.1000000000004</v>
      </c>
      <c r="Y155">
        <v>4706.5</v>
      </c>
      <c r="Z155">
        <v>3823.1</v>
      </c>
      <c r="AA155">
        <v>3505.3</v>
      </c>
      <c r="AB155">
        <v>4482.5</v>
      </c>
      <c r="AC155" t="s">
        <v>73</v>
      </c>
      <c r="AD155" t="s">
        <v>73</v>
      </c>
    </row>
    <row r="156" spans="1:30" x14ac:dyDescent="0.3">
      <c r="A156" t="s">
        <v>560</v>
      </c>
      <c r="B156" s="5" t="s">
        <v>561</v>
      </c>
      <c r="C156" t="s">
        <v>345</v>
      </c>
      <c r="D156" s="5" t="s">
        <v>346</v>
      </c>
      <c r="E156">
        <v>3084.1</v>
      </c>
      <c r="F156">
        <v>3241.3</v>
      </c>
      <c r="G156">
        <v>3372.9</v>
      </c>
      <c r="H156">
        <v>3442.5</v>
      </c>
      <c r="I156">
        <v>3278</v>
      </c>
      <c r="J156">
        <v>3557.9</v>
      </c>
      <c r="K156">
        <v>3520.5</v>
      </c>
      <c r="L156">
        <v>3485.6</v>
      </c>
      <c r="M156">
        <v>3833.2</v>
      </c>
      <c r="N156">
        <v>3919</v>
      </c>
      <c r="O156">
        <v>3897.9</v>
      </c>
      <c r="P156">
        <v>3898</v>
      </c>
      <c r="Q156">
        <v>4149.6000000000004</v>
      </c>
      <c r="R156">
        <v>4101.3</v>
      </c>
      <c r="S156">
        <v>4017</v>
      </c>
      <c r="T156">
        <v>4242.2</v>
      </c>
      <c r="U156">
        <v>4370.1000000000004</v>
      </c>
      <c r="V156">
        <v>4216.5</v>
      </c>
      <c r="W156">
        <v>4530.8</v>
      </c>
      <c r="X156">
        <v>4369.7</v>
      </c>
      <c r="Y156">
        <v>4556.7</v>
      </c>
      <c r="Z156">
        <v>4704.1000000000004</v>
      </c>
      <c r="AA156">
        <v>4638.7</v>
      </c>
      <c r="AB156">
        <v>4791.1000000000004</v>
      </c>
      <c r="AC156" t="s">
        <v>73</v>
      </c>
      <c r="AD156" t="s">
        <v>73</v>
      </c>
    </row>
    <row r="157" spans="1:30" x14ac:dyDescent="0.3">
      <c r="A157" t="s">
        <v>560</v>
      </c>
      <c r="B157" s="5" t="s">
        <v>561</v>
      </c>
      <c r="C157" t="s">
        <v>347</v>
      </c>
      <c r="D157" s="5" t="s">
        <v>348</v>
      </c>
      <c r="E157">
        <v>2580.8000000000002</v>
      </c>
      <c r="F157">
        <v>2667.8</v>
      </c>
      <c r="G157">
        <v>2730.6</v>
      </c>
      <c r="H157">
        <v>2823.4</v>
      </c>
      <c r="I157">
        <v>2992.3</v>
      </c>
      <c r="J157">
        <v>3049</v>
      </c>
      <c r="K157">
        <v>3180.8</v>
      </c>
      <c r="L157">
        <v>3319.8</v>
      </c>
      <c r="M157">
        <v>3334.3</v>
      </c>
      <c r="N157">
        <v>3228.9</v>
      </c>
      <c r="O157">
        <v>3231.9</v>
      </c>
      <c r="P157">
        <v>3340.6</v>
      </c>
      <c r="Q157">
        <v>3492.6</v>
      </c>
      <c r="R157">
        <v>3531.8</v>
      </c>
      <c r="S157">
        <v>3637.4</v>
      </c>
      <c r="T157">
        <v>3556.1</v>
      </c>
      <c r="U157">
        <v>3529</v>
      </c>
      <c r="V157">
        <v>3692.3</v>
      </c>
      <c r="W157">
        <v>3670.5</v>
      </c>
      <c r="X157">
        <v>3737.9</v>
      </c>
      <c r="Y157">
        <v>3769.4</v>
      </c>
      <c r="Z157">
        <v>3832.9</v>
      </c>
      <c r="AA157">
        <v>3821.5</v>
      </c>
      <c r="AB157">
        <v>3869.2</v>
      </c>
      <c r="AC157" t="s">
        <v>73</v>
      </c>
      <c r="AD157" t="s">
        <v>73</v>
      </c>
    </row>
    <row r="158" spans="1:30" x14ac:dyDescent="0.3">
      <c r="A158" t="s">
        <v>560</v>
      </c>
      <c r="B158" s="5" t="s">
        <v>561</v>
      </c>
      <c r="C158" t="s">
        <v>32</v>
      </c>
      <c r="D158" s="5" t="s">
        <v>349</v>
      </c>
      <c r="E158">
        <v>2534.8000000000002</v>
      </c>
      <c r="F158">
        <v>3056.4</v>
      </c>
      <c r="G158">
        <v>3240.8</v>
      </c>
      <c r="H158">
        <v>2865.4</v>
      </c>
      <c r="I158">
        <v>3537.6</v>
      </c>
      <c r="J158">
        <v>3233.1</v>
      </c>
      <c r="K158">
        <v>2598.1999999999998</v>
      </c>
      <c r="L158">
        <v>3249.5</v>
      </c>
      <c r="M158">
        <v>3217.2</v>
      </c>
      <c r="N158">
        <v>3475.1</v>
      </c>
      <c r="O158">
        <v>3584</v>
      </c>
      <c r="P158">
        <v>3430.4</v>
      </c>
      <c r="Q158">
        <v>3704.9</v>
      </c>
      <c r="R158">
        <v>3804.4</v>
      </c>
      <c r="S158">
        <v>4268</v>
      </c>
      <c r="T158">
        <v>3727.8</v>
      </c>
      <c r="U158">
        <v>4033.5</v>
      </c>
      <c r="V158">
        <v>4199.6000000000004</v>
      </c>
      <c r="W158">
        <v>3366.7</v>
      </c>
      <c r="X158">
        <v>3605.3</v>
      </c>
      <c r="Y158">
        <v>4691.7</v>
      </c>
      <c r="Z158">
        <v>4562.5</v>
      </c>
      <c r="AA158">
        <v>4861.5</v>
      </c>
      <c r="AB158">
        <v>4894.7</v>
      </c>
      <c r="AC158" t="s">
        <v>73</v>
      </c>
      <c r="AD158" t="s">
        <v>73</v>
      </c>
    </row>
    <row r="159" spans="1:30" x14ac:dyDescent="0.3">
      <c r="A159" t="s">
        <v>560</v>
      </c>
      <c r="B159" s="5" t="s">
        <v>561</v>
      </c>
      <c r="C159" t="s">
        <v>33</v>
      </c>
      <c r="D159" s="5" t="s">
        <v>350</v>
      </c>
      <c r="E159">
        <v>2793.5</v>
      </c>
      <c r="F159">
        <v>2645.3</v>
      </c>
      <c r="G159">
        <v>2918.6</v>
      </c>
      <c r="H159">
        <v>2643.2</v>
      </c>
      <c r="I159">
        <v>2965.6</v>
      </c>
      <c r="J159">
        <v>2114</v>
      </c>
      <c r="K159">
        <v>3209</v>
      </c>
      <c r="L159">
        <v>3415.7</v>
      </c>
      <c r="M159">
        <v>3589.7</v>
      </c>
      <c r="N159">
        <v>3289.9</v>
      </c>
      <c r="O159">
        <v>3351.3</v>
      </c>
      <c r="P159">
        <v>4088.4</v>
      </c>
      <c r="Q159">
        <v>4091.6</v>
      </c>
      <c r="R159">
        <v>4336.3999999999996</v>
      </c>
      <c r="S159">
        <v>4416</v>
      </c>
      <c r="T159">
        <v>4606.8999999999996</v>
      </c>
      <c r="U159">
        <v>4422.3999999999996</v>
      </c>
      <c r="V159">
        <v>4759.7</v>
      </c>
      <c r="W159">
        <v>4809</v>
      </c>
      <c r="X159">
        <v>5176.5</v>
      </c>
      <c r="Y159">
        <v>4881.3</v>
      </c>
      <c r="Z159">
        <v>5379.7</v>
      </c>
      <c r="AA159">
        <v>5137.3999999999996</v>
      </c>
      <c r="AB159">
        <v>5501.9</v>
      </c>
      <c r="AC159" t="s">
        <v>73</v>
      </c>
      <c r="AD159" t="s">
        <v>73</v>
      </c>
    </row>
    <row r="160" spans="1:30" x14ac:dyDescent="0.3">
      <c r="A160" t="s">
        <v>560</v>
      </c>
      <c r="B160" s="5" t="s">
        <v>561</v>
      </c>
      <c r="C160" t="s">
        <v>351</v>
      </c>
      <c r="D160" s="5" t="s">
        <v>352</v>
      </c>
      <c r="E160">
        <v>1988.8</v>
      </c>
      <c r="F160">
        <v>2052.9</v>
      </c>
      <c r="G160">
        <v>2116.3000000000002</v>
      </c>
      <c r="H160">
        <v>2184.3000000000002</v>
      </c>
      <c r="I160">
        <v>2250.9</v>
      </c>
      <c r="J160">
        <v>2318</v>
      </c>
      <c r="K160">
        <v>2385.4</v>
      </c>
      <c r="L160">
        <v>2442.3000000000002</v>
      </c>
      <c r="M160">
        <v>2504.8000000000002</v>
      </c>
      <c r="N160">
        <v>2566.3000000000002</v>
      </c>
      <c r="O160">
        <v>2628.1</v>
      </c>
      <c r="P160">
        <v>2690.2</v>
      </c>
      <c r="Q160">
        <v>2750</v>
      </c>
      <c r="R160">
        <v>2886.9</v>
      </c>
      <c r="S160">
        <v>2110</v>
      </c>
      <c r="T160">
        <v>3010.5</v>
      </c>
      <c r="U160">
        <v>2929</v>
      </c>
      <c r="V160">
        <v>3015.6</v>
      </c>
      <c r="W160">
        <v>3099.5</v>
      </c>
      <c r="X160">
        <v>3188.5</v>
      </c>
      <c r="Y160">
        <v>3309.1</v>
      </c>
      <c r="Z160">
        <v>3410.5</v>
      </c>
      <c r="AA160">
        <v>3308</v>
      </c>
      <c r="AB160">
        <v>3612.4</v>
      </c>
      <c r="AC160" t="s">
        <v>73</v>
      </c>
      <c r="AD160" t="s">
        <v>73</v>
      </c>
    </row>
    <row r="161" spans="1:30" x14ac:dyDescent="0.3">
      <c r="A161" t="s">
        <v>560</v>
      </c>
      <c r="B161" s="5" t="s">
        <v>561</v>
      </c>
      <c r="C161" t="s">
        <v>353</v>
      </c>
      <c r="D161" s="5" t="s">
        <v>354</v>
      </c>
      <c r="E161">
        <v>4099.3999999999996</v>
      </c>
      <c r="F161">
        <v>4046.7</v>
      </c>
      <c r="G161">
        <v>4069.6</v>
      </c>
      <c r="H161">
        <v>3706.4</v>
      </c>
      <c r="I161">
        <v>4121.6000000000004</v>
      </c>
      <c r="J161">
        <v>3649.2</v>
      </c>
      <c r="K161">
        <v>3547.4</v>
      </c>
      <c r="L161">
        <v>4155.2</v>
      </c>
      <c r="M161">
        <v>4921.8999999999996</v>
      </c>
      <c r="N161">
        <v>6323.6</v>
      </c>
      <c r="O161">
        <v>7592.6</v>
      </c>
      <c r="P161">
        <v>6049.8</v>
      </c>
      <c r="Q161">
        <v>6076.4</v>
      </c>
      <c r="R161">
        <v>5719</v>
      </c>
      <c r="S161">
        <v>6494.7</v>
      </c>
      <c r="T161">
        <v>5845.8</v>
      </c>
      <c r="U161">
        <v>4692.7</v>
      </c>
      <c r="V161">
        <v>4996.3999999999996</v>
      </c>
      <c r="W161">
        <v>8709.4</v>
      </c>
      <c r="X161">
        <v>6594.9</v>
      </c>
      <c r="Y161">
        <v>7124.6</v>
      </c>
      <c r="Z161">
        <v>8431.1</v>
      </c>
      <c r="AA161">
        <v>11242</v>
      </c>
      <c r="AB161">
        <v>18274.599999999999</v>
      </c>
      <c r="AC161" t="s">
        <v>73</v>
      </c>
      <c r="AD161" t="s">
        <v>73</v>
      </c>
    </row>
    <row r="162" spans="1:30" x14ac:dyDescent="0.3">
      <c r="A162" t="s">
        <v>560</v>
      </c>
      <c r="B162" s="5" t="s">
        <v>561</v>
      </c>
      <c r="C162" t="s">
        <v>355</v>
      </c>
      <c r="D162" s="5" t="s">
        <v>356</v>
      </c>
      <c r="E162">
        <v>1927.8</v>
      </c>
      <c r="F162">
        <v>3029.4</v>
      </c>
      <c r="G162">
        <v>2512.5</v>
      </c>
      <c r="H162">
        <v>2534.9</v>
      </c>
      <c r="I162">
        <v>3997.4</v>
      </c>
      <c r="J162">
        <v>3334.2</v>
      </c>
      <c r="K162">
        <v>3102.3</v>
      </c>
      <c r="L162">
        <v>1645.2</v>
      </c>
      <c r="M162">
        <v>3247.3</v>
      </c>
      <c r="N162">
        <v>2824.8</v>
      </c>
      <c r="O162">
        <v>3329.7</v>
      </c>
      <c r="P162">
        <v>3993</v>
      </c>
      <c r="Q162">
        <v>2364.1</v>
      </c>
      <c r="R162">
        <v>3863.2</v>
      </c>
      <c r="S162">
        <v>4069.2</v>
      </c>
      <c r="T162">
        <v>3543.9</v>
      </c>
      <c r="U162">
        <v>3971.3</v>
      </c>
      <c r="V162">
        <v>5227.7</v>
      </c>
      <c r="W162">
        <v>5997.2</v>
      </c>
      <c r="X162">
        <v>5457.5</v>
      </c>
      <c r="Y162">
        <v>3398.6</v>
      </c>
      <c r="Z162">
        <v>5187.8</v>
      </c>
      <c r="AA162">
        <v>3634.1</v>
      </c>
      <c r="AB162">
        <v>4020.8</v>
      </c>
      <c r="AC162" t="s">
        <v>73</v>
      </c>
      <c r="AD162" t="s">
        <v>73</v>
      </c>
    </row>
    <row r="163" spans="1:30" x14ac:dyDescent="0.3">
      <c r="A163" t="s">
        <v>560</v>
      </c>
      <c r="B163" s="5" t="s">
        <v>561</v>
      </c>
      <c r="C163" t="s">
        <v>35</v>
      </c>
      <c r="D163" s="5" t="s">
        <v>357</v>
      </c>
      <c r="E163">
        <v>1561.4</v>
      </c>
      <c r="F163">
        <v>1934.7</v>
      </c>
      <c r="G163">
        <v>1969.1</v>
      </c>
      <c r="H163">
        <v>1777.4</v>
      </c>
      <c r="I163">
        <v>1876.5</v>
      </c>
      <c r="J163">
        <v>1852.7</v>
      </c>
      <c r="K163">
        <v>1886.9</v>
      </c>
      <c r="L163">
        <v>1989.8</v>
      </c>
      <c r="M163">
        <v>2387.3000000000002</v>
      </c>
      <c r="N163">
        <v>2280.6</v>
      </c>
      <c r="O163">
        <v>1842.7</v>
      </c>
      <c r="P163">
        <v>2260.3000000000002</v>
      </c>
      <c r="Q163">
        <v>1858.9</v>
      </c>
      <c r="R163">
        <v>2241</v>
      </c>
      <c r="S163">
        <v>2444</v>
      </c>
      <c r="T163">
        <v>2391.6999999999998</v>
      </c>
      <c r="U163">
        <v>2650.8</v>
      </c>
      <c r="V163">
        <v>2967.1</v>
      </c>
      <c r="W163">
        <v>2615.6</v>
      </c>
      <c r="X163">
        <v>2713.2</v>
      </c>
      <c r="Y163">
        <v>2904.8</v>
      </c>
      <c r="Z163">
        <v>2705.4</v>
      </c>
      <c r="AA163">
        <v>3428.8</v>
      </c>
      <c r="AB163">
        <v>3166.6</v>
      </c>
      <c r="AC163" t="s">
        <v>73</v>
      </c>
      <c r="AD163" t="s">
        <v>73</v>
      </c>
    </row>
    <row r="164" spans="1:30" x14ac:dyDescent="0.3">
      <c r="A164" t="s">
        <v>560</v>
      </c>
      <c r="B164" s="5" t="s">
        <v>561</v>
      </c>
      <c r="C164" t="s">
        <v>358</v>
      </c>
      <c r="D164" s="5" t="s">
        <v>359</v>
      </c>
      <c r="E164">
        <v>848.3</v>
      </c>
      <c r="F164">
        <v>913</v>
      </c>
      <c r="G164">
        <v>1028.4000000000001</v>
      </c>
      <c r="H164">
        <v>941.9</v>
      </c>
      <c r="I164">
        <v>959.3</v>
      </c>
      <c r="J164">
        <v>1183.5999999999999</v>
      </c>
      <c r="K164">
        <v>1137.9000000000001</v>
      </c>
      <c r="L164">
        <v>1015</v>
      </c>
      <c r="M164">
        <v>1266.5</v>
      </c>
      <c r="N164">
        <v>1734.1</v>
      </c>
      <c r="O164">
        <v>1965.8</v>
      </c>
      <c r="P164">
        <v>2089.4</v>
      </c>
      <c r="Q164">
        <v>2113.5</v>
      </c>
      <c r="R164">
        <v>2129</v>
      </c>
      <c r="S164">
        <v>1408</v>
      </c>
      <c r="T164">
        <v>1428.8</v>
      </c>
      <c r="U164">
        <v>1446.7</v>
      </c>
      <c r="V164">
        <v>1387.1</v>
      </c>
      <c r="W164">
        <v>1441.4</v>
      </c>
      <c r="X164">
        <v>1443.2</v>
      </c>
      <c r="Y164">
        <v>1473.6</v>
      </c>
      <c r="Z164">
        <v>1519</v>
      </c>
      <c r="AA164">
        <v>1510.7</v>
      </c>
      <c r="AB164">
        <v>1605.1</v>
      </c>
      <c r="AC164" t="s">
        <v>73</v>
      </c>
      <c r="AD164" t="s">
        <v>73</v>
      </c>
    </row>
    <row r="165" spans="1:30" x14ac:dyDescent="0.3">
      <c r="A165" t="s">
        <v>560</v>
      </c>
      <c r="B165" s="5" t="s">
        <v>561</v>
      </c>
      <c r="C165" t="s">
        <v>360</v>
      </c>
      <c r="D165" s="5" t="s">
        <v>361</v>
      </c>
      <c r="E165" t="s">
        <v>73</v>
      </c>
      <c r="F165" t="s">
        <v>73</v>
      </c>
      <c r="G165" t="s">
        <v>73</v>
      </c>
      <c r="H165" t="s">
        <v>73</v>
      </c>
      <c r="I165" t="s">
        <v>73</v>
      </c>
      <c r="J165" t="s">
        <v>73</v>
      </c>
      <c r="K165" t="s">
        <v>73</v>
      </c>
      <c r="L165" t="s">
        <v>73</v>
      </c>
      <c r="M165" t="s">
        <v>73</v>
      </c>
      <c r="N165" t="s">
        <v>73</v>
      </c>
      <c r="O165" t="s">
        <v>73</v>
      </c>
      <c r="P165" t="s">
        <v>73</v>
      </c>
      <c r="Q165" t="s">
        <v>73</v>
      </c>
      <c r="R165" t="s">
        <v>73</v>
      </c>
      <c r="S165" t="s">
        <v>73</v>
      </c>
      <c r="T165" t="s">
        <v>73</v>
      </c>
      <c r="U165" t="s">
        <v>73</v>
      </c>
      <c r="V165" t="s">
        <v>73</v>
      </c>
      <c r="W165" t="s">
        <v>73</v>
      </c>
      <c r="X165" t="s">
        <v>73</v>
      </c>
      <c r="Y165" t="s">
        <v>73</v>
      </c>
      <c r="Z165" t="s">
        <v>73</v>
      </c>
      <c r="AA165" t="s">
        <v>73</v>
      </c>
      <c r="AB165" t="s">
        <v>73</v>
      </c>
      <c r="AC165" t="s">
        <v>73</v>
      </c>
      <c r="AD165" t="s">
        <v>73</v>
      </c>
    </row>
    <row r="166" spans="1:30" x14ac:dyDescent="0.3">
      <c r="A166" t="s">
        <v>560</v>
      </c>
      <c r="B166" s="5" t="s">
        <v>561</v>
      </c>
      <c r="C166" t="s">
        <v>362</v>
      </c>
      <c r="D166" s="5" t="s">
        <v>363</v>
      </c>
      <c r="E166" t="s">
        <v>73</v>
      </c>
      <c r="F166" t="s">
        <v>73</v>
      </c>
      <c r="G166" t="s">
        <v>73</v>
      </c>
      <c r="H166" t="s">
        <v>73</v>
      </c>
      <c r="I166" t="s">
        <v>73</v>
      </c>
      <c r="J166" t="s">
        <v>73</v>
      </c>
      <c r="K166" t="s">
        <v>73</v>
      </c>
      <c r="L166" t="s">
        <v>73</v>
      </c>
      <c r="M166" t="s">
        <v>73</v>
      </c>
      <c r="N166" t="s">
        <v>73</v>
      </c>
      <c r="O166" t="s">
        <v>73</v>
      </c>
      <c r="P166" t="s">
        <v>73</v>
      </c>
      <c r="Q166" t="s">
        <v>73</v>
      </c>
      <c r="R166" t="s">
        <v>73</v>
      </c>
      <c r="S166" t="s">
        <v>73</v>
      </c>
      <c r="T166" t="s">
        <v>73</v>
      </c>
      <c r="U166" t="s">
        <v>73</v>
      </c>
      <c r="V166" t="s">
        <v>73</v>
      </c>
      <c r="W166" t="s">
        <v>73</v>
      </c>
      <c r="X166" t="s">
        <v>73</v>
      </c>
      <c r="Y166" t="s">
        <v>73</v>
      </c>
      <c r="Z166" t="s">
        <v>73</v>
      </c>
      <c r="AA166" t="s">
        <v>73</v>
      </c>
      <c r="AB166" t="s">
        <v>73</v>
      </c>
      <c r="AC166" t="s">
        <v>73</v>
      </c>
      <c r="AD166" t="s">
        <v>73</v>
      </c>
    </row>
    <row r="167" spans="1:30" x14ac:dyDescent="0.3">
      <c r="A167" t="s">
        <v>560</v>
      </c>
      <c r="B167" s="5" t="s">
        <v>561</v>
      </c>
      <c r="C167" t="s">
        <v>364</v>
      </c>
      <c r="D167" s="5" t="s">
        <v>365</v>
      </c>
      <c r="E167">
        <v>2230</v>
      </c>
      <c r="F167">
        <v>2173.9</v>
      </c>
      <c r="G167">
        <v>2107.4</v>
      </c>
      <c r="H167">
        <v>2131.1</v>
      </c>
      <c r="I167">
        <v>2145.6999999999998</v>
      </c>
      <c r="J167">
        <v>2223.9</v>
      </c>
      <c r="K167">
        <v>2454.5</v>
      </c>
      <c r="L167">
        <v>2307.6999999999998</v>
      </c>
      <c r="M167">
        <v>2153.8000000000002</v>
      </c>
      <c r="N167">
        <v>1538.5</v>
      </c>
      <c r="O167">
        <v>1615.2</v>
      </c>
      <c r="P167">
        <v>2099.5</v>
      </c>
      <c r="Q167">
        <v>2099</v>
      </c>
      <c r="R167">
        <v>2096</v>
      </c>
      <c r="S167">
        <v>2065</v>
      </c>
      <c r="T167">
        <v>2033.2</v>
      </c>
      <c r="U167">
        <v>2012.5</v>
      </c>
      <c r="V167">
        <v>2002.3</v>
      </c>
      <c r="W167">
        <v>2002.4</v>
      </c>
      <c r="X167">
        <v>2005.7</v>
      </c>
      <c r="Y167">
        <v>2003.5</v>
      </c>
      <c r="Z167">
        <v>2003.8</v>
      </c>
      <c r="AA167">
        <v>2004.3</v>
      </c>
      <c r="AB167">
        <v>2003.9</v>
      </c>
      <c r="AC167" t="s">
        <v>73</v>
      </c>
      <c r="AD167" t="s">
        <v>73</v>
      </c>
    </row>
    <row r="168" spans="1:30" x14ac:dyDescent="0.3">
      <c r="A168" t="s">
        <v>560</v>
      </c>
      <c r="B168" s="5" t="s">
        <v>561</v>
      </c>
      <c r="C168" t="s">
        <v>50</v>
      </c>
      <c r="D168" s="5" t="s">
        <v>366</v>
      </c>
      <c r="E168">
        <v>3516.4</v>
      </c>
      <c r="F168">
        <v>3932</v>
      </c>
      <c r="G168">
        <v>4047.6</v>
      </c>
      <c r="H168">
        <v>4228.8999999999996</v>
      </c>
      <c r="I168">
        <v>4675.2</v>
      </c>
      <c r="J168">
        <v>4753.2</v>
      </c>
      <c r="K168">
        <v>5047.1000000000004</v>
      </c>
      <c r="L168">
        <v>5121.8</v>
      </c>
      <c r="M168">
        <v>5221.3</v>
      </c>
      <c r="N168">
        <v>4874.3999999999996</v>
      </c>
      <c r="O168">
        <v>5507.8</v>
      </c>
      <c r="P168">
        <v>5483.3</v>
      </c>
      <c r="Q168">
        <v>5164.2</v>
      </c>
      <c r="R168">
        <v>5359.8</v>
      </c>
      <c r="S168">
        <v>5192.8</v>
      </c>
      <c r="T168">
        <v>5582.8</v>
      </c>
      <c r="U168">
        <v>5440.9</v>
      </c>
      <c r="V168">
        <v>5630.9</v>
      </c>
      <c r="W168">
        <v>5605.5</v>
      </c>
      <c r="X168">
        <v>5295.4</v>
      </c>
      <c r="Y168">
        <v>4819.3999999999996</v>
      </c>
      <c r="Z168">
        <v>4727.5</v>
      </c>
      <c r="AA168">
        <v>5002.1000000000004</v>
      </c>
      <c r="AB168">
        <v>5121.7</v>
      </c>
      <c r="AC168" t="s">
        <v>73</v>
      </c>
      <c r="AD168" t="s">
        <v>73</v>
      </c>
    </row>
    <row r="169" spans="1:30" x14ac:dyDescent="0.3">
      <c r="A169" t="s">
        <v>560</v>
      </c>
      <c r="B169" s="5" t="s">
        <v>561</v>
      </c>
      <c r="C169" t="s">
        <v>367</v>
      </c>
      <c r="D169" s="5" t="s">
        <v>368</v>
      </c>
      <c r="E169">
        <v>879.4</v>
      </c>
      <c r="F169">
        <v>887.1</v>
      </c>
      <c r="G169">
        <v>651.6</v>
      </c>
      <c r="H169">
        <v>1090.7</v>
      </c>
      <c r="I169">
        <v>974.5</v>
      </c>
      <c r="J169">
        <v>1201.0999999999999</v>
      </c>
      <c r="K169">
        <v>879</v>
      </c>
      <c r="L169">
        <v>722.5</v>
      </c>
      <c r="M169">
        <v>1174.2</v>
      </c>
      <c r="N169">
        <v>1134.5999999999999</v>
      </c>
      <c r="O169">
        <v>1196.5</v>
      </c>
      <c r="P169">
        <v>966.9</v>
      </c>
      <c r="Q169">
        <v>1221.3</v>
      </c>
      <c r="R169">
        <v>1124.0999999999999</v>
      </c>
      <c r="S169">
        <v>1111.5</v>
      </c>
      <c r="T169">
        <v>1376.1</v>
      </c>
      <c r="U169">
        <v>1350.6</v>
      </c>
      <c r="V169">
        <v>1476.2</v>
      </c>
      <c r="W169">
        <v>1644.3</v>
      </c>
      <c r="X169">
        <v>1601.3</v>
      </c>
      <c r="Y169">
        <v>1821.6</v>
      </c>
      <c r="Z169">
        <v>1854.7</v>
      </c>
      <c r="AA169">
        <v>1931.9</v>
      </c>
      <c r="AB169">
        <v>2192.1</v>
      </c>
      <c r="AC169" t="s">
        <v>73</v>
      </c>
      <c r="AD169" t="s">
        <v>73</v>
      </c>
    </row>
    <row r="170" spans="1:30" x14ac:dyDescent="0.3">
      <c r="A170" t="s">
        <v>560</v>
      </c>
      <c r="B170" s="5" t="s">
        <v>561</v>
      </c>
      <c r="C170" t="s">
        <v>369</v>
      </c>
      <c r="D170" s="5" t="s">
        <v>370</v>
      </c>
      <c r="E170" t="s">
        <v>73</v>
      </c>
      <c r="F170" t="s">
        <v>73</v>
      </c>
      <c r="G170" t="s">
        <v>73</v>
      </c>
      <c r="H170" t="s">
        <v>73</v>
      </c>
      <c r="I170" t="s">
        <v>73</v>
      </c>
      <c r="J170" t="s">
        <v>73</v>
      </c>
      <c r="K170">
        <v>4455.2</v>
      </c>
      <c r="L170">
        <v>3232.6</v>
      </c>
      <c r="M170">
        <v>4570.6000000000004</v>
      </c>
      <c r="N170">
        <v>4601.1000000000004</v>
      </c>
      <c r="O170">
        <v>4958.8</v>
      </c>
      <c r="P170">
        <v>4751.3999999999996</v>
      </c>
      <c r="Q170">
        <v>3701.7</v>
      </c>
      <c r="R170">
        <v>5157.8</v>
      </c>
      <c r="S170">
        <v>5960.6</v>
      </c>
      <c r="T170">
        <v>4787.3</v>
      </c>
      <c r="U170">
        <v>6165.9</v>
      </c>
      <c r="V170">
        <v>3967.9</v>
      </c>
      <c r="W170">
        <v>6132.1</v>
      </c>
      <c r="X170">
        <v>6128.1</v>
      </c>
      <c r="Y170">
        <v>6569.7</v>
      </c>
      <c r="Z170">
        <v>5770</v>
      </c>
      <c r="AA170">
        <v>4637.8</v>
      </c>
      <c r="AB170">
        <v>6105.8</v>
      </c>
      <c r="AC170" t="s">
        <v>73</v>
      </c>
      <c r="AD170" t="s">
        <v>73</v>
      </c>
    </row>
    <row r="171" spans="1:30" x14ac:dyDescent="0.3">
      <c r="A171" t="s">
        <v>560</v>
      </c>
      <c r="B171" s="5" t="s">
        <v>561</v>
      </c>
      <c r="C171" t="s">
        <v>371</v>
      </c>
      <c r="D171" s="5" t="s">
        <v>372</v>
      </c>
      <c r="E171" t="s">
        <v>73</v>
      </c>
      <c r="F171" t="s">
        <v>73</v>
      </c>
      <c r="G171" t="s">
        <v>73</v>
      </c>
      <c r="H171" t="s">
        <v>73</v>
      </c>
      <c r="I171" t="s">
        <v>73</v>
      </c>
      <c r="J171" t="s">
        <v>73</v>
      </c>
      <c r="K171" t="s">
        <v>73</v>
      </c>
      <c r="L171" t="s">
        <v>73</v>
      </c>
      <c r="M171" t="s">
        <v>73</v>
      </c>
      <c r="N171" t="s">
        <v>73</v>
      </c>
      <c r="O171" t="s">
        <v>73</v>
      </c>
      <c r="P171" t="s">
        <v>73</v>
      </c>
      <c r="Q171" t="s">
        <v>73</v>
      </c>
      <c r="R171" t="s">
        <v>73</v>
      </c>
      <c r="S171" t="s">
        <v>73</v>
      </c>
      <c r="T171" t="s">
        <v>73</v>
      </c>
      <c r="U171" t="s">
        <v>73</v>
      </c>
      <c r="V171" t="s">
        <v>73</v>
      </c>
      <c r="W171" t="s">
        <v>73</v>
      </c>
      <c r="X171" t="s">
        <v>73</v>
      </c>
      <c r="Y171" t="s">
        <v>73</v>
      </c>
      <c r="Z171" t="s">
        <v>73</v>
      </c>
      <c r="AA171" t="s">
        <v>73</v>
      </c>
      <c r="AB171" t="s">
        <v>73</v>
      </c>
      <c r="AC171" t="s">
        <v>73</v>
      </c>
      <c r="AD171" t="s">
        <v>73</v>
      </c>
    </row>
    <row r="172" spans="1:30" x14ac:dyDescent="0.3">
      <c r="A172" t="s">
        <v>560</v>
      </c>
      <c r="B172" s="5" t="s">
        <v>561</v>
      </c>
      <c r="C172" t="s">
        <v>373</v>
      </c>
      <c r="D172" s="5" t="s">
        <v>374</v>
      </c>
      <c r="E172">
        <v>1078.2</v>
      </c>
      <c r="F172">
        <v>998.2</v>
      </c>
      <c r="G172">
        <v>995.9</v>
      </c>
      <c r="H172">
        <v>1011.8</v>
      </c>
      <c r="I172">
        <v>1000.3</v>
      </c>
      <c r="J172">
        <v>1117.8</v>
      </c>
      <c r="K172">
        <v>1347.6</v>
      </c>
      <c r="L172">
        <v>1290.4000000000001</v>
      </c>
      <c r="M172">
        <v>1350.9</v>
      </c>
      <c r="N172">
        <v>1645.9</v>
      </c>
      <c r="O172">
        <v>1747.2</v>
      </c>
      <c r="P172">
        <v>1751.1</v>
      </c>
      <c r="Q172">
        <v>1539</v>
      </c>
      <c r="R172">
        <v>1777.5</v>
      </c>
      <c r="S172">
        <v>1519.7</v>
      </c>
      <c r="T172">
        <v>1339.7</v>
      </c>
      <c r="U172">
        <v>1092.3</v>
      </c>
      <c r="V172">
        <v>1141.7</v>
      </c>
      <c r="W172">
        <v>813</v>
      </c>
      <c r="X172">
        <v>1523</v>
      </c>
      <c r="Y172">
        <v>1636</v>
      </c>
      <c r="Z172">
        <v>1967.5</v>
      </c>
      <c r="AA172">
        <v>1963.1</v>
      </c>
      <c r="AB172">
        <v>1469.7</v>
      </c>
      <c r="AC172" t="s">
        <v>73</v>
      </c>
      <c r="AD172" t="s">
        <v>73</v>
      </c>
    </row>
    <row r="173" spans="1:30" x14ac:dyDescent="0.3">
      <c r="A173" t="s">
        <v>560</v>
      </c>
      <c r="B173" s="5" t="s">
        <v>561</v>
      </c>
      <c r="C173" t="s">
        <v>375</v>
      </c>
      <c r="D173" s="5" t="s">
        <v>376</v>
      </c>
      <c r="E173" t="s">
        <v>73</v>
      </c>
      <c r="F173" t="s">
        <v>73</v>
      </c>
      <c r="G173" t="s">
        <v>73</v>
      </c>
      <c r="H173" t="s">
        <v>73</v>
      </c>
      <c r="I173" t="s">
        <v>73</v>
      </c>
      <c r="J173" t="s">
        <v>73</v>
      </c>
      <c r="K173" t="s">
        <v>73</v>
      </c>
      <c r="L173" t="s">
        <v>73</v>
      </c>
      <c r="M173" t="s">
        <v>73</v>
      </c>
      <c r="N173" t="s">
        <v>73</v>
      </c>
      <c r="O173" t="s">
        <v>73</v>
      </c>
      <c r="P173" t="s">
        <v>73</v>
      </c>
      <c r="Q173" t="s">
        <v>73</v>
      </c>
      <c r="R173" t="s">
        <v>73</v>
      </c>
      <c r="S173" t="s">
        <v>73</v>
      </c>
      <c r="T173" t="s">
        <v>73</v>
      </c>
      <c r="U173" t="s">
        <v>73</v>
      </c>
      <c r="V173" t="s">
        <v>73</v>
      </c>
      <c r="W173" t="s">
        <v>73</v>
      </c>
      <c r="X173" t="s">
        <v>73</v>
      </c>
      <c r="Y173" t="s">
        <v>73</v>
      </c>
      <c r="Z173" t="s">
        <v>73</v>
      </c>
      <c r="AA173" t="s">
        <v>73</v>
      </c>
      <c r="AB173" t="s">
        <v>73</v>
      </c>
      <c r="AC173" t="s">
        <v>73</v>
      </c>
      <c r="AD173" t="s">
        <v>73</v>
      </c>
    </row>
    <row r="174" spans="1:30" x14ac:dyDescent="0.3">
      <c r="A174" t="s">
        <v>560</v>
      </c>
      <c r="B174" s="5" t="s">
        <v>561</v>
      </c>
      <c r="C174" t="s">
        <v>377</v>
      </c>
      <c r="D174" s="5" t="s">
        <v>378</v>
      </c>
      <c r="E174" t="s">
        <v>73</v>
      </c>
      <c r="F174" t="s">
        <v>73</v>
      </c>
      <c r="G174" t="s">
        <v>73</v>
      </c>
      <c r="H174" t="s">
        <v>73</v>
      </c>
      <c r="I174" t="s">
        <v>73</v>
      </c>
      <c r="J174" t="s">
        <v>73</v>
      </c>
      <c r="K174" t="s">
        <v>73</v>
      </c>
      <c r="L174" t="s">
        <v>73</v>
      </c>
      <c r="M174" t="s">
        <v>73</v>
      </c>
      <c r="N174" t="s">
        <v>73</v>
      </c>
      <c r="O174" t="s">
        <v>73</v>
      </c>
      <c r="P174" t="s">
        <v>73</v>
      </c>
      <c r="Q174" t="s">
        <v>73</v>
      </c>
      <c r="R174" t="s">
        <v>73</v>
      </c>
      <c r="S174" t="s">
        <v>73</v>
      </c>
      <c r="T174" t="s">
        <v>73</v>
      </c>
      <c r="U174" t="s">
        <v>73</v>
      </c>
      <c r="V174" t="s">
        <v>73</v>
      </c>
      <c r="W174" t="s">
        <v>73</v>
      </c>
      <c r="X174" t="s">
        <v>73</v>
      </c>
      <c r="Y174" t="s">
        <v>73</v>
      </c>
      <c r="Z174" t="s">
        <v>73</v>
      </c>
      <c r="AA174" t="s">
        <v>73</v>
      </c>
      <c r="AB174" t="s">
        <v>73</v>
      </c>
      <c r="AC174" t="s">
        <v>73</v>
      </c>
      <c r="AD174" t="s">
        <v>73</v>
      </c>
    </row>
    <row r="175" spans="1:30" x14ac:dyDescent="0.3">
      <c r="A175" t="s">
        <v>560</v>
      </c>
      <c r="B175" s="5" t="s">
        <v>561</v>
      </c>
      <c r="C175" t="s">
        <v>36</v>
      </c>
      <c r="D175" s="5" t="s">
        <v>379</v>
      </c>
      <c r="E175">
        <v>2709.9</v>
      </c>
      <c r="F175">
        <v>3889.7</v>
      </c>
      <c r="G175">
        <v>3899.7</v>
      </c>
      <c r="H175">
        <v>3136</v>
      </c>
      <c r="I175">
        <v>4641.8</v>
      </c>
      <c r="J175">
        <v>4511.8</v>
      </c>
      <c r="K175">
        <v>3996.3</v>
      </c>
      <c r="L175">
        <v>3561.2</v>
      </c>
      <c r="M175">
        <v>5175.3</v>
      </c>
      <c r="N175">
        <v>4331.5</v>
      </c>
      <c r="O175">
        <v>3737.3</v>
      </c>
      <c r="P175">
        <v>5009</v>
      </c>
      <c r="Q175">
        <v>3829.1</v>
      </c>
      <c r="R175">
        <v>4490.3999999999996</v>
      </c>
      <c r="S175">
        <v>6038.7</v>
      </c>
      <c r="T175">
        <v>5079.6000000000004</v>
      </c>
      <c r="U175">
        <v>6430.4</v>
      </c>
      <c r="V175">
        <v>4856</v>
      </c>
      <c r="W175">
        <v>5409.7</v>
      </c>
      <c r="X175">
        <v>5336</v>
      </c>
      <c r="Y175">
        <v>6129.8</v>
      </c>
      <c r="Z175">
        <v>5976.8</v>
      </c>
      <c r="AA175">
        <v>4754.5</v>
      </c>
      <c r="AB175">
        <v>6201.1</v>
      </c>
      <c r="AC175" t="s">
        <v>73</v>
      </c>
      <c r="AD175" t="s">
        <v>73</v>
      </c>
    </row>
    <row r="176" spans="1:30" x14ac:dyDescent="0.3">
      <c r="A176" t="s">
        <v>560</v>
      </c>
      <c r="B176" s="5" t="s">
        <v>561</v>
      </c>
      <c r="C176" t="s">
        <v>37</v>
      </c>
      <c r="D176" s="5" t="s">
        <v>380</v>
      </c>
      <c r="E176">
        <v>4803.1000000000004</v>
      </c>
      <c r="F176">
        <v>4734.5</v>
      </c>
      <c r="G176">
        <v>6117.9</v>
      </c>
      <c r="H176">
        <v>4011.5</v>
      </c>
      <c r="I176">
        <v>5826.2</v>
      </c>
      <c r="J176">
        <v>6006.9</v>
      </c>
      <c r="K176">
        <v>5116</v>
      </c>
      <c r="L176">
        <v>5341.3</v>
      </c>
      <c r="M176">
        <v>5474.7</v>
      </c>
      <c r="N176">
        <v>5268.3</v>
      </c>
      <c r="O176">
        <v>5981</v>
      </c>
      <c r="P176">
        <v>6373.8</v>
      </c>
      <c r="Q176">
        <v>5761.9</v>
      </c>
      <c r="R176">
        <v>4615.5</v>
      </c>
      <c r="S176">
        <v>6472.5</v>
      </c>
      <c r="T176">
        <v>6283.9</v>
      </c>
      <c r="U176">
        <v>6464.6</v>
      </c>
      <c r="V176">
        <v>5540</v>
      </c>
      <c r="W176">
        <v>6071.9</v>
      </c>
      <c r="X176">
        <v>6503.1</v>
      </c>
      <c r="Y176">
        <v>7385.5</v>
      </c>
      <c r="Z176">
        <v>6864.8</v>
      </c>
      <c r="AA176">
        <v>5564.5</v>
      </c>
      <c r="AB176">
        <v>6287.3</v>
      </c>
      <c r="AC176" t="s">
        <v>73</v>
      </c>
      <c r="AD176" t="s">
        <v>73</v>
      </c>
    </row>
    <row r="177" spans="1:30" x14ac:dyDescent="0.3">
      <c r="A177" t="s">
        <v>560</v>
      </c>
      <c r="B177" s="5" t="s">
        <v>561</v>
      </c>
      <c r="C177" t="s">
        <v>381</v>
      </c>
      <c r="D177" s="5" t="s">
        <v>382</v>
      </c>
      <c r="E177">
        <v>4649.5</v>
      </c>
      <c r="F177">
        <v>4649.6000000000004</v>
      </c>
      <c r="G177">
        <v>4598.3999999999996</v>
      </c>
      <c r="H177">
        <v>3207.6</v>
      </c>
      <c r="I177">
        <v>3125</v>
      </c>
      <c r="J177">
        <v>3000</v>
      </c>
      <c r="K177">
        <v>3350.5</v>
      </c>
      <c r="L177">
        <v>3001.1</v>
      </c>
      <c r="M177">
        <v>2545.5</v>
      </c>
      <c r="N177">
        <v>2272.6999999999998</v>
      </c>
      <c r="O177">
        <v>2091.5</v>
      </c>
      <c r="P177">
        <v>2248.5</v>
      </c>
      <c r="Q177">
        <v>2151.6999999999998</v>
      </c>
      <c r="R177">
        <v>2039</v>
      </c>
      <c r="S177">
        <v>1914</v>
      </c>
      <c r="T177">
        <v>1879.7</v>
      </c>
      <c r="U177">
        <v>1936.2</v>
      </c>
      <c r="V177">
        <v>1873.3</v>
      </c>
      <c r="W177">
        <v>1905</v>
      </c>
      <c r="X177">
        <v>1912.3</v>
      </c>
      <c r="Y177">
        <v>1897.6</v>
      </c>
      <c r="Z177">
        <v>1896.1</v>
      </c>
      <c r="AA177">
        <v>1899.1</v>
      </c>
      <c r="AB177">
        <v>1900.5</v>
      </c>
      <c r="AC177" t="s">
        <v>73</v>
      </c>
      <c r="AD177" t="s">
        <v>73</v>
      </c>
    </row>
    <row r="178" spans="1:30" x14ac:dyDescent="0.3">
      <c r="A178" t="s">
        <v>560</v>
      </c>
      <c r="B178" s="5" t="s">
        <v>561</v>
      </c>
      <c r="C178" t="s">
        <v>383</v>
      </c>
      <c r="D178" s="5" t="s">
        <v>384</v>
      </c>
      <c r="E178">
        <v>733</v>
      </c>
      <c r="F178">
        <v>812.7</v>
      </c>
      <c r="G178">
        <v>769.8</v>
      </c>
      <c r="H178">
        <v>688</v>
      </c>
      <c r="I178">
        <v>581.1</v>
      </c>
      <c r="J178">
        <v>650.9</v>
      </c>
      <c r="K178">
        <v>493.7</v>
      </c>
      <c r="L178">
        <v>605.79999999999995</v>
      </c>
      <c r="M178">
        <v>557.5</v>
      </c>
      <c r="N178">
        <v>416.4</v>
      </c>
      <c r="O178">
        <v>575.20000000000005</v>
      </c>
      <c r="P178">
        <v>457.2</v>
      </c>
      <c r="Q178">
        <v>1190</v>
      </c>
      <c r="R178">
        <v>964</v>
      </c>
      <c r="S178">
        <v>582.9</v>
      </c>
      <c r="T178">
        <v>593.79999999999995</v>
      </c>
      <c r="U178">
        <v>507.3</v>
      </c>
      <c r="V178">
        <v>506.6</v>
      </c>
      <c r="W178">
        <v>710.2</v>
      </c>
      <c r="X178">
        <v>523.29999999999995</v>
      </c>
      <c r="Y178">
        <v>503.5</v>
      </c>
      <c r="Z178">
        <v>314</v>
      </c>
      <c r="AA178">
        <v>396</v>
      </c>
      <c r="AB178">
        <v>503.5</v>
      </c>
      <c r="AC178" t="s">
        <v>73</v>
      </c>
      <c r="AD178" t="s">
        <v>73</v>
      </c>
    </row>
    <row r="179" spans="1:30" x14ac:dyDescent="0.3">
      <c r="A179" t="s">
        <v>560</v>
      </c>
      <c r="B179" s="5" t="s">
        <v>561</v>
      </c>
      <c r="C179" t="s">
        <v>38</v>
      </c>
      <c r="D179" s="5" t="s">
        <v>385</v>
      </c>
      <c r="E179">
        <v>2765.9</v>
      </c>
      <c r="F179">
        <v>2424.1</v>
      </c>
      <c r="G179">
        <v>2772.6</v>
      </c>
      <c r="H179">
        <v>2536.8000000000002</v>
      </c>
      <c r="I179">
        <v>2777.9</v>
      </c>
      <c r="J179">
        <v>3309.6</v>
      </c>
      <c r="K179">
        <v>3141</v>
      </c>
      <c r="L179">
        <v>2790.3</v>
      </c>
      <c r="M179">
        <v>4063.2</v>
      </c>
      <c r="N179">
        <v>4405.5</v>
      </c>
      <c r="O179">
        <v>4150.3999999999996</v>
      </c>
      <c r="P179">
        <v>4017</v>
      </c>
      <c r="Q179">
        <v>4243.5</v>
      </c>
      <c r="R179">
        <v>4043</v>
      </c>
      <c r="S179">
        <v>4899.6000000000004</v>
      </c>
      <c r="T179">
        <v>3348.4</v>
      </c>
      <c r="U179">
        <v>3623.1</v>
      </c>
      <c r="V179">
        <v>5331.8</v>
      </c>
      <c r="W179">
        <v>4651.8999999999996</v>
      </c>
      <c r="X179">
        <v>4101.6000000000004</v>
      </c>
      <c r="Y179">
        <v>5121.8</v>
      </c>
      <c r="Z179">
        <v>5504.7</v>
      </c>
      <c r="AA179">
        <v>5326.8</v>
      </c>
      <c r="AB179">
        <v>5726.1</v>
      </c>
      <c r="AC179" t="s">
        <v>73</v>
      </c>
      <c r="AD179" t="s">
        <v>73</v>
      </c>
    </row>
    <row r="180" spans="1:30" x14ac:dyDescent="0.3">
      <c r="A180" t="s">
        <v>560</v>
      </c>
      <c r="B180" s="5" t="s">
        <v>561</v>
      </c>
      <c r="C180" t="s">
        <v>386</v>
      </c>
      <c r="D180" s="5" t="s">
        <v>387</v>
      </c>
      <c r="E180" t="s">
        <v>73</v>
      </c>
      <c r="F180" t="s">
        <v>73</v>
      </c>
      <c r="G180" t="s">
        <v>73</v>
      </c>
      <c r="H180" t="s">
        <v>73</v>
      </c>
      <c r="I180" t="s">
        <v>73</v>
      </c>
      <c r="J180" t="s">
        <v>73</v>
      </c>
      <c r="K180" t="s">
        <v>73</v>
      </c>
      <c r="L180" t="s">
        <v>73</v>
      </c>
      <c r="M180" t="s">
        <v>73</v>
      </c>
      <c r="N180" t="s">
        <v>73</v>
      </c>
      <c r="O180" t="s">
        <v>73</v>
      </c>
      <c r="P180" t="s">
        <v>73</v>
      </c>
      <c r="Q180">
        <v>705.2</v>
      </c>
      <c r="R180">
        <v>765.6</v>
      </c>
      <c r="S180">
        <v>1253.7</v>
      </c>
      <c r="T180">
        <v>907.3</v>
      </c>
      <c r="U180">
        <v>879.1</v>
      </c>
      <c r="V180">
        <v>885.2</v>
      </c>
      <c r="W180">
        <v>843.7</v>
      </c>
      <c r="X180">
        <v>880.5</v>
      </c>
      <c r="Y180">
        <v>885.5</v>
      </c>
      <c r="Z180">
        <v>844.6</v>
      </c>
      <c r="AA180">
        <v>1055.7</v>
      </c>
      <c r="AB180">
        <v>983.6</v>
      </c>
      <c r="AC180" t="s">
        <v>73</v>
      </c>
      <c r="AD180" t="s">
        <v>73</v>
      </c>
    </row>
    <row r="181" spans="1:30" x14ac:dyDescent="0.3">
      <c r="A181" t="s">
        <v>560</v>
      </c>
      <c r="B181" s="5" t="s">
        <v>561</v>
      </c>
      <c r="C181" t="s">
        <v>39</v>
      </c>
      <c r="D181" s="5" t="s">
        <v>388</v>
      </c>
      <c r="E181">
        <v>3603.3</v>
      </c>
      <c r="F181">
        <v>2804.7</v>
      </c>
      <c r="G181">
        <v>3222</v>
      </c>
      <c r="H181">
        <v>3250.7</v>
      </c>
      <c r="I181">
        <v>3750.1</v>
      </c>
      <c r="J181">
        <v>2159.3000000000002</v>
      </c>
      <c r="K181">
        <v>3028.2</v>
      </c>
      <c r="L181">
        <v>3933.9</v>
      </c>
      <c r="M181">
        <v>3573.5</v>
      </c>
      <c r="N181">
        <v>2944.8</v>
      </c>
      <c r="O181">
        <v>3291.5</v>
      </c>
      <c r="P181">
        <v>3691.8</v>
      </c>
      <c r="Q181">
        <v>2842.5</v>
      </c>
      <c r="R181">
        <v>4047.1</v>
      </c>
      <c r="S181">
        <v>3248.5</v>
      </c>
      <c r="T181">
        <v>3243.1</v>
      </c>
      <c r="U181">
        <v>3877.8</v>
      </c>
      <c r="V181">
        <v>2770.2</v>
      </c>
      <c r="W181">
        <v>4205.5</v>
      </c>
      <c r="X181">
        <v>3445.5</v>
      </c>
      <c r="Y181">
        <v>4501.5</v>
      </c>
      <c r="Z181">
        <v>4227.3999999999996</v>
      </c>
      <c r="AA181">
        <v>3307.4</v>
      </c>
      <c r="AB181">
        <v>2190.9</v>
      </c>
      <c r="AC181" t="s">
        <v>73</v>
      </c>
      <c r="AD181" t="s">
        <v>73</v>
      </c>
    </row>
    <row r="182" spans="1:30" x14ac:dyDescent="0.3">
      <c r="A182" t="s">
        <v>560</v>
      </c>
      <c r="B182" s="5" t="s">
        <v>561</v>
      </c>
      <c r="C182" t="s">
        <v>389</v>
      </c>
      <c r="D182" s="5" t="s">
        <v>390</v>
      </c>
      <c r="E182">
        <v>3338.2</v>
      </c>
      <c r="F182">
        <v>3424.9</v>
      </c>
      <c r="G182">
        <v>3405.1</v>
      </c>
      <c r="H182">
        <v>3282.6</v>
      </c>
      <c r="I182">
        <v>3563.7</v>
      </c>
      <c r="J182">
        <v>3467.2</v>
      </c>
      <c r="K182">
        <v>3579.8</v>
      </c>
      <c r="L182">
        <v>3727.9</v>
      </c>
      <c r="M182">
        <v>3616.7</v>
      </c>
      <c r="N182">
        <v>3790.6</v>
      </c>
      <c r="O182">
        <v>3974.3</v>
      </c>
      <c r="P182">
        <v>3520.8</v>
      </c>
      <c r="Q182">
        <v>3582.9</v>
      </c>
      <c r="R182">
        <v>3833.5</v>
      </c>
      <c r="S182">
        <v>3799.6</v>
      </c>
      <c r="T182">
        <v>3943.3</v>
      </c>
      <c r="U182">
        <v>3845.2</v>
      </c>
      <c r="V182">
        <v>3046</v>
      </c>
      <c r="W182">
        <v>3761.5</v>
      </c>
      <c r="X182">
        <v>4723.6000000000004</v>
      </c>
      <c r="Y182">
        <v>4733.3999999999996</v>
      </c>
      <c r="Z182">
        <v>4541.1000000000004</v>
      </c>
      <c r="AA182">
        <v>3033.2</v>
      </c>
      <c r="AB182">
        <v>3804.3</v>
      </c>
      <c r="AC182" t="s">
        <v>73</v>
      </c>
      <c r="AD182" t="s">
        <v>73</v>
      </c>
    </row>
    <row r="183" spans="1:30" x14ac:dyDescent="0.3">
      <c r="A183" t="s">
        <v>560</v>
      </c>
      <c r="B183" s="5" t="s">
        <v>561</v>
      </c>
      <c r="C183" t="s">
        <v>391</v>
      </c>
      <c r="D183" s="5" t="s">
        <v>392</v>
      </c>
      <c r="E183" t="s">
        <v>73</v>
      </c>
      <c r="F183" t="s">
        <v>73</v>
      </c>
      <c r="G183" t="s">
        <v>73</v>
      </c>
      <c r="H183" t="s">
        <v>73</v>
      </c>
      <c r="I183" t="s">
        <v>73</v>
      </c>
      <c r="J183" t="s">
        <v>73</v>
      </c>
      <c r="K183" t="s">
        <v>73</v>
      </c>
      <c r="L183" t="s">
        <v>73</v>
      </c>
      <c r="M183" t="s">
        <v>73</v>
      </c>
      <c r="N183" t="s">
        <v>73</v>
      </c>
      <c r="O183" t="s">
        <v>73</v>
      </c>
      <c r="P183" t="s">
        <v>73</v>
      </c>
      <c r="Q183" t="s">
        <v>73</v>
      </c>
      <c r="R183" t="s">
        <v>73</v>
      </c>
      <c r="S183" t="s">
        <v>73</v>
      </c>
      <c r="T183" t="s">
        <v>73</v>
      </c>
      <c r="U183" t="s">
        <v>73</v>
      </c>
      <c r="V183" t="s">
        <v>73</v>
      </c>
      <c r="W183" t="s">
        <v>73</v>
      </c>
      <c r="X183" t="s">
        <v>73</v>
      </c>
      <c r="Y183" t="s">
        <v>73</v>
      </c>
      <c r="Z183" t="s">
        <v>73</v>
      </c>
      <c r="AA183" t="s">
        <v>73</v>
      </c>
      <c r="AB183" t="s">
        <v>73</v>
      </c>
      <c r="AC183" t="s">
        <v>73</v>
      </c>
      <c r="AD183" t="s">
        <v>73</v>
      </c>
    </row>
    <row r="184" spans="1:30" x14ac:dyDescent="0.3">
      <c r="A184" t="s">
        <v>560</v>
      </c>
      <c r="B184" s="5" t="s">
        <v>561</v>
      </c>
      <c r="C184" t="s">
        <v>393</v>
      </c>
      <c r="D184" s="5" t="s">
        <v>394</v>
      </c>
      <c r="E184" t="s">
        <v>73</v>
      </c>
      <c r="F184" t="s">
        <v>73</v>
      </c>
      <c r="G184" t="s">
        <v>73</v>
      </c>
      <c r="H184" t="s">
        <v>73</v>
      </c>
      <c r="I184" t="s">
        <v>73</v>
      </c>
      <c r="J184" t="s">
        <v>73</v>
      </c>
      <c r="K184" t="s">
        <v>73</v>
      </c>
      <c r="L184" t="s">
        <v>73</v>
      </c>
      <c r="M184" t="s">
        <v>73</v>
      </c>
      <c r="N184" t="s">
        <v>73</v>
      </c>
      <c r="O184" t="s">
        <v>73</v>
      </c>
      <c r="P184" t="s">
        <v>73</v>
      </c>
      <c r="Q184" t="s">
        <v>73</v>
      </c>
      <c r="R184" t="s">
        <v>73</v>
      </c>
      <c r="S184" t="s">
        <v>73</v>
      </c>
      <c r="T184" t="s">
        <v>73</v>
      </c>
      <c r="U184" t="s">
        <v>73</v>
      </c>
      <c r="V184" t="s">
        <v>73</v>
      </c>
      <c r="W184" t="s">
        <v>73</v>
      </c>
      <c r="X184" t="s">
        <v>73</v>
      </c>
      <c r="Y184" t="s">
        <v>73</v>
      </c>
      <c r="Z184" t="s">
        <v>73</v>
      </c>
      <c r="AA184" t="s">
        <v>73</v>
      </c>
      <c r="AB184" t="s">
        <v>73</v>
      </c>
      <c r="AC184" t="s">
        <v>73</v>
      </c>
      <c r="AD184" t="s">
        <v>73</v>
      </c>
    </row>
    <row r="185" spans="1:30" x14ac:dyDescent="0.3">
      <c r="A185" t="s">
        <v>560</v>
      </c>
      <c r="B185" s="5" t="s">
        <v>561</v>
      </c>
      <c r="C185" t="s">
        <v>395</v>
      </c>
      <c r="D185" s="5" t="s">
        <v>396</v>
      </c>
      <c r="E185" t="s">
        <v>73</v>
      </c>
      <c r="F185" t="s">
        <v>73</v>
      </c>
      <c r="G185" t="s">
        <v>73</v>
      </c>
      <c r="H185" t="s">
        <v>73</v>
      </c>
      <c r="I185" t="s">
        <v>73</v>
      </c>
      <c r="J185" t="s">
        <v>73</v>
      </c>
      <c r="K185" t="s">
        <v>73</v>
      </c>
      <c r="L185" t="s">
        <v>73</v>
      </c>
      <c r="M185" t="s">
        <v>73</v>
      </c>
      <c r="N185" t="s">
        <v>73</v>
      </c>
      <c r="O185" t="s">
        <v>73</v>
      </c>
      <c r="P185" t="s">
        <v>73</v>
      </c>
      <c r="Q185" t="s">
        <v>73</v>
      </c>
      <c r="R185" t="s">
        <v>73</v>
      </c>
      <c r="S185" t="s">
        <v>73</v>
      </c>
      <c r="T185" t="s">
        <v>73</v>
      </c>
      <c r="U185" t="s">
        <v>73</v>
      </c>
      <c r="V185" t="s">
        <v>73</v>
      </c>
      <c r="W185" t="s">
        <v>73</v>
      </c>
      <c r="X185" t="s">
        <v>73</v>
      </c>
      <c r="Y185" t="s">
        <v>73</v>
      </c>
      <c r="Z185" t="s">
        <v>73</v>
      </c>
      <c r="AA185" t="s">
        <v>73</v>
      </c>
      <c r="AB185" t="s">
        <v>73</v>
      </c>
      <c r="AC185" t="s">
        <v>73</v>
      </c>
      <c r="AD185" t="s">
        <v>73</v>
      </c>
    </row>
    <row r="186" spans="1:30" x14ac:dyDescent="0.3">
      <c r="A186" t="s">
        <v>560</v>
      </c>
      <c r="B186" s="5" t="s">
        <v>561</v>
      </c>
      <c r="C186" t="s">
        <v>397</v>
      </c>
      <c r="D186" s="5" t="s">
        <v>398</v>
      </c>
      <c r="E186">
        <v>15000</v>
      </c>
      <c r="F186">
        <v>14285.7</v>
      </c>
      <c r="G186">
        <v>14857.1</v>
      </c>
      <c r="H186">
        <v>14825</v>
      </c>
      <c r="I186">
        <v>14444.4</v>
      </c>
      <c r="J186">
        <v>14418.6</v>
      </c>
      <c r="K186">
        <v>13571.4</v>
      </c>
      <c r="L186">
        <v>12181.8</v>
      </c>
      <c r="M186">
        <v>12727.3</v>
      </c>
      <c r="N186">
        <v>16750</v>
      </c>
      <c r="O186">
        <v>18774.2</v>
      </c>
      <c r="P186">
        <v>27640</v>
      </c>
      <c r="Q186">
        <v>25878.799999999999</v>
      </c>
      <c r="R186">
        <v>23958.3</v>
      </c>
      <c r="S186">
        <v>24485.7</v>
      </c>
      <c r="T186">
        <v>24218.799999999999</v>
      </c>
      <c r="U186">
        <v>24742.9</v>
      </c>
      <c r="V186">
        <v>28225</v>
      </c>
      <c r="W186">
        <v>27837.8</v>
      </c>
      <c r="X186">
        <v>28125</v>
      </c>
      <c r="Y186">
        <v>29241.4</v>
      </c>
      <c r="Z186">
        <v>14472.7</v>
      </c>
      <c r="AA186">
        <v>14222.2</v>
      </c>
      <c r="AB186">
        <v>14066.7</v>
      </c>
      <c r="AC186" t="s">
        <v>73</v>
      </c>
      <c r="AD186" t="s">
        <v>73</v>
      </c>
    </row>
    <row r="187" spans="1:30" x14ac:dyDescent="0.3">
      <c r="A187" t="s">
        <v>560</v>
      </c>
      <c r="B187" s="5" t="s">
        <v>561</v>
      </c>
      <c r="C187" t="s">
        <v>399</v>
      </c>
      <c r="D187" s="5" t="s">
        <v>400</v>
      </c>
      <c r="E187">
        <v>505.2</v>
      </c>
      <c r="F187">
        <v>626.20000000000005</v>
      </c>
      <c r="G187">
        <v>487.2</v>
      </c>
      <c r="H187">
        <v>643.70000000000005</v>
      </c>
      <c r="I187">
        <v>657.2</v>
      </c>
      <c r="J187">
        <v>505.8</v>
      </c>
      <c r="K187">
        <v>644.79999999999995</v>
      </c>
      <c r="L187">
        <v>729.5</v>
      </c>
      <c r="M187">
        <v>567.1</v>
      </c>
      <c r="N187">
        <v>587.29999999999995</v>
      </c>
      <c r="O187">
        <v>451.7</v>
      </c>
      <c r="P187">
        <v>563.79999999999995</v>
      </c>
      <c r="Q187">
        <v>539.4</v>
      </c>
      <c r="R187">
        <v>594.1</v>
      </c>
      <c r="S187">
        <v>683.4</v>
      </c>
      <c r="T187">
        <v>572.1</v>
      </c>
      <c r="U187">
        <v>686</v>
      </c>
      <c r="V187">
        <v>600.9</v>
      </c>
      <c r="W187">
        <v>731.8</v>
      </c>
      <c r="X187">
        <v>554.4</v>
      </c>
      <c r="Y187">
        <v>595.20000000000005</v>
      </c>
      <c r="Z187">
        <v>508.1</v>
      </c>
      <c r="AA187">
        <v>678.1</v>
      </c>
      <c r="AB187">
        <v>449.1</v>
      </c>
      <c r="AC187" t="s">
        <v>73</v>
      </c>
      <c r="AD187" t="s">
        <v>73</v>
      </c>
    </row>
    <row r="188" spans="1:30" x14ac:dyDescent="0.3">
      <c r="A188" t="s">
        <v>560</v>
      </c>
      <c r="B188" s="5" t="s">
        <v>561</v>
      </c>
      <c r="C188" t="s">
        <v>401</v>
      </c>
      <c r="D188" s="5" t="s">
        <v>402</v>
      </c>
      <c r="E188">
        <v>3896</v>
      </c>
      <c r="F188">
        <v>3765.8</v>
      </c>
      <c r="G188">
        <v>3921.2</v>
      </c>
      <c r="H188">
        <v>3693.8</v>
      </c>
      <c r="I188">
        <v>3559.2</v>
      </c>
      <c r="J188">
        <v>3597.7</v>
      </c>
      <c r="K188">
        <v>4128.7</v>
      </c>
      <c r="L188">
        <v>4252.7</v>
      </c>
      <c r="M188">
        <v>4188.7</v>
      </c>
      <c r="N188">
        <v>4208.8999999999996</v>
      </c>
      <c r="O188">
        <v>4232.3999999999996</v>
      </c>
      <c r="P188">
        <v>4132.7</v>
      </c>
      <c r="Q188">
        <v>4361.8999999999996</v>
      </c>
      <c r="R188">
        <v>4495.8</v>
      </c>
      <c r="S188">
        <v>4433</v>
      </c>
      <c r="T188">
        <v>4529.6000000000004</v>
      </c>
      <c r="U188">
        <v>4433</v>
      </c>
      <c r="V188">
        <v>4879</v>
      </c>
      <c r="W188">
        <v>4868.3999999999996</v>
      </c>
      <c r="X188">
        <v>4555.3</v>
      </c>
      <c r="Y188">
        <v>4319.1000000000004</v>
      </c>
      <c r="Z188">
        <v>4638.3</v>
      </c>
      <c r="AA188">
        <v>3763.2</v>
      </c>
      <c r="AB188">
        <v>4078.9</v>
      </c>
      <c r="AC188" t="s">
        <v>73</v>
      </c>
      <c r="AD188" t="s">
        <v>73</v>
      </c>
    </row>
    <row r="189" spans="1:30" x14ac:dyDescent="0.3">
      <c r="A189" t="s">
        <v>560</v>
      </c>
      <c r="B189" s="5" t="s">
        <v>561</v>
      </c>
      <c r="C189" t="s">
        <v>40</v>
      </c>
      <c r="D189" s="5" t="s">
        <v>403</v>
      </c>
      <c r="E189">
        <v>4560.3</v>
      </c>
      <c r="F189">
        <v>4583.3</v>
      </c>
      <c r="G189">
        <v>4780.3999999999996</v>
      </c>
      <c r="H189">
        <v>4584.5</v>
      </c>
      <c r="I189">
        <v>4892.8999999999996</v>
      </c>
      <c r="J189">
        <v>4932.3</v>
      </c>
      <c r="K189">
        <v>4292.2</v>
      </c>
      <c r="L189">
        <v>5150.8</v>
      </c>
      <c r="M189">
        <v>4820.5</v>
      </c>
      <c r="N189">
        <v>5078.8999999999996</v>
      </c>
      <c r="O189">
        <v>4510.3999999999996</v>
      </c>
      <c r="P189">
        <v>4712.8999999999996</v>
      </c>
      <c r="Q189">
        <v>5101.8</v>
      </c>
      <c r="R189">
        <v>5123.5</v>
      </c>
      <c r="S189">
        <v>5646.9</v>
      </c>
      <c r="T189">
        <v>6053.6</v>
      </c>
      <c r="U189">
        <v>5438.2</v>
      </c>
      <c r="V189">
        <v>5992.3</v>
      </c>
      <c r="W189">
        <v>3535.5</v>
      </c>
      <c r="X189">
        <v>6292.1</v>
      </c>
      <c r="Y189">
        <v>5994.4</v>
      </c>
      <c r="Z189">
        <v>5064.7</v>
      </c>
      <c r="AA189">
        <v>6107.4</v>
      </c>
      <c r="AB189">
        <v>4456.5</v>
      </c>
      <c r="AC189" t="s">
        <v>73</v>
      </c>
      <c r="AD189" t="s">
        <v>73</v>
      </c>
    </row>
    <row r="190" spans="1:30" x14ac:dyDescent="0.3">
      <c r="A190" t="s">
        <v>560</v>
      </c>
      <c r="B190" s="5" t="s">
        <v>561</v>
      </c>
      <c r="C190" t="s">
        <v>41</v>
      </c>
      <c r="D190" s="5" t="s">
        <v>404</v>
      </c>
      <c r="E190">
        <v>6402.2</v>
      </c>
      <c r="F190">
        <v>6011.9</v>
      </c>
      <c r="G190">
        <v>6269.8</v>
      </c>
      <c r="H190">
        <v>5086.5</v>
      </c>
      <c r="I190">
        <v>6732.5</v>
      </c>
      <c r="J190">
        <v>6300.4</v>
      </c>
      <c r="K190">
        <v>6165</v>
      </c>
      <c r="L190">
        <v>6418.5</v>
      </c>
      <c r="M190">
        <v>6413.1</v>
      </c>
      <c r="N190">
        <v>6578.3</v>
      </c>
      <c r="O190">
        <v>6093.9</v>
      </c>
      <c r="P190">
        <v>6874.6</v>
      </c>
      <c r="Q190">
        <v>6464.3</v>
      </c>
      <c r="R190">
        <v>5945.6</v>
      </c>
      <c r="S190">
        <v>7044.6</v>
      </c>
      <c r="T190">
        <v>6431.9</v>
      </c>
      <c r="U190">
        <v>5154.6000000000004</v>
      </c>
      <c r="V190">
        <v>6800.2</v>
      </c>
      <c r="W190">
        <v>6332.3</v>
      </c>
      <c r="X190">
        <v>6580.8</v>
      </c>
      <c r="Y190">
        <v>6978</v>
      </c>
      <c r="Z190">
        <v>5515.8</v>
      </c>
      <c r="AA190">
        <v>6081.1</v>
      </c>
      <c r="AB190">
        <v>5706</v>
      </c>
      <c r="AC190" t="s">
        <v>73</v>
      </c>
      <c r="AD190" t="s">
        <v>73</v>
      </c>
    </row>
    <row r="191" spans="1:30" x14ac:dyDescent="0.3">
      <c r="A191" t="s">
        <v>560</v>
      </c>
      <c r="B191" s="5" t="s">
        <v>561</v>
      </c>
      <c r="C191" t="s">
        <v>405</v>
      </c>
      <c r="D191" s="5" t="s">
        <v>406</v>
      </c>
      <c r="E191">
        <v>1148.5999999999999</v>
      </c>
      <c r="F191">
        <v>1692.6</v>
      </c>
      <c r="G191">
        <v>1993.5</v>
      </c>
      <c r="H191">
        <v>1999</v>
      </c>
      <c r="I191">
        <v>1657.5</v>
      </c>
      <c r="J191">
        <v>1711.4</v>
      </c>
      <c r="K191">
        <v>2002.3</v>
      </c>
      <c r="L191">
        <v>1622.4</v>
      </c>
      <c r="M191">
        <v>896.7</v>
      </c>
      <c r="N191">
        <v>1707.7</v>
      </c>
      <c r="O191">
        <v>1231.9000000000001</v>
      </c>
      <c r="P191">
        <v>1679</v>
      </c>
      <c r="Q191">
        <v>1643.5</v>
      </c>
      <c r="R191">
        <v>1576</v>
      </c>
      <c r="S191">
        <v>1063.0999999999999</v>
      </c>
      <c r="T191">
        <v>1905.8</v>
      </c>
      <c r="U191">
        <v>1108.9000000000001</v>
      </c>
      <c r="V191">
        <v>1233.4000000000001</v>
      </c>
      <c r="W191">
        <v>750</v>
      </c>
      <c r="X191">
        <v>2203.9</v>
      </c>
      <c r="Y191">
        <v>1832.3</v>
      </c>
      <c r="Z191">
        <v>820.4</v>
      </c>
      <c r="AA191">
        <v>949.9</v>
      </c>
      <c r="AB191">
        <v>1814.6</v>
      </c>
      <c r="AC191" t="s">
        <v>73</v>
      </c>
      <c r="AD191" t="s">
        <v>73</v>
      </c>
    </row>
    <row r="192" spans="1:30" x14ac:dyDescent="0.3">
      <c r="A192" t="s">
        <v>560</v>
      </c>
      <c r="B192" s="5" t="s">
        <v>561</v>
      </c>
      <c r="C192" t="s">
        <v>407</v>
      </c>
      <c r="D192" s="5" t="s">
        <v>408</v>
      </c>
      <c r="E192">
        <v>1310.7</v>
      </c>
      <c r="F192">
        <v>1397.9</v>
      </c>
      <c r="G192">
        <v>1889.3</v>
      </c>
      <c r="H192">
        <v>2100.6</v>
      </c>
      <c r="I192">
        <v>2150.4</v>
      </c>
      <c r="J192">
        <v>2164.4</v>
      </c>
      <c r="K192">
        <v>2158.6999999999998</v>
      </c>
      <c r="L192">
        <v>2440</v>
      </c>
      <c r="M192">
        <v>2141</v>
      </c>
      <c r="N192">
        <v>3119.4</v>
      </c>
      <c r="O192">
        <v>3117.2</v>
      </c>
      <c r="P192">
        <v>2519.3000000000002</v>
      </c>
      <c r="Q192">
        <v>2891.1</v>
      </c>
      <c r="R192">
        <v>3159.4</v>
      </c>
      <c r="S192">
        <v>3189.4</v>
      </c>
      <c r="T192">
        <v>3261</v>
      </c>
      <c r="U192">
        <v>3348.7</v>
      </c>
      <c r="V192">
        <v>3459.5</v>
      </c>
      <c r="W192">
        <v>3404.4</v>
      </c>
      <c r="X192">
        <v>3636.7</v>
      </c>
      <c r="Y192">
        <v>3482.2</v>
      </c>
      <c r="Z192">
        <v>3821.5</v>
      </c>
      <c r="AA192">
        <v>3561.5</v>
      </c>
      <c r="AB192">
        <v>3628.8</v>
      </c>
      <c r="AC192" t="s">
        <v>73</v>
      </c>
      <c r="AD192" t="s">
        <v>73</v>
      </c>
    </row>
    <row r="193" spans="1:30" x14ac:dyDescent="0.3">
      <c r="A193" t="s">
        <v>560</v>
      </c>
      <c r="B193" s="5" t="s">
        <v>561</v>
      </c>
      <c r="C193" t="s">
        <v>409</v>
      </c>
      <c r="D193" s="5" t="s">
        <v>410</v>
      </c>
      <c r="E193">
        <v>1440.7</v>
      </c>
      <c r="F193">
        <v>2043.5</v>
      </c>
      <c r="G193">
        <v>1899.5</v>
      </c>
      <c r="H193">
        <v>858.1</v>
      </c>
      <c r="I193">
        <v>1370.6</v>
      </c>
      <c r="J193">
        <v>1101.5999999999999</v>
      </c>
      <c r="K193">
        <v>1326.7</v>
      </c>
      <c r="L193">
        <v>1427.3</v>
      </c>
      <c r="M193">
        <v>1333.9</v>
      </c>
      <c r="N193">
        <v>1110.4000000000001</v>
      </c>
      <c r="O193">
        <v>1647.9</v>
      </c>
      <c r="P193">
        <v>1390.4</v>
      </c>
      <c r="Q193">
        <v>1314.8</v>
      </c>
      <c r="R193">
        <v>1418</v>
      </c>
      <c r="S193">
        <v>1669.1</v>
      </c>
      <c r="T193">
        <v>1617.2</v>
      </c>
      <c r="U193">
        <v>1711.1</v>
      </c>
      <c r="V193">
        <v>1692</v>
      </c>
      <c r="W193">
        <v>1938.5</v>
      </c>
      <c r="X193">
        <v>1883.5</v>
      </c>
      <c r="Y193">
        <v>1869.5</v>
      </c>
      <c r="Z193">
        <v>1782.3</v>
      </c>
      <c r="AA193">
        <v>1815.4</v>
      </c>
      <c r="AB193">
        <v>1961.1</v>
      </c>
      <c r="AC193" t="s">
        <v>73</v>
      </c>
      <c r="AD193" t="s">
        <v>73</v>
      </c>
    </row>
    <row r="194" spans="1:30" x14ac:dyDescent="0.3">
      <c r="A194" t="s">
        <v>560</v>
      </c>
      <c r="B194" s="5" t="s">
        <v>561</v>
      </c>
      <c r="C194" t="s">
        <v>411</v>
      </c>
      <c r="D194" s="5" t="s">
        <v>412</v>
      </c>
      <c r="E194">
        <v>2719</v>
      </c>
      <c r="F194">
        <v>2952.6</v>
      </c>
      <c r="G194">
        <v>2998.3</v>
      </c>
      <c r="H194">
        <v>2998.8</v>
      </c>
      <c r="I194">
        <v>2961</v>
      </c>
      <c r="J194">
        <v>3046.8</v>
      </c>
      <c r="K194">
        <v>3009.5</v>
      </c>
      <c r="L194">
        <v>3089.4</v>
      </c>
      <c r="M194">
        <v>3063.5</v>
      </c>
      <c r="N194">
        <v>2995.9</v>
      </c>
      <c r="O194">
        <v>3071.3</v>
      </c>
      <c r="P194">
        <v>3257.2</v>
      </c>
      <c r="Q194">
        <v>3256.6</v>
      </c>
      <c r="R194">
        <v>3214</v>
      </c>
      <c r="S194">
        <v>3141.1</v>
      </c>
      <c r="T194">
        <v>2958.7</v>
      </c>
      <c r="U194">
        <v>3064.5</v>
      </c>
      <c r="V194">
        <v>3172.3</v>
      </c>
      <c r="W194">
        <v>3151.7</v>
      </c>
      <c r="X194">
        <v>3021.6</v>
      </c>
      <c r="Y194">
        <v>3014.1</v>
      </c>
      <c r="Z194">
        <v>3062</v>
      </c>
      <c r="AA194">
        <v>3105.6</v>
      </c>
      <c r="AB194">
        <v>3071.7</v>
      </c>
      <c r="AC194" t="s">
        <v>73</v>
      </c>
      <c r="AD194" t="s">
        <v>73</v>
      </c>
    </row>
    <row r="195" spans="1:30" x14ac:dyDescent="0.3">
      <c r="A195" t="s">
        <v>560</v>
      </c>
      <c r="B195" s="5" t="s">
        <v>561</v>
      </c>
      <c r="C195" t="s">
        <v>413</v>
      </c>
      <c r="D195" s="5" t="s">
        <v>414</v>
      </c>
      <c r="E195">
        <v>1936.8</v>
      </c>
      <c r="F195">
        <v>1338.7</v>
      </c>
      <c r="G195">
        <v>1667.2</v>
      </c>
      <c r="H195">
        <v>1443.4</v>
      </c>
      <c r="I195">
        <v>1562.7</v>
      </c>
      <c r="J195">
        <v>1541.9</v>
      </c>
      <c r="K195">
        <v>1503.4</v>
      </c>
      <c r="L195">
        <v>1276.0999999999999</v>
      </c>
      <c r="M195">
        <v>1442.7</v>
      </c>
      <c r="N195">
        <v>2315.5</v>
      </c>
      <c r="O195">
        <v>2451.4</v>
      </c>
      <c r="P195">
        <v>2586.1</v>
      </c>
      <c r="Q195">
        <v>2089.9</v>
      </c>
      <c r="R195">
        <v>2656.4</v>
      </c>
      <c r="S195">
        <v>2923.1</v>
      </c>
      <c r="T195">
        <v>2595.6999999999998</v>
      </c>
      <c r="U195">
        <v>2567.9</v>
      </c>
      <c r="V195">
        <v>2383.3000000000002</v>
      </c>
      <c r="W195">
        <v>2503.6</v>
      </c>
      <c r="X195">
        <v>2354.1999999999998</v>
      </c>
      <c r="Y195">
        <v>2658.5</v>
      </c>
      <c r="Z195">
        <v>1201.9000000000001</v>
      </c>
      <c r="AA195">
        <v>1943.8</v>
      </c>
      <c r="AB195">
        <v>2129.4</v>
      </c>
      <c r="AC195" t="s">
        <v>73</v>
      </c>
      <c r="AD195" t="s">
        <v>73</v>
      </c>
    </row>
    <row r="196" spans="1:30" x14ac:dyDescent="0.3">
      <c r="A196" t="s">
        <v>560</v>
      </c>
      <c r="B196" s="5" t="s">
        <v>561</v>
      </c>
      <c r="C196" t="s">
        <v>415</v>
      </c>
      <c r="D196" s="5" t="s">
        <v>416</v>
      </c>
      <c r="E196">
        <v>1058.3</v>
      </c>
      <c r="F196">
        <v>1150.3</v>
      </c>
      <c r="G196">
        <v>1131.0999999999999</v>
      </c>
      <c r="H196">
        <v>1154.7</v>
      </c>
      <c r="I196">
        <v>1094.8</v>
      </c>
      <c r="J196">
        <v>1132.5999999999999</v>
      </c>
      <c r="K196">
        <v>1130.7</v>
      </c>
      <c r="L196">
        <v>1121.5999999999999</v>
      </c>
      <c r="M196">
        <v>1144.4000000000001</v>
      </c>
      <c r="N196">
        <v>1242.9000000000001</v>
      </c>
      <c r="O196">
        <v>1187.4000000000001</v>
      </c>
      <c r="P196">
        <v>1226.3</v>
      </c>
      <c r="Q196">
        <v>1112.4000000000001</v>
      </c>
      <c r="R196">
        <v>1012.6</v>
      </c>
      <c r="S196">
        <v>1153.0999999999999</v>
      </c>
      <c r="T196">
        <v>1236.2</v>
      </c>
      <c r="U196">
        <v>1130.8</v>
      </c>
      <c r="V196">
        <v>1137.2</v>
      </c>
      <c r="W196">
        <v>1145.2</v>
      </c>
      <c r="X196">
        <v>1143</v>
      </c>
      <c r="Y196">
        <v>1150.3</v>
      </c>
      <c r="Z196">
        <v>1149.5</v>
      </c>
      <c r="AA196">
        <v>1167.8</v>
      </c>
      <c r="AB196">
        <v>1173.0999999999999</v>
      </c>
      <c r="AC196" t="s">
        <v>73</v>
      </c>
      <c r="AD196" t="s">
        <v>73</v>
      </c>
    </row>
    <row r="197" spans="1:30" x14ac:dyDescent="0.3">
      <c r="A197" t="s">
        <v>560</v>
      </c>
      <c r="B197" s="5" t="s">
        <v>561</v>
      </c>
      <c r="C197" t="s">
        <v>417</v>
      </c>
      <c r="D197" s="5" t="s">
        <v>418</v>
      </c>
      <c r="E197" t="s">
        <v>73</v>
      </c>
      <c r="F197" t="s">
        <v>73</v>
      </c>
      <c r="G197" t="s">
        <v>73</v>
      </c>
      <c r="H197" t="s">
        <v>73</v>
      </c>
      <c r="I197" t="s">
        <v>73</v>
      </c>
      <c r="J197" t="s">
        <v>73</v>
      </c>
      <c r="K197" t="s">
        <v>73</v>
      </c>
      <c r="L197" t="s">
        <v>73</v>
      </c>
      <c r="M197" t="s">
        <v>73</v>
      </c>
      <c r="N197" t="s">
        <v>73</v>
      </c>
      <c r="O197" t="s">
        <v>73</v>
      </c>
      <c r="P197" t="s">
        <v>73</v>
      </c>
      <c r="Q197" t="s">
        <v>73</v>
      </c>
      <c r="R197" t="s">
        <v>73</v>
      </c>
      <c r="S197" t="s">
        <v>73</v>
      </c>
      <c r="T197" t="s">
        <v>73</v>
      </c>
      <c r="U197" t="s">
        <v>73</v>
      </c>
      <c r="V197" t="s">
        <v>73</v>
      </c>
      <c r="W197" t="s">
        <v>73</v>
      </c>
      <c r="X197" t="s">
        <v>73</v>
      </c>
      <c r="Y197" t="s">
        <v>73</v>
      </c>
      <c r="Z197" t="s">
        <v>73</v>
      </c>
      <c r="AA197" t="s">
        <v>73</v>
      </c>
      <c r="AB197" t="s">
        <v>73</v>
      </c>
      <c r="AC197" t="s">
        <v>73</v>
      </c>
      <c r="AD197" t="s">
        <v>73</v>
      </c>
    </row>
    <row r="198" spans="1:30" x14ac:dyDescent="0.3">
      <c r="A198" t="s">
        <v>560</v>
      </c>
      <c r="B198" s="5" t="s">
        <v>561</v>
      </c>
      <c r="C198" t="s">
        <v>419</v>
      </c>
      <c r="D198" s="5" t="s">
        <v>420</v>
      </c>
      <c r="E198">
        <v>2277.3000000000002</v>
      </c>
      <c r="F198">
        <v>1449.4</v>
      </c>
      <c r="G198">
        <v>1669.3</v>
      </c>
      <c r="H198">
        <v>1532.7</v>
      </c>
      <c r="I198">
        <v>1573.3</v>
      </c>
      <c r="J198">
        <v>1555.2</v>
      </c>
      <c r="K198">
        <v>1478.4</v>
      </c>
      <c r="L198">
        <v>1673.8</v>
      </c>
      <c r="M198">
        <v>1724.5</v>
      </c>
      <c r="N198">
        <v>1657.5</v>
      </c>
      <c r="O198">
        <v>1667.4</v>
      </c>
      <c r="P198">
        <v>1639.5</v>
      </c>
      <c r="Q198">
        <v>1471.7</v>
      </c>
      <c r="R198">
        <v>1610.5</v>
      </c>
      <c r="S198">
        <v>1329.4</v>
      </c>
      <c r="T198">
        <v>1110.4000000000001</v>
      </c>
      <c r="U198">
        <v>1444.3</v>
      </c>
      <c r="V198">
        <v>1627.5</v>
      </c>
      <c r="W198">
        <v>1688.1</v>
      </c>
      <c r="X198">
        <v>1554</v>
      </c>
      <c r="Y198">
        <v>1515.4</v>
      </c>
      <c r="Z198">
        <v>1594.1</v>
      </c>
      <c r="AA198">
        <v>1639.3</v>
      </c>
      <c r="AB198">
        <v>1600.3</v>
      </c>
      <c r="AC198" t="s">
        <v>73</v>
      </c>
      <c r="AD198" t="s">
        <v>73</v>
      </c>
    </row>
    <row r="199" spans="1:30" x14ac:dyDescent="0.3">
      <c r="A199" t="s">
        <v>560</v>
      </c>
      <c r="B199" s="5" t="s">
        <v>561</v>
      </c>
      <c r="C199" t="s">
        <v>421</v>
      </c>
      <c r="D199" s="5" t="s">
        <v>422</v>
      </c>
      <c r="E199">
        <v>984.5</v>
      </c>
      <c r="F199">
        <v>1715.3</v>
      </c>
      <c r="G199">
        <v>1233.7</v>
      </c>
      <c r="H199">
        <v>1515.5</v>
      </c>
      <c r="I199">
        <v>1309.5999999999999</v>
      </c>
      <c r="J199">
        <v>1442.8</v>
      </c>
      <c r="K199">
        <v>1256.0999999999999</v>
      </c>
      <c r="L199">
        <v>1622.5</v>
      </c>
      <c r="M199">
        <v>1467.3</v>
      </c>
      <c r="N199">
        <v>1877.6</v>
      </c>
      <c r="O199">
        <v>1694.1</v>
      </c>
      <c r="P199">
        <v>1710.8</v>
      </c>
      <c r="Q199">
        <v>1674.3</v>
      </c>
      <c r="R199">
        <v>1136.2</v>
      </c>
      <c r="S199">
        <v>1805.8</v>
      </c>
      <c r="T199">
        <v>1102.7</v>
      </c>
      <c r="U199">
        <v>1541.2</v>
      </c>
      <c r="V199">
        <v>1304</v>
      </c>
      <c r="W199">
        <v>1223.4000000000001</v>
      </c>
      <c r="X199">
        <v>1946.8</v>
      </c>
      <c r="Y199">
        <v>1324.6</v>
      </c>
      <c r="Z199">
        <v>1452</v>
      </c>
      <c r="AA199">
        <v>1640.7</v>
      </c>
      <c r="AB199">
        <v>1152.4000000000001</v>
      </c>
      <c r="AC199" t="s">
        <v>73</v>
      </c>
      <c r="AD199" t="s">
        <v>73</v>
      </c>
    </row>
    <row r="200" spans="1:30" x14ac:dyDescent="0.3">
      <c r="A200" t="s">
        <v>560</v>
      </c>
      <c r="B200" s="5" t="s">
        <v>561</v>
      </c>
      <c r="C200" t="s">
        <v>423</v>
      </c>
      <c r="D200" s="5" t="s">
        <v>424</v>
      </c>
      <c r="E200">
        <v>2370.6</v>
      </c>
      <c r="F200">
        <v>2178.3000000000002</v>
      </c>
      <c r="G200">
        <v>2242</v>
      </c>
      <c r="H200">
        <v>2308.6</v>
      </c>
      <c r="I200">
        <v>2477.9</v>
      </c>
      <c r="J200">
        <v>2634.5</v>
      </c>
      <c r="K200">
        <v>2661.9</v>
      </c>
      <c r="L200">
        <v>2410.1999999999998</v>
      </c>
      <c r="M200">
        <v>2601.3000000000002</v>
      </c>
      <c r="N200">
        <v>2807.8</v>
      </c>
      <c r="O200">
        <v>2725.6</v>
      </c>
      <c r="P200">
        <v>2970</v>
      </c>
      <c r="Q200">
        <v>2958.4</v>
      </c>
      <c r="R200">
        <v>3256.9</v>
      </c>
      <c r="S200">
        <v>2832.1</v>
      </c>
      <c r="T200">
        <v>3307.8</v>
      </c>
      <c r="U200">
        <v>3105.4</v>
      </c>
      <c r="V200">
        <v>3257.4</v>
      </c>
      <c r="W200">
        <v>3163.9</v>
      </c>
      <c r="X200">
        <v>3200.8</v>
      </c>
      <c r="Y200">
        <v>3341.5</v>
      </c>
      <c r="Z200">
        <v>2918.5</v>
      </c>
      <c r="AA200">
        <v>3464.7</v>
      </c>
      <c r="AB200">
        <v>3659.1</v>
      </c>
      <c r="AC200" t="s">
        <v>73</v>
      </c>
      <c r="AD200" t="s">
        <v>73</v>
      </c>
    </row>
    <row r="201" spans="1:30" x14ac:dyDescent="0.3">
      <c r="A201" t="s">
        <v>560</v>
      </c>
      <c r="B201" s="5" t="s">
        <v>561</v>
      </c>
      <c r="C201" t="s">
        <v>425</v>
      </c>
      <c r="D201" s="5" t="s">
        <v>426</v>
      </c>
      <c r="E201">
        <v>2122.4</v>
      </c>
      <c r="F201">
        <v>2319</v>
      </c>
      <c r="G201">
        <v>2921.1</v>
      </c>
      <c r="H201">
        <v>2769.5</v>
      </c>
      <c r="I201">
        <v>2931.6</v>
      </c>
      <c r="J201">
        <v>2926.7</v>
      </c>
      <c r="K201">
        <v>3288.4</v>
      </c>
      <c r="L201">
        <v>1300</v>
      </c>
      <c r="M201">
        <v>1100</v>
      </c>
      <c r="N201">
        <v>1600</v>
      </c>
      <c r="O201">
        <v>1700</v>
      </c>
      <c r="P201">
        <v>1366</v>
      </c>
      <c r="Q201">
        <v>1490.8</v>
      </c>
      <c r="R201">
        <v>1643.1</v>
      </c>
      <c r="S201">
        <v>1738.3</v>
      </c>
      <c r="T201">
        <v>1909.5</v>
      </c>
      <c r="U201">
        <v>1880.2</v>
      </c>
      <c r="V201">
        <v>1843.8</v>
      </c>
      <c r="W201">
        <v>1496.8</v>
      </c>
      <c r="X201">
        <v>2214.1</v>
      </c>
      <c r="Y201">
        <v>2191.4</v>
      </c>
      <c r="Z201">
        <v>2121.4</v>
      </c>
      <c r="AA201">
        <v>1892.4</v>
      </c>
      <c r="AB201">
        <v>1834.2</v>
      </c>
      <c r="AC201" t="s">
        <v>73</v>
      </c>
      <c r="AD201" t="s">
        <v>73</v>
      </c>
    </row>
    <row r="202" spans="1:30" x14ac:dyDescent="0.3">
      <c r="A202" t="s">
        <v>560</v>
      </c>
      <c r="B202" s="5" t="s">
        <v>561</v>
      </c>
      <c r="C202" t="s">
        <v>427</v>
      </c>
      <c r="D202" s="5" t="s">
        <v>428</v>
      </c>
      <c r="E202" t="s">
        <v>73</v>
      </c>
      <c r="F202" t="s">
        <v>73</v>
      </c>
      <c r="G202" t="s">
        <v>73</v>
      </c>
      <c r="H202" t="s">
        <v>73</v>
      </c>
      <c r="I202" t="s">
        <v>73</v>
      </c>
      <c r="J202" t="s">
        <v>73</v>
      </c>
      <c r="K202" t="s">
        <v>73</v>
      </c>
      <c r="L202" t="s">
        <v>73</v>
      </c>
      <c r="M202" t="s">
        <v>73</v>
      </c>
      <c r="N202" t="s">
        <v>73</v>
      </c>
      <c r="O202" t="s">
        <v>73</v>
      </c>
      <c r="P202" t="s">
        <v>73</v>
      </c>
      <c r="Q202" t="s">
        <v>73</v>
      </c>
      <c r="R202" t="s">
        <v>73</v>
      </c>
      <c r="S202" t="s">
        <v>73</v>
      </c>
      <c r="T202" t="s">
        <v>73</v>
      </c>
      <c r="U202" t="s">
        <v>73</v>
      </c>
      <c r="V202" t="s">
        <v>73</v>
      </c>
      <c r="W202" t="s">
        <v>73</v>
      </c>
      <c r="X202" t="s">
        <v>73</v>
      </c>
      <c r="Y202" t="s">
        <v>73</v>
      </c>
      <c r="Z202" t="s">
        <v>73</v>
      </c>
      <c r="AA202" t="s">
        <v>73</v>
      </c>
      <c r="AB202" t="s">
        <v>73</v>
      </c>
      <c r="AC202" t="s">
        <v>73</v>
      </c>
      <c r="AD202" t="s">
        <v>73</v>
      </c>
    </row>
    <row r="203" spans="1:30" x14ac:dyDescent="0.3">
      <c r="A203" t="s">
        <v>560</v>
      </c>
      <c r="B203" s="5" t="s">
        <v>561</v>
      </c>
      <c r="C203" t="s">
        <v>429</v>
      </c>
      <c r="D203" s="5" t="s">
        <v>430</v>
      </c>
      <c r="E203" t="s">
        <v>73</v>
      </c>
      <c r="F203" t="s">
        <v>73</v>
      </c>
      <c r="G203" t="s">
        <v>73</v>
      </c>
      <c r="H203" t="s">
        <v>73</v>
      </c>
      <c r="I203" t="s">
        <v>73</v>
      </c>
      <c r="J203" t="s">
        <v>73</v>
      </c>
      <c r="K203" t="s">
        <v>73</v>
      </c>
      <c r="L203" t="s">
        <v>73</v>
      </c>
      <c r="M203" t="s">
        <v>73</v>
      </c>
      <c r="N203" t="s">
        <v>73</v>
      </c>
      <c r="O203" t="s">
        <v>73</v>
      </c>
      <c r="P203" t="s">
        <v>73</v>
      </c>
      <c r="Q203" t="s">
        <v>73</v>
      </c>
      <c r="R203" t="s">
        <v>73</v>
      </c>
      <c r="S203" t="s">
        <v>73</v>
      </c>
      <c r="T203" t="s">
        <v>73</v>
      </c>
      <c r="U203" t="s">
        <v>73</v>
      </c>
      <c r="V203" t="s">
        <v>73</v>
      </c>
      <c r="W203" t="s">
        <v>73</v>
      </c>
      <c r="X203" t="s">
        <v>73</v>
      </c>
      <c r="Y203" t="s">
        <v>73</v>
      </c>
      <c r="Z203" t="s">
        <v>73</v>
      </c>
      <c r="AA203" t="s">
        <v>73</v>
      </c>
      <c r="AB203" t="s">
        <v>73</v>
      </c>
      <c r="AC203" t="s">
        <v>73</v>
      </c>
      <c r="AD203" t="s">
        <v>73</v>
      </c>
    </row>
    <row r="204" spans="1:30" x14ac:dyDescent="0.3">
      <c r="A204" t="s">
        <v>560</v>
      </c>
      <c r="B204" s="5" t="s">
        <v>561</v>
      </c>
      <c r="C204" t="s">
        <v>431</v>
      </c>
      <c r="D204" s="5" t="s">
        <v>432</v>
      </c>
      <c r="E204">
        <v>1539.4</v>
      </c>
      <c r="F204">
        <v>1641.1</v>
      </c>
      <c r="G204">
        <v>1638.8</v>
      </c>
      <c r="H204">
        <v>1677.6</v>
      </c>
      <c r="I204">
        <v>1468</v>
      </c>
      <c r="J204">
        <v>1573.8</v>
      </c>
      <c r="K204">
        <v>1522.9</v>
      </c>
      <c r="L204">
        <v>1526</v>
      </c>
      <c r="M204">
        <v>1827.7</v>
      </c>
      <c r="N204">
        <v>2038.6</v>
      </c>
      <c r="O204">
        <v>1978.5</v>
      </c>
      <c r="P204">
        <v>2056.9</v>
      </c>
      <c r="Q204">
        <v>2029.1</v>
      </c>
      <c r="R204">
        <v>1997.5</v>
      </c>
      <c r="S204">
        <v>2080.6</v>
      </c>
      <c r="T204">
        <v>2086.8000000000002</v>
      </c>
      <c r="U204">
        <v>1880.5</v>
      </c>
      <c r="V204">
        <v>1704</v>
      </c>
      <c r="W204">
        <v>1338</v>
      </c>
      <c r="X204">
        <v>1401.1</v>
      </c>
      <c r="Y204">
        <v>1618.4</v>
      </c>
      <c r="Z204">
        <v>1907.7</v>
      </c>
      <c r="AA204">
        <v>1963.9</v>
      </c>
      <c r="AB204">
        <v>2086.4</v>
      </c>
      <c r="AC204" t="s">
        <v>73</v>
      </c>
      <c r="AD204" t="s">
        <v>73</v>
      </c>
    </row>
    <row r="205" spans="1:30" x14ac:dyDescent="0.3">
      <c r="A205" t="s">
        <v>560</v>
      </c>
      <c r="B205" s="5" t="s">
        <v>561</v>
      </c>
      <c r="C205" t="s">
        <v>433</v>
      </c>
      <c r="D205" s="5" t="s">
        <v>434</v>
      </c>
      <c r="E205">
        <v>1950.8</v>
      </c>
      <c r="F205">
        <v>2729.5</v>
      </c>
      <c r="G205">
        <v>2752.2</v>
      </c>
      <c r="H205">
        <v>2278.4</v>
      </c>
      <c r="I205">
        <v>2845.2</v>
      </c>
      <c r="J205">
        <v>2623</v>
      </c>
      <c r="K205">
        <v>2427.6999999999998</v>
      </c>
      <c r="L205">
        <v>2206.6999999999998</v>
      </c>
      <c r="M205">
        <v>3486.9</v>
      </c>
      <c r="N205">
        <v>3003.8</v>
      </c>
      <c r="O205">
        <v>2726.6</v>
      </c>
      <c r="P205">
        <v>3753.7</v>
      </c>
      <c r="Q205">
        <v>3156.8</v>
      </c>
      <c r="R205">
        <v>4030.8</v>
      </c>
      <c r="S205">
        <v>4400.2</v>
      </c>
      <c r="T205">
        <v>4140.8999999999996</v>
      </c>
      <c r="U205">
        <v>4651.6000000000004</v>
      </c>
      <c r="V205">
        <v>4314.6000000000004</v>
      </c>
      <c r="W205">
        <v>4850.3</v>
      </c>
      <c r="X205">
        <v>4978.3</v>
      </c>
      <c r="Y205">
        <v>4295.5</v>
      </c>
      <c r="Z205">
        <v>5454.6</v>
      </c>
      <c r="AA205">
        <v>4614.1000000000004</v>
      </c>
      <c r="AB205">
        <v>5577.1</v>
      </c>
      <c r="AC205" t="s">
        <v>73</v>
      </c>
      <c r="AD205" t="s">
        <v>73</v>
      </c>
    </row>
    <row r="206" spans="1:30" x14ac:dyDescent="0.3">
      <c r="A206" t="s">
        <v>560</v>
      </c>
      <c r="B206" s="5" t="s">
        <v>561</v>
      </c>
      <c r="C206" t="s">
        <v>43</v>
      </c>
      <c r="D206" s="5" t="s">
        <v>435</v>
      </c>
      <c r="E206">
        <v>17504.7</v>
      </c>
      <c r="F206">
        <v>17476.900000000001</v>
      </c>
      <c r="G206">
        <v>18064.599999999999</v>
      </c>
      <c r="H206">
        <v>20927.8</v>
      </c>
      <c r="I206">
        <v>20373.599999999999</v>
      </c>
      <c r="J206">
        <v>20215.2</v>
      </c>
      <c r="K206">
        <v>20900.8</v>
      </c>
      <c r="L206">
        <v>21428.6</v>
      </c>
      <c r="M206">
        <v>22265.9</v>
      </c>
      <c r="N206">
        <v>24716.6</v>
      </c>
      <c r="O206">
        <v>18069.8</v>
      </c>
      <c r="P206">
        <v>24064.3</v>
      </c>
      <c r="Q206">
        <v>12112.2</v>
      </c>
      <c r="R206">
        <v>36761.9</v>
      </c>
      <c r="S206">
        <v>14238.4</v>
      </c>
      <c r="T206">
        <v>35291.300000000003</v>
      </c>
      <c r="U206">
        <v>33396.5</v>
      </c>
      <c r="V206">
        <v>30801.8</v>
      </c>
      <c r="W206">
        <v>20853.3</v>
      </c>
      <c r="X206">
        <v>23842.3</v>
      </c>
      <c r="Y206">
        <v>18982.7</v>
      </c>
      <c r="Z206">
        <v>19809.2</v>
      </c>
      <c r="AA206">
        <v>20369.8</v>
      </c>
      <c r="AB206">
        <v>23306.5</v>
      </c>
      <c r="AC206" t="s">
        <v>73</v>
      </c>
      <c r="AD206" t="s">
        <v>73</v>
      </c>
    </row>
    <row r="207" spans="1:30" x14ac:dyDescent="0.3">
      <c r="A207" t="s">
        <v>560</v>
      </c>
      <c r="B207" s="5" t="s">
        <v>561</v>
      </c>
      <c r="C207" t="s">
        <v>436</v>
      </c>
      <c r="D207" s="5" t="s">
        <v>437</v>
      </c>
      <c r="E207">
        <v>7164.8</v>
      </c>
      <c r="F207">
        <v>6291.1</v>
      </c>
      <c r="G207">
        <v>7076.9</v>
      </c>
      <c r="H207">
        <v>7032.8</v>
      </c>
      <c r="I207">
        <v>7031.8</v>
      </c>
      <c r="J207">
        <v>7196.5</v>
      </c>
      <c r="K207">
        <v>7278.6</v>
      </c>
      <c r="L207">
        <v>6632.3</v>
      </c>
      <c r="M207">
        <v>7420.2</v>
      </c>
      <c r="N207">
        <v>7029.6</v>
      </c>
      <c r="O207">
        <v>6953</v>
      </c>
      <c r="P207">
        <v>6984.7</v>
      </c>
      <c r="Q207">
        <v>6215.1</v>
      </c>
      <c r="R207">
        <v>6631.6</v>
      </c>
      <c r="S207">
        <v>7696.5</v>
      </c>
      <c r="T207">
        <v>7980.9</v>
      </c>
      <c r="U207">
        <v>7022.6</v>
      </c>
      <c r="V207">
        <v>7229</v>
      </c>
      <c r="W207">
        <v>6788.7</v>
      </c>
      <c r="X207">
        <v>7946</v>
      </c>
      <c r="Y207">
        <v>6241</v>
      </c>
      <c r="Z207">
        <v>6966.8</v>
      </c>
      <c r="AA207">
        <v>7720.1</v>
      </c>
      <c r="AB207">
        <v>7137.9</v>
      </c>
      <c r="AC207" t="s">
        <v>73</v>
      </c>
      <c r="AD207" t="s">
        <v>73</v>
      </c>
    </row>
    <row r="208" spans="1:30" x14ac:dyDescent="0.3">
      <c r="A208" t="s">
        <v>560</v>
      </c>
      <c r="B208" s="5" t="s">
        <v>561</v>
      </c>
      <c r="C208" t="s">
        <v>45</v>
      </c>
      <c r="D208" s="5" t="s">
        <v>438</v>
      </c>
      <c r="E208">
        <v>5854.3</v>
      </c>
      <c r="F208">
        <v>5891.1</v>
      </c>
      <c r="G208">
        <v>5546.8</v>
      </c>
      <c r="H208">
        <v>6023.7</v>
      </c>
      <c r="I208">
        <v>6851.1</v>
      </c>
      <c r="J208">
        <v>6450.7</v>
      </c>
      <c r="K208">
        <v>6400.4</v>
      </c>
      <c r="L208">
        <v>6704.4</v>
      </c>
      <c r="M208">
        <v>6598.3</v>
      </c>
      <c r="N208">
        <v>7226.2</v>
      </c>
      <c r="O208">
        <v>6978.1</v>
      </c>
      <c r="P208">
        <v>6803.5</v>
      </c>
      <c r="Q208">
        <v>5911.9</v>
      </c>
      <c r="R208">
        <v>7300.9</v>
      </c>
      <c r="S208">
        <v>7638.1</v>
      </c>
      <c r="T208">
        <v>7430.1</v>
      </c>
      <c r="U208">
        <v>8614.2000000000007</v>
      </c>
      <c r="V208">
        <v>8281.2999999999993</v>
      </c>
      <c r="W208">
        <v>8196</v>
      </c>
      <c r="X208">
        <v>8005.5</v>
      </c>
      <c r="Y208">
        <v>8144.7</v>
      </c>
      <c r="Z208">
        <v>8246.2000000000007</v>
      </c>
      <c r="AA208">
        <v>8065.5</v>
      </c>
      <c r="AB208">
        <v>8329.7000000000007</v>
      </c>
      <c r="AC208" t="s">
        <v>73</v>
      </c>
      <c r="AD208" t="s">
        <v>73</v>
      </c>
    </row>
    <row r="209" spans="1:30" x14ac:dyDescent="0.3">
      <c r="A209" t="s">
        <v>560</v>
      </c>
      <c r="B209" s="5" t="s">
        <v>561</v>
      </c>
      <c r="C209" t="s">
        <v>439</v>
      </c>
      <c r="D209" s="5" t="s">
        <v>440</v>
      </c>
      <c r="E209">
        <v>3892</v>
      </c>
      <c r="F209">
        <v>3338.6</v>
      </c>
      <c r="G209">
        <v>3467.4</v>
      </c>
      <c r="H209">
        <v>3504</v>
      </c>
      <c r="I209">
        <v>4409.7</v>
      </c>
      <c r="J209">
        <v>4339.8999999999996</v>
      </c>
      <c r="K209">
        <v>4493.5</v>
      </c>
      <c r="L209">
        <v>4347.2</v>
      </c>
      <c r="M209">
        <v>4324.6000000000004</v>
      </c>
      <c r="N209">
        <v>3884.9</v>
      </c>
      <c r="O209">
        <v>4176.3999999999996</v>
      </c>
      <c r="P209">
        <v>4410.8999999999996</v>
      </c>
      <c r="Q209">
        <v>4070.5</v>
      </c>
      <c r="R209">
        <v>3766.2</v>
      </c>
      <c r="S209">
        <v>4351.8</v>
      </c>
      <c r="T209">
        <v>4142.8999999999996</v>
      </c>
      <c r="U209">
        <v>4766.7</v>
      </c>
      <c r="V209">
        <v>5056.6000000000004</v>
      </c>
      <c r="W209">
        <v>3941.1</v>
      </c>
      <c r="X209">
        <v>5329.4</v>
      </c>
      <c r="Y209">
        <v>4964</v>
      </c>
      <c r="Z209">
        <v>5497.7</v>
      </c>
      <c r="AA209">
        <v>5299</v>
      </c>
      <c r="AB209">
        <v>4593.8</v>
      </c>
      <c r="AC209" t="s">
        <v>73</v>
      </c>
      <c r="AD209" t="s">
        <v>73</v>
      </c>
    </row>
    <row r="210" spans="1:30" x14ac:dyDescent="0.3">
      <c r="A210" t="s">
        <v>560</v>
      </c>
      <c r="B210" s="5" t="s">
        <v>561</v>
      </c>
      <c r="C210" t="s">
        <v>441</v>
      </c>
      <c r="D210" s="5" t="s">
        <v>442</v>
      </c>
      <c r="E210">
        <v>2684.3</v>
      </c>
      <c r="F210">
        <v>3042.9</v>
      </c>
      <c r="G210">
        <v>3765.9</v>
      </c>
      <c r="H210">
        <v>3522.4</v>
      </c>
      <c r="I210">
        <v>3596.1</v>
      </c>
      <c r="J210">
        <v>4042.1</v>
      </c>
      <c r="K210">
        <v>4103.2</v>
      </c>
      <c r="L210">
        <v>4396.8999999999996</v>
      </c>
      <c r="M210">
        <v>4285.3</v>
      </c>
      <c r="N210">
        <v>4553.1000000000004</v>
      </c>
      <c r="O210">
        <v>4434.2</v>
      </c>
      <c r="P210">
        <v>4414.5</v>
      </c>
      <c r="Q210">
        <v>4597.8999999999996</v>
      </c>
      <c r="R210">
        <v>4746.3999999999996</v>
      </c>
      <c r="S210">
        <v>4806.6000000000004</v>
      </c>
      <c r="T210">
        <v>4835.2</v>
      </c>
      <c r="U210">
        <v>4827</v>
      </c>
      <c r="V210">
        <v>4298.2</v>
      </c>
      <c r="W210">
        <v>4103.8999999999996</v>
      </c>
      <c r="X210">
        <v>4554</v>
      </c>
      <c r="Y210">
        <v>4510.8</v>
      </c>
      <c r="Z210">
        <v>4774.3999999999996</v>
      </c>
      <c r="AA210">
        <v>5007.8</v>
      </c>
      <c r="AB210">
        <v>5343.6</v>
      </c>
      <c r="AC210" t="s">
        <v>73</v>
      </c>
      <c r="AD210" t="s">
        <v>73</v>
      </c>
    </row>
    <row r="211" spans="1:30" x14ac:dyDescent="0.3">
      <c r="A211" t="s">
        <v>560</v>
      </c>
      <c r="B211" s="5" t="s">
        <v>561</v>
      </c>
      <c r="C211" t="s">
        <v>443</v>
      </c>
      <c r="D211" s="5" t="s">
        <v>444</v>
      </c>
      <c r="E211">
        <v>514.79999999999995</v>
      </c>
      <c r="F211">
        <v>520.5</v>
      </c>
      <c r="G211">
        <v>526.20000000000005</v>
      </c>
      <c r="H211">
        <v>531.79999999999995</v>
      </c>
      <c r="I211">
        <v>532.4</v>
      </c>
      <c r="J211">
        <v>531</v>
      </c>
      <c r="K211">
        <v>535.70000000000005</v>
      </c>
      <c r="L211">
        <v>551.70000000000005</v>
      </c>
      <c r="M211">
        <v>546.70000000000005</v>
      </c>
      <c r="N211">
        <v>558.1</v>
      </c>
      <c r="O211">
        <v>563.6</v>
      </c>
      <c r="P211">
        <v>570.79999999999995</v>
      </c>
      <c r="Q211">
        <v>571.4</v>
      </c>
      <c r="R211">
        <v>633.29999999999995</v>
      </c>
      <c r="S211">
        <v>615.79999999999995</v>
      </c>
      <c r="T211">
        <v>600.79999999999995</v>
      </c>
      <c r="U211">
        <v>601.79999999999995</v>
      </c>
      <c r="V211">
        <v>606.79999999999995</v>
      </c>
      <c r="W211">
        <v>613.1</v>
      </c>
      <c r="X211">
        <v>619.79999999999995</v>
      </c>
      <c r="Y211">
        <v>623.20000000000005</v>
      </c>
      <c r="Z211">
        <v>625.4</v>
      </c>
      <c r="AA211">
        <v>629.29999999999995</v>
      </c>
      <c r="AB211">
        <v>633.20000000000005</v>
      </c>
      <c r="AC211" t="s">
        <v>73</v>
      </c>
      <c r="AD211" t="s">
        <v>73</v>
      </c>
    </row>
    <row r="212" spans="1:30" x14ac:dyDescent="0.3">
      <c r="A212" t="s">
        <v>560</v>
      </c>
      <c r="B212" s="5" t="s">
        <v>561</v>
      </c>
      <c r="C212" t="s">
        <v>445</v>
      </c>
      <c r="D212" s="5" t="s">
        <v>446</v>
      </c>
      <c r="E212">
        <v>3247.9</v>
      </c>
      <c r="F212">
        <v>3308.6</v>
      </c>
      <c r="G212">
        <v>3184.8</v>
      </c>
      <c r="H212">
        <v>3210.6</v>
      </c>
      <c r="I212">
        <v>3385.8</v>
      </c>
      <c r="J212">
        <v>3353.8</v>
      </c>
      <c r="K212">
        <v>3415.7</v>
      </c>
      <c r="L212">
        <v>3594.4</v>
      </c>
      <c r="M212">
        <v>3428.4</v>
      </c>
      <c r="N212">
        <v>3171.6</v>
      </c>
      <c r="O212">
        <v>3576</v>
      </c>
      <c r="P212">
        <v>3461.1</v>
      </c>
      <c r="Q212">
        <v>3760.2</v>
      </c>
      <c r="R212">
        <v>4007.3</v>
      </c>
      <c r="S212">
        <v>4040.7</v>
      </c>
      <c r="T212">
        <v>3505.7</v>
      </c>
      <c r="U212">
        <v>3458.2</v>
      </c>
      <c r="V212">
        <v>3122.7</v>
      </c>
      <c r="W212">
        <v>2883.3</v>
      </c>
      <c r="X212">
        <v>3132.6</v>
      </c>
      <c r="Y212">
        <v>4034.8</v>
      </c>
      <c r="Z212">
        <v>3942</v>
      </c>
      <c r="AA212">
        <v>3526.9</v>
      </c>
      <c r="AB212">
        <v>4079.9</v>
      </c>
      <c r="AC212" t="s">
        <v>73</v>
      </c>
      <c r="AD212" t="s">
        <v>73</v>
      </c>
    </row>
    <row r="213" spans="1:30" x14ac:dyDescent="0.3">
      <c r="A213" t="s">
        <v>560</v>
      </c>
      <c r="B213" s="5" t="s">
        <v>561</v>
      </c>
      <c r="C213" t="s">
        <v>447</v>
      </c>
      <c r="D213" s="5" t="s">
        <v>448</v>
      </c>
      <c r="E213">
        <v>4112.3999999999996</v>
      </c>
      <c r="F213">
        <v>4167.3</v>
      </c>
      <c r="G213">
        <v>4440.8999999999996</v>
      </c>
      <c r="H213">
        <v>4506.7</v>
      </c>
      <c r="I213">
        <v>4690.8999999999996</v>
      </c>
      <c r="J213">
        <v>4726.2</v>
      </c>
      <c r="K213">
        <v>4749.8</v>
      </c>
      <c r="L213">
        <v>4846.2</v>
      </c>
      <c r="M213">
        <v>4897.6000000000004</v>
      </c>
      <c r="N213">
        <v>5080.3</v>
      </c>
      <c r="O213">
        <v>5177.5</v>
      </c>
      <c r="P213">
        <v>5381.2</v>
      </c>
      <c r="Q213">
        <v>5462</v>
      </c>
      <c r="R213">
        <v>5425.5</v>
      </c>
      <c r="S213">
        <v>5577.8</v>
      </c>
      <c r="T213">
        <v>5601.2</v>
      </c>
      <c r="U213">
        <v>5441</v>
      </c>
      <c r="V213">
        <v>5434.4</v>
      </c>
      <c r="W213">
        <v>5685.4</v>
      </c>
      <c r="X213">
        <v>5715.8</v>
      </c>
      <c r="Y213">
        <v>5797.3</v>
      </c>
      <c r="Z213">
        <v>5947.1</v>
      </c>
      <c r="AA213">
        <v>5903.9</v>
      </c>
      <c r="AB213">
        <v>5995.3</v>
      </c>
      <c r="AC213" t="s">
        <v>73</v>
      </c>
      <c r="AD213" t="s">
        <v>73</v>
      </c>
    </row>
    <row r="214" spans="1:30" x14ac:dyDescent="0.3">
      <c r="A214" t="s">
        <v>560</v>
      </c>
      <c r="B214" s="5" t="s">
        <v>561</v>
      </c>
      <c r="C214" t="s">
        <v>449</v>
      </c>
      <c r="D214" s="5" t="s">
        <v>450</v>
      </c>
      <c r="E214" t="s">
        <v>73</v>
      </c>
      <c r="F214" t="s">
        <v>73</v>
      </c>
      <c r="G214" t="s">
        <v>73</v>
      </c>
      <c r="H214" t="s">
        <v>73</v>
      </c>
      <c r="I214" t="s">
        <v>73</v>
      </c>
      <c r="J214" t="s">
        <v>73</v>
      </c>
      <c r="K214" t="s">
        <v>73</v>
      </c>
      <c r="L214" t="s">
        <v>73</v>
      </c>
      <c r="M214" t="s">
        <v>73</v>
      </c>
      <c r="N214" t="s">
        <v>73</v>
      </c>
      <c r="O214" t="s">
        <v>73</v>
      </c>
      <c r="P214" t="s">
        <v>73</v>
      </c>
      <c r="Q214" t="s">
        <v>73</v>
      </c>
      <c r="R214" t="s">
        <v>73</v>
      </c>
      <c r="S214" t="s">
        <v>73</v>
      </c>
      <c r="T214" t="s">
        <v>73</v>
      </c>
      <c r="U214" t="s">
        <v>73</v>
      </c>
      <c r="V214" t="s">
        <v>73</v>
      </c>
      <c r="W214" t="s">
        <v>73</v>
      </c>
      <c r="X214" t="s">
        <v>73</v>
      </c>
      <c r="Y214" t="s">
        <v>73</v>
      </c>
      <c r="Z214" t="s">
        <v>73</v>
      </c>
      <c r="AA214" t="s">
        <v>73</v>
      </c>
      <c r="AB214" t="s">
        <v>73</v>
      </c>
      <c r="AC214" t="s">
        <v>73</v>
      </c>
      <c r="AD214" t="s">
        <v>73</v>
      </c>
    </row>
    <row r="215" spans="1:30" x14ac:dyDescent="0.3">
      <c r="A215" t="s">
        <v>560</v>
      </c>
      <c r="B215" s="5" t="s">
        <v>561</v>
      </c>
      <c r="C215" t="s">
        <v>451</v>
      </c>
      <c r="D215" s="5" t="s">
        <v>452</v>
      </c>
      <c r="E215">
        <v>2184.6</v>
      </c>
      <c r="F215">
        <v>1277</v>
      </c>
      <c r="G215">
        <v>2296.6999999999998</v>
      </c>
      <c r="H215">
        <v>2053.6</v>
      </c>
      <c r="I215">
        <v>1930.3</v>
      </c>
      <c r="J215">
        <v>2094.1</v>
      </c>
      <c r="K215">
        <v>1712.4</v>
      </c>
      <c r="L215">
        <v>1749.5</v>
      </c>
      <c r="M215">
        <v>1240.8</v>
      </c>
      <c r="N215">
        <v>1214.2</v>
      </c>
      <c r="O215">
        <v>1860.8</v>
      </c>
      <c r="P215">
        <v>1580.6</v>
      </c>
      <c r="Q215">
        <v>1955.8</v>
      </c>
      <c r="R215">
        <v>2182.6999999999998</v>
      </c>
      <c r="S215">
        <v>2183.1</v>
      </c>
      <c r="T215">
        <v>2110.5</v>
      </c>
      <c r="U215">
        <v>2449.1</v>
      </c>
      <c r="V215">
        <v>2187.1</v>
      </c>
      <c r="W215">
        <v>2279.4</v>
      </c>
      <c r="X215">
        <v>2170.6</v>
      </c>
      <c r="Y215">
        <v>2222.9</v>
      </c>
      <c r="Z215">
        <v>2922.9</v>
      </c>
      <c r="AA215">
        <v>2528.6999999999998</v>
      </c>
      <c r="AB215">
        <v>2464.6999999999998</v>
      </c>
      <c r="AC215" t="s">
        <v>73</v>
      </c>
      <c r="AD215" t="s">
        <v>73</v>
      </c>
    </row>
    <row r="216" spans="1:30" x14ac:dyDescent="0.3">
      <c r="A216" t="s">
        <v>560</v>
      </c>
      <c r="B216" s="5" t="s">
        <v>561</v>
      </c>
      <c r="C216" t="s">
        <v>453</v>
      </c>
      <c r="D216" s="5" t="s">
        <v>454</v>
      </c>
      <c r="E216">
        <v>1085</v>
      </c>
      <c r="F216">
        <v>1064.3</v>
      </c>
      <c r="G216">
        <v>943.8</v>
      </c>
      <c r="H216">
        <v>785.2</v>
      </c>
      <c r="I216">
        <v>715.2</v>
      </c>
      <c r="J216">
        <v>713.1</v>
      </c>
      <c r="K216">
        <v>930.2</v>
      </c>
      <c r="L216">
        <v>1019.5</v>
      </c>
      <c r="M216">
        <v>939.1</v>
      </c>
      <c r="N216">
        <v>995.2</v>
      </c>
      <c r="O216">
        <v>1092.4000000000001</v>
      </c>
      <c r="P216">
        <v>1022.5</v>
      </c>
      <c r="Q216">
        <v>1064.4000000000001</v>
      </c>
      <c r="R216">
        <v>1008.2</v>
      </c>
      <c r="S216">
        <v>962.7</v>
      </c>
      <c r="T216">
        <v>784.2</v>
      </c>
      <c r="U216">
        <v>687</v>
      </c>
      <c r="V216">
        <v>699</v>
      </c>
      <c r="W216">
        <v>682.8</v>
      </c>
      <c r="X216">
        <v>864.9</v>
      </c>
      <c r="Y216">
        <v>1423.4</v>
      </c>
      <c r="Z216">
        <v>1524.8</v>
      </c>
      <c r="AA216">
        <v>819.5</v>
      </c>
      <c r="AB216">
        <v>801.1</v>
      </c>
      <c r="AC216" t="s">
        <v>73</v>
      </c>
      <c r="AD216" t="s">
        <v>73</v>
      </c>
    </row>
    <row r="217" spans="1:30" x14ac:dyDescent="0.3">
      <c r="A217" t="s">
        <v>560</v>
      </c>
      <c r="B217" s="5" t="s">
        <v>561</v>
      </c>
      <c r="C217" t="s">
        <v>455</v>
      </c>
      <c r="D217" s="5" t="s">
        <v>456</v>
      </c>
      <c r="E217">
        <v>1682.3</v>
      </c>
      <c r="F217">
        <v>1403.7</v>
      </c>
      <c r="G217">
        <v>1629.6</v>
      </c>
      <c r="H217">
        <v>1721.2</v>
      </c>
      <c r="I217">
        <v>1825.3</v>
      </c>
      <c r="J217">
        <v>1905.4</v>
      </c>
      <c r="K217">
        <v>2145.9</v>
      </c>
      <c r="L217">
        <v>2258.6</v>
      </c>
      <c r="M217">
        <v>2188</v>
      </c>
      <c r="N217">
        <v>2072.1999999999998</v>
      </c>
      <c r="O217">
        <v>2540.9</v>
      </c>
      <c r="P217">
        <v>2745.1</v>
      </c>
      <c r="Q217">
        <v>2708.8</v>
      </c>
      <c r="R217">
        <v>2596.1</v>
      </c>
      <c r="S217">
        <v>2774.9</v>
      </c>
      <c r="T217">
        <v>3026.4</v>
      </c>
      <c r="U217">
        <v>2432.1999999999998</v>
      </c>
      <c r="V217">
        <v>2489.9</v>
      </c>
      <c r="W217">
        <v>2168.1</v>
      </c>
      <c r="X217">
        <v>2400.4</v>
      </c>
      <c r="Y217">
        <v>2481.6</v>
      </c>
      <c r="Z217">
        <v>2525</v>
      </c>
      <c r="AA217">
        <v>2457.4</v>
      </c>
      <c r="AB217">
        <v>2343.8000000000002</v>
      </c>
      <c r="AC217" t="s">
        <v>73</v>
      </c>
      <c r="AD217" t="s">
        <v>73</v>
      </c>
    </row>
    <row r="218" spans="1:30" x14ac:dyDescent="0.3">
      <c r="A218" t="s">
        <v>560</v>
      </c>
      <c r="B218" s="5" t="s">
        <v>561</v>
      </c>
      <c r="C218" t="s">
        <v>457</v>
      </c>
      <c r="D218" s="5" t="s">
        <v>458</v>
      </c>
      <c r="E218">
        <v>1159.5</v>
      </c>
      <c r="F218">
        <v>1193.9000000000001</v>
      </c>
      <c r="G218">
        <v>539.1</v>
      </c>
      <c r="H218">
        <v>795.3</v>
      </c>
      <c r="I218">
        <v>1205.9000000000001</v>
      </c>
      <c r="J218">
        <v>653.79999999999995</v>
      </c>
      <c r="K218">
        <v>934.2</v>
      </c>
      <c r="L218">
        <v>806.7</v>
      </c>
      <c r="M218">
        <v>309.7</v>
      </c>
      <c r="N218">
        <v>452.4</v>
      </c>
      <c r="O218">
        <v>733.4</v>
      </c>
      <c r="P218">
        <v>587.4</v>
      </c>
      <c r="Q218">
        <v>695.7</v>
      </c>
      <c r="R218">
        <v>668.5</v>
      </c>
      <c r="S218">
        <v>831.4</v>
      </c>
      <c r="T218">
        <v>557.5</v>
      </c>
      <c r="U218">
        <v>435.1</v>
      </c>
      <c r="V218">
        <v>1203.3</v>
      </c>
      <c r="W218">
        <v>1254.2</v>
      </c>
      <c r="X218">
        <v>749.6</v>
      </c>
      <c r="Y218">
        <v>1149.4000000000001</v>
      </c>
      <c r="Z218">
        <v>1545.5</v>
      </c>
      <c r="AA218">
        <v>956.9</v>
      </c>
      <c r="AB218">
        <v>743.9</v>
      </c>
      <c r="AC218" t="s">
        <v>73</v>
      </c>
      <c r="AD218" t="s">
        <v>73</v>
      </c>
    </row>
    <row r="219" spans="1:30" x14ac:dyDescent="0.3">
      <c r="A219" t="s">
        <v>560</v>
      </c>
      <c r="B219" s="5" t="s">
        <v>561</v>
      </c>
      <c r="C219" t="s">
        <v>459</v>
      </c>
      <c r="D219" s="5" t="s">
        <v>460</v>
      </c>
      <c r="E219">
        <v>1292.8715436626378</v>
      </c>
      <c r="F219">
        <v>1262.4481662848686</v>
      </c>
      <c r="G219">
        <v>1264.6916286992512</v>
      </c>
      <c r="H219">
        <v>1150.1766472641339</v>
      </c>
      <c r="I219">
        <v>1296.2991680356486</v>
      </c>
      <c r="J219">
        <v>1173.8548654193125</v>
      </c>
      <c r="K219">
        <v>1296.3988257790484</v>
      </c>
      <c r="L219">
        <v>1324.8067666857078</v>
      </c>
      <c r="M219">
        <v>1348.0402498990479</v>
      </c>
      <c r="N219">
        <v>1425.6754602908527</v>
      </c>
      <c r="O219">
        <v>1553.3933354310038</v>
      </c>
      <c r="P219">
        <v>1492.8909896770663</v>
      </c>
      <c r="Q219">
        <v>1653.4722483608659</v>
      </c>
      <c r="R219">
        <v>1539.1114739467228</v>
      </c>
      <c r="S219">
        <v>1653.2958127693739</v>
      </c>
      <c r="T219">
        <v>1639.9438697254407</v>
      </c>
      <c r="U219">
        <v>1510.0427112890093</v>
      </c>
      <c r="V219">
        <v>1771.1758281642526</v>
      </c>
      <c r="W219">
        <v>1737.6434575450421</v>
      </c>
      <c r="X219">
        <v>1727.1815306561641</v>
      </c>
      <c r="Y219">
        <v>1864.0284593581696</v>
      </c>
      <c r="Z219">
        <v>1923.4223116813821</v>
      </c>
      <c r="AA219">
        <v>1841.8584877572448</v>
      </c>
      <c r="AB219" t="s">
        <v>73</v>
      </c>
      <c r="AC219" t="s">
        <v>73</v>
      </c>
      <c r="AD219" t="s">
        <v>73</v>
      </c>
    </row>
    <row r="220" spans="1:30" x14ac:dyDescent="0.3">
      <c r="A220" t="s">
        <v>560</v>
      </c>
      <c r="B220" s="5" t="s">
        <v>561</v>
      </c>
      <c r="C220" t="s">
        <v>461</v>
      </c>
      <c r="D220" s="5" t="s">
        <v>462</v>
      </c>
      <c r="E220">
        <v>971.64785933350811</v>
      </c>
      <c r="F220">
        <v>1002.0222050299262</v>
      </c>
      <c r="G220">
        <v>1011.135973444128</v>
      </c>
      <c r="H220">
        <v>1075.3962679525243</v>
      </c>
      <c r="I220">
        <v>1089.5900869858738</v>
      </c>
      <c r="J220">
        <v>1143.4099313096258</v>
      </c>
      <c r="K220">
        <v>1180.5945969496818</v>
      </c>
      <c r="L220">
        <v>1107.1726767485422</v>
      </c>
      <c r="M220">
        <v>1231.7997463787628</v>
      </c>
      <c r="N220">
        <v>1192.1163592024361</v>
      </c>
      <c r="O220">
        <v>1184.2888387226094</v>
      </c>
      <c r="P220">
        <v>1061.2674996023782</v>
      </c>
      <c r="Q220">
        <v>1187.662083084175</v>
      </c>
      <c r="R220">
        <v>1113.2322717521665</v>
      </c>
      <c r="S220">
        <v>1226.5227405907053</v>
      </c>
      <c r="T220">
        <v>1268.2541862438241</v>
      </c>
      <c r="U220">
        <v>1311.2737001113564</v>
      </c>
      <c r="V220">
        <v>1289.9336927031375</v>
      </c>
      <c r="W220">
        <v>1344.8261305162398</v>
      </c>
      <c r="X220">
        <v>1369.2182767421427</v>
      </c>
      <c r="Y220">
        <v>1368.2567947456341</v>
      </c>
      <c r="Z220">
        <v>1323.3527711056449</v>
      </c>
      <c r="AA220">
        <v>1395.067596872248</v>
      </c>
      <c r="AB220" t="s">
        <v>73</v>
      </c>
      <c r="AC220" t="s">
        <v>73</v>
      </c>
      <c r="AD220" t="s">
        <v>73</v>
      </c>
    </row>
    <row r="221" spans="1:30" x14ac:dyDescent="0.3">
      <c r="A221" t="s">
        <v>560</v>
      </c>
      <c r="B221" s="5" t="s">
        <v>561</v>
      </c>
      <c r="C221" t="s">
        <v>463</v>
      </c>
      <c r="D221" s="5" t="s">
        <v>464</v>
      </c>
      <c r="E221">
        <v>1438.3420665682454</v>
      </c>
      <c r="F221">
        <v>1584.3496918594785</v>
      </c>
      <c r="G221">
        <v>1766.034620070966</v>
      </c>
      <c r="H221">
        <v>1789.3126693249342</v>
      </c>
      <c r="I221">
        <v>1935.3307558457784</v>
      </c>
      <c r="J221">
        <v>1524.6623997334063</v>
      </c>
      <c r="K221">
        <v>1916.0667502183812</v>
      </c>
      <c r="L221">
        <v>1680.9949584375086</v>
      </c>
      <c r="M221">
        <v>1702.6019629141392</v>
      </c>
      <c r="N221">
        <v>1959.4836086929797</v>
      </c>
      <c r="O221">
        <v>1733.8534072893658</v>
      </c>
      <c r="P221">
        <v>1866.549240222555</v>
      </c>
      <c r="Q221">
        <v>2033.2440094381661</v>
      </c>
      <c r="R221">
        <v>1967.8945479812717</v>
      </c>
      <c r="S221">
        <v>1798.6435980157453</v>
      </c>
      <c r="T221">
        <v>2166.2371642852013</v>
      </c>
      <c r="U221">
        <v>1702.3941355741888</v>
      </c>
      <c r="V221">
        <v>1884.1208925353114</v>
      </c>
      <c r="W221">
        <v>1796.0685575529424</v>
      </c>
      <c r="X221">
        <v>1948.4151866951865</v>
      </c>
      <c r="Y221">
        <v>1864.6705794953427</v>
      </c>
      <c r="Z221">
        <v>1957.9223897267377</v>
      </c>
      <c r="AA221">
        <v>1910.1654618298458</v>
      </c>
      <c r="AB221" t="s">
        <v>73</v>
      </c>
      <c r="AC221" t="s">
        <v>73</v>
      </c>
      <c r="AD221" t="s">
        <v>73</v>
      </c>
    </row>
    <row r="222" spans="1:30" x14ac:dyDescent="0.3">
      <c r="A222" t="s">
        <v>560</v>
      </c>
      <c r="B222" s="5" t="s">
        <v>561</v>
      </c>
      <c r="C222" t="s">
        <v>465</v>
      </c>
      <c r="D222" s="5" t="s">
        <v>466</v>
      </c>
      <c r="E222">
        <v>3641.2958096660063</v>
      </c>
      <c r="F222">
        <v>3773.3931720831438</v>
      </c>
      <c r="G222">
        <v>3768.9247964658693</v>
      </c>
      <c r="H222">
        <v>3864.8759665781199</v>
      </c>
      <c r="I222">
        <v>3789.2781765216951</v>
      </c>
      <c r="J222">
        <v>3614.9771949600322</v>
      </c>
      <c r="K222">
        <v>4147.3968602018895</v>
      </c>
      <c r="L222">
        <v>4001.1172691495594</v>
      </c>
      <c r="M222">
        <v>3899.4915256666891</v>
      </c>
      <c r="N222">
        <v>4022.3783508349734</v>
      </c>
      <c r="O222">
        <v>4011.6376606579906</v>
      </c>
      <c r="P222">
        <v>4098.0667250714741</v>
      </c>
      <c r="Q222">
        <v>4270.9184883461749</v>
      </c>
      <c r="R222">
        <v>4626.0825128405013</v>
      </c>
      <c r="S222">
        <v>4817.1852370785045</v>
      </c>
      <c r="T222">
        <v>4949.7311500510978</v>
      </c>
      <c r="U222">
        <v>4827.6808922025521</v>
      </c>
      <c r="V222">
        <v>5189.9556304699436</v>
      </c>
      <c r="W222">
        <v>5300.7766623304651</v>
      </c>
      <c r="X222">
        <v>5183.8906615453079</v>
      </c>
      <c r="Y222">
        <v>5067.2127556908699</v>
      </c>
      <c r="Z222">
        <v>5057.5930252441694</v>
      </c>
      <c r="AA222">
        <v>5422.9599452825205</v>
      </c>
      <c r="AB222" t="s">
        <v>73</v>
      </c>
      <c r="AC222" t="s">
        <v>73</v>
      </c>
      <c r="AD222" t="s">
        <v>73</v>
      </c>
    </row>
    <row r="223" spans="1:30" x14ac:dyDescent="0.3">
      <c r="A223" t="s">
        <v>560</v>
      </c>
      <c r="B223" s="5" t="s">
        <v>561</v>
      </c>
      <c r="C223" t="s">
        <v>467</v>
      </c>
      <c r="D223" s="5" t="s">
        <v>468</v>
      </c>
      <c r="E223">
        <v>2662.670885740391</v>
      </c>
      <c r="F223">
        <v>3383.2658656478598</v>
      </c>
      <c r="G223">
        <v>3259.8623460521435</v>
      </c>
      <c r="H223">
        <v>2862.6763556335441</v>
      </c>
      <c r="I223">
        <v>4128.8016426819386</v>
      </c>
      <c r="J223">
        <v>3740.7450842351327</v>
      </c>
      <c r="K223">
        <v>3285.7149286204981</v>
      </c>
      <c r="L223">
        <v>3009.3643364654995</v>
      </c>
      <c r="M223">
        <v>3911.425496881549</v>
      </c>
      <c r="N223">
        <v>3660.7090201965316</v>
      </c>
      <c r="O223">
        <v>3764.9820605101286</v>
      </c>
      <c r="P223">
        <v>4037.0793604077271</v>
      </c>
      <c r="Q223">
        <v>3491.5622836882039</v>
      </c>
      <c r="R223">
        <v>4149.5613616844657</v>
      </c>
      <c r="S223">
        <v>4656.460742379867</v>
      </c>
      <c r="T223">
        <v>4255.4124111178671</v>
      </c>
      <c r="U223">
        <v>4617.8528348263244</v>
      </c>
      <c r="V223">
        <v>4868.7553959391234</v>
      </c>
      <c r="W223">
        <v>4708.7479090917268</v>
      </c>
      <c r="X223">
        <v>4843.2759303078174</v>
      </c>
      <c r="Y223">
        <v>4754.235908157566</v>
      </c>
      <c r="Z223">
        <v>5106.5402132360787</v>
      </c>
      <c r="AA223">
        <v>4524.1033814477405</v>
      </c>
      <c r="AB223" t="s">
        <v>73</v>
      </c>
      <c r="AC223" t="s">
        <v>73</v>
      </c>
      <c r="AD223" t="s">
        <v>73</v>
      </c>
    </row>
    <row r="224" spans="1:30" x14ac:dyDescent="0.3">
      <c r="A224" t="s">
        <v>560</v>
      </c>
      <c r="B224" s="5" t="s">
        <v>561</v>
      </c>
      <c r="C224" t="s">
        <v>469</v>
      </c>
      <c r="D224" s="5" t="s">
        <v>470</v>
      </c>
      <c r="E224">
        <v>2547.2955297369163</v>
      </c>
      <c r="F224">
        <v>2577.2159858235154</v>
      </c>
      <c r="G224">
        <v>2544.9536690602963</v>
      </c>
      <c r="H224">
        <v>2643.0568073297363</v>
      </c>
      <c r="I224">
        <v>2664.157394911259</v>
      </c>
      <c r="J224">
        <v>2770.3803528301496</v>
      </c>
      <c r="K224">
        <v>2801.6462631704712</v>
      </c>
      <c r="L224">
        <v>2888.5331606909717</v>
      </c>
      <c r="M224">
        <v>2956.2106686529637</v>
      </c>
      <c r="N224">
        <v>2939.1043162814722</v>
      </c>
      <c r="O224">
        <v>3027.812122380526</v>
      </c>
      <c r="P224">
        <v>3128.176994008722</v>
      </c>
      <c r="Q224">
        <v>3193.5426719092357</v>
      </c>
      <c r="R224">
        <v>3262.9580475335179</v>
      </c>
      <c r="S224">
        <v>3271.9641014389945</v>
      </c>
      <c r="T224">
        <v>3274.5622526312236</v>
      </c>
      <c r="U224">
        <v>3347.2609953360743</v>
      </c>
      <c r="V224">
        <v>3480.7686034048115</v>
      </c>
      <c r="W224">
        <v>3515.0569657920901</v>
      </c>
      <c r="X224">
        <v>3618.258579576102</v>
      </c>
      <c r="Y224">
        <v>3621.6092542569836</v>
      </c>
      <c r="Z224">
        <v>3673.1692609510069</v>
      </c>
      <c r="AA224">
        <v>3741.6683834492305</v>
      </c>
      <c r="AB224" t="s">
        <v>73</v>
      </c>
      <c r="AC224" t="s">
        <v>73</v>
      </c>
      <c r="AD224" t="s">
        <v>73</v>
      </c>
    </row>
    <row r="225" spans="1:30" x14ac:dyDescent="0.3">
      <c r="A225" t="s">
        <v>560</v>
      </c>
      <c r="B225" s="5" t="s">
        <v>561</v>
      </c>
      <c r="C225" t="s">
        <v>471</v>
      </c>
      <c r="D225" s="5" t="s">
        <v>472</v>
      </c>
      <c r="E225">
        <v>4025.4996078457839</v>
      </c>
      <c r="F225">
        <v>4036.4036063808558</v>
      </c>
      <c r="G225">
        <v>4129.6821962937192</v>
      </c>
      <c r="H225">
        <v>3986.3509661683802</v>
      </c>
      <c r="I225">
        <v>4277.8549657565545</v>
      </c>
      <c r="J225">
        <v>4275.7868673291869</v>
      </c>
      <c r="K225">
        <v>4414.9585152828995</v>
      </c>
      <c r="L225">
        <v>4333.9161915427312</v>
      </c>
      <c r="M225">
        <v>4502.304510937166</v>
      </c>
      <c r="N225">
        <v>4495.2207038406086</v>
      </c>
      <c r="O225">
        <v>4560.4522450242375</v>
      </c>
      <c r="P225">
        <v>4753.8881449558621</v>
      </c>
      <c r="Q225">
        <v>4870.2999683199441</v>
      </c>
      <c r="R225">
        <v>4903.8810922186794</v>
      </c>
      <c r="S225">
        <v>4962.1960241518955</v>
      </c>
      <c r="T225">
        <v>5046.0475511927953</v>
      </c>
      <c r="U225">
        <v>5066.0879925978352</v>
      </c>
      <c r="V225">
        <v>5150.3629910608524</v>
      </c>
      <c r="W225">
        <v>5143.7519074671945</v>
      </c>
      <c r="X225">
        <v>5194.1630353986548</v>
      </c>
      <c r="Y225">
        <v>5191.8370636398276</v>
      </c>
      <c r="Z225">
        <v>5259.1662591133909</v>
      </c>
      <c r="AA225">
        <v>5322.8350901368613</v>
      </c>
      <c r="AB225" t="s">
        <v>73</v>
      </c>
      <c r="AC225" t="s">
        <v>73</v>
      </c>
      <c r="AD225" t="s">
        <v>73</v>
      </c>
    </row>
    <row r="226" spans="1:30" x14ac:dyDescent="0.3">
      <c r="A226" t="s">
        <v>560</v>
      </c>
      <c r="B226" s="5" t="s">
        <v>561</v>
      </c>
      <c r="C226" t="s">
        <v>473</v>
      </c>
      <c r="D226" s="5" t="s">
        <v>474</v>
      </c>
      <c r="E226">
        <v>4198.3428294596633</v>
      </c>
      <c r="F226">
        <v>4249.1743298402416</v>
      </c>
      <c r="G226">
        <v>4329.9950991318219</v>
      </c>
      <c r="H226">
        <v>4330.5563464525349</v>
      </c>
      <c r="I226">
        <v>4552.8947599859521</v>
      </c>
      <c r="J226">
        <v>4607.2095814255063</v>
      </c>
      <c r="K226">
        <v>4688.4683362527358</v>
      </c>
      <c r="L226">
        <v>4717.3504614358735</v>
      </c>
      <c r="M226">
        <v>4899.3060859664856</v>
      </c>
      <c r="N226">
        <v>4852.7748050624505</v>
      </c>
      <c r="O226">
        <v>4916.8175009099978</v>
      </c>
      <c r="P226">
        <v>5058.149112088553</v>
      </c>
      <c r="Q226">
        <v>5174.9564023008525</v>
      </c>
      <c r="R226">
        <v>5227.4945628970445</v>
      </c>
      <c r="S226">
        <v>5261.0609837517477</v>
      </c>
      <c r="T226">
        <v>5361.9879864529221</v>
      </c>
      <c r="U226">
        <v>5356.7060714651207</v>
      </c>
      <c r="V226">
        <v>5414.7165927541928</v>
      </c>
      <c r="W226">
        <v>5440.3131293543893</v>
      </c>
      <c r="X226">
        <v>5534.6954553411078</v>
      </c>
      <c r="Y226">
        <v>5536.7708404609748</v>
      </c>
      <c r="Z226">
        <v>5575.7393337758385</v>
      </c>
      <c r="AA226">
        <v>5605.472401055993</v>
      </c>
      <c r="AB226" t="s">
        <v>73</v>
      </c>
      <c r="AC226" t="s">
        <v>73</v>
      </c>
      <c r="AD226" t="s">
        <v>73</v>
      </c>
    </row>
    <row r="227" spans="1:30" x14ac:dyDescent="0.3">
      <c r="A227" t="s">
        <v>560</v>
      </c>
      <c r="B227" s="5" t="s">
        <v>561</v>
      </c>
      <c r="C227" t="s">
        <v>475</v>
      </c>
      <c r="D227" s="5" t="s">
        <v>476</v>
      </c>
      <c r="E227">
        <v>4214.7521348241044</v>
      </c>
      <c r="F227">
        <v>4260.9558497768094</v>
      </c>
      <c r="G227">
        <v>4341.3061579773721</v>
      </c>
      <c r="H227">
        <v>4341.8266352622049</v>
      </c>
      <c r="I227">
        <v>4563.9653783491649</v>
      </c>
      <c r="J227">
        <v>4619.748642437723</v>
      </c>
      <c r="K227">
        <v>4699.2668309388382</v>
      </c>
      <c r="L227">
        <v>4734.2347740115783</v>
      </c>
      <c r="M227">
        <v>4911.6226270143379</v>
      </c>
      <c r="N227">
        <v>4866.1574927934862</v>
      </c>
      <c r="O227">
        <v>4930.0396505088529</v>
      </c>
      <c r="P227">
        <v>5071.0127937639454</v>
      </c>
      <c r="Q227">
        <v>5185.9118312667724</v>
      </c>
      <c r="R227">
        <v>5238.1929590232357</v>
      </c>
      <c r="S227">
        <v>5270.2386506057937</v>
      </c>
      <c r="T227">
        <v>5375.1518131141838</v>
      </c>
      <c r="U227">
        <v>5366.5343497564181</v>
      </c>
      <c r="V227">
        <v>5425.3617768105441</v>
      </c>
      <c r="W227">
        <v>5455.1074446133807</v>
      </c>
      <c r="X227">
        <v>5544.6511750425661</v>
      </c>
      <c r="Y227">
        <v>5554.5576636074156</v>
      </c>
      <c r="Z227">
        <v>5594.329809894416</v>
      </c>
      <c r="AA227">
        <v>5623.3008056748768</v>
      </c>
      <c r="AB227" t="s">
        <v>73</v>
      </c>
      <c r="AC227" t="s">
        <v>73</v>
      </c>
      <c r="AD227" t="s">
        <v>73</v>
      </c>
    </row>
    <row r="228" spans="1:30" x14ac:dyDescent="0.3">
      <c r="A228" t="s">
        <v>560</v>
      </c>
      <c r="B228" s="5" t="s">
        <v>561</v>
      </c>
      <c r="C228" t="s">
        <v>477</v>
      </c>
      <c r="D228" s="5" t="s">
        <v>478</v>
      </c>
      <c r="E228">
        <v>5347.723470982155</v>
      </c>
      <c r="F228">
        <v>5220.0127013290576</v>
      </c>
      <c r="G228">
        <v>5366.3839380254476</v>
      </c>
      <c r="H228">
        <v>4775.8885418605087</v>
      </c>
      <c r="I228">
        <v>5862.3155983603283</v>
      </c>
      <c r="J228">
        <v>5228.5457248969378</v>
      </c>
      <c r="K228">
        <v>5248.2456062334277</v>
      </c>
      <c r="L228">
        <v>5305.8763655991925</v>
      </c>
      <c r="M228">
        <v>5786.1183062503014</v>
      </c>
      <c r="N228">
        <v>5699.4102652953316</v>
      </c>
      <c r="O228">
        <v>5510.3754534608388</v>
      </c>
      <c r="P228">
        <v>5611.6321594146202</v>
      </c>
      <c r="Q228">
        <v>5570.3656009121914</v>
      </c>
      <c r="R228">
        <v>5832.910986430803</v>
      </c>
      <c r="S228">
        <v>6105.6508944858397</v>
      </c>
      <c r="T228">
        <v>5992.8521675335269</v>
      </c>
      <c r="U228">
        <v>5477.9805479801717</v>
      </c>
      <c r="V228">
        <v>5750.5608674274254</v>
      </c>
      <c r="W228">
        <v>5531.808839735434</v>
      </c>
      <c r="X228">
        <v>5923.3473444300853</v>
      </c>
      <c r="Y228">
        <v>5874.8040307065694</v>
      </c>
      <c r="Z228">
        <v>5936.4246873410457</v>
      </c>
      <c r="AA228">
        <v>5578.2576405677401</v>
      </c>
      <c r="AB228" t="s">
        <v>73</v>
      </c>
      <c r="AC228" t="s">
        <v>73</v>
      </c>
      <c r="AD228" t="s">
        <v>73</v>
      </c>
    </row>
    <row r="229" spans="1:30" x14ac:dyDescent="0.3">
      <c r="A229" t="s">
        <v>560</v>
      </c>
      <c r="B229" s="5" t="s">
        <v>561</v>
      </c>
      <c r="C229" t="s">
        <v>479</v>
      </c>
      <c r="D229" s="5" t="s">
        <v>480</v>
      </c>
      <c r="E229">
        <v>2890.6472559085591</v>
      </c>
      <c r="F229">
        <v>3086.0954103724789</v>
      </c>
      <c r="G229">
        <v>3142.1919325439549</v>
      </c>
      <c r="H229">
        <v>2898.7971476120256</v>
      </c>
      <c r="I229">
        <v>3392.4014737403968</v>
      </c>
      <c r="J229">
        <v>3171.4438376556004</v>
      </c>
      <c r="K229">
        <v>3124.1316400189021</v>
      </c>
      <c r="L229">
        <v>3058.1024397439464</v>
      </c>
      <c r="M229">
        <v>3547.022587877042</v>
      </c>
      <c r="N229">
        <v>3431.9396810557355</v>
      </c>
      <c r="O229">
        <v>3289.2785011961951</v>
      </c>
      <c r="P229">
        <v>3583.8675324284</v>
      </c>
      <c r="Q229">
        <v>3276.1227016798589</v>
      </c>
      <c r="R229">
        <v>3662.2816513483672</v>
      </c>
      <c r="S229">
        <v>3899.6199291734642</v>
      </c>
      <c r="T229">
        <v>3803.3771237041224</v>
      </c>
      <c r="U229">
        <v>3818.7609872768126</v>
      </c>
      <c r="V229">
        <v>3966.4142722174083</v>
      </c>
      <c r="W229">
        <v>3839.0136337310901</v>
      </c>
      <c r="X229">
        <v>4028.2402037583115</v>
      </c>
      <c r="Y229">
        <v>3932.6802168015183</v>
      </c>
      <c r="Z229">
        <v>4031.1759069008917</v>
      </c>
      <c r="AA229">
        <v>4043.0582398639331</v>
      </c>
      <c r="AB229" t="s">
        <v>73</v>
      </c>
      <c r="AC229" t="s">
        <v>73</v>
      </c>
      <c r="AD229" t="s">
        <v>73</v>
      </c>
    </row>
    <row r="230" spans="1:30" x14ac:dyDescent="0.3">
      <c r="A230" t="s">
        <v>560</v>
      </c>
      <c r="B230" s="5" t="s">
        <v>561</v>
      </c>
      <c r="C230" t="s">
        <v>481</v>
      </c>
      <c r="D230" s="5" t="s">
        <v>482</v>
      </c>
      <c r="E230">
        <v>1852.1111125190362</v>
      </c>
      <c r="F230">
        <v>2126.0018418225918</v>
      </c>
      <c r="G230">
        <v>2175.5709911289705</v>
      </c>
      <c r="H230">
        <v>2018.7726221978221</v>
      </c>
      <c r="I230">
        <v>2239.3653038741413</v>
      </c>
      <c r="J230">
        <v>2253.0472337388233</v>
      </c>
      <c r="K230">
        <v>2307.9646209965326</v>
      </c>
      <c r="L230">
        <v>2138.0489405080939</v>
      </c>
      <c r="M230">
        <v>2554.6814484173956</v>
      </c>
      <c r="N230">
        <v>2515.8024664523405</v>
      </c>
      <c r="O230">
        <v>2286.8058723638924</v>
      </c>
      <c r="P230">
        <v>2891.5899868506399</v>
      </c>
      <c r="Q230">
        <v>2446.9653045078439</v>
      </c>
      <c r="R230">
        <v>2921.0102685700544</v>
      </c>
      <c r="S230">
        <v>3006.6872347972762</v>
      </c>
      <c r="T230">
        <v>3034.2539400610276</v>
      </c>
      <c r="U230">
        <v>3173.3948943758915</v>
      </c>
      <c r="V230">
        <v>3026.6074427063868</v>
      </c>
      <c r="W230">
        <v>3224.2171785913679</v>
      </c>
      <c r="X230">
        <v>3262.1248058411625</v>
      </c>
      <c r="Y230">
        <v>3127.2975926629406</v>
      </c>
      <c r="Z230">
        <v>3310.024754482793</v>
      </c>
      <c r="AA230">
        <v>3069.3028263042879</v>
      </c>
      <c r="AB230" t="s">
        <v>73</v>
      </c>
      <c r="AC230" t="s">
        <v>73</v>
      </c>
      <c r="AD230" t="s">
        <v>73</v>
      </c>
    </row>
    <row r="231" spans="1:30" x14ac:dyDescent="0.3">
      <c r="A231" t="s">
        <v>560</v>
      </c>
      <c r="B231" s="5" t="s">
        <v>561</v>
      </c>
      <c r="C231" t="s">
        <v>483</v>
      </c>
      <c r="D231" s="5" t="s">
        <v>484</v>
      </c>
      <c r="E231">
        <v>1821.6369765348588</v>
      </c>
      <c r="F231">
        <v>2205.8076736951302</v>
      </c>
      <c r="G231">
        <v>2228.2877359559184</v>
      </c>
      <c r="H231">
        <v>2040.0871502057207</v>
      </c>
      <c r="I231">
        <v>2350.7886209887324</v>
      </c>
      <c r="J231">
        <v>2269.1623836416925</v>
      </c>
      <c r="K231">
        <v>2243.7374028057607</v>
      </c>
      <c r="L231">
        <v>2165.404710971648</v>
      </c>
      <c r="M231">
        <v>2614.3682821007378</v>
      </c>
      <c r="N231">
        <v>2548.298585046447</v>
      </c>
      <c r="O231">
        <v>2342.8513354362494</v>
      </c>
      <c r="P231">
        <v>2781.6784218735852</v>
      </c>
      <c r="Q231">
        <v>2360.9942467956184</v>
      </c>
      <c r="R231">
        <v>2820.8213126827732</v>
      </c>
      <c r="S231">
        <v>2975.375994131201</v>
      </c>
      <c r="T231">
        <v>2894.6941481584468</v>
      </c>
      <c r="U231">
        <v>3104.5446765990469</v>
      </c>
      <c r="V231">
        <v>3238.4621131334329</v>
      </c>
      <c r="W231">
        <v>3188.350136911602</v>
      </c>
      <c r="X231">
        <v>3242.7527154263826</v>
      </c>
      <c r="Y231">
        <v>3196.1554031303135</v>
      </c>
      <c r="Z231">
        <v>3311.8529001932279</v>
      </c>
      <c r="AA231">
        <v>3414.1629466919785</v>
      </c>
      <c r="AB231" t="s">
        <v>73</v>
      </c>
      <c r="AC231" t="s">
        <v>73</v>
      </c>
      <c r="AD231" t="s">
        <v>73</v>
      </c>
    </row>
    <row r="232" spans="1:30" x14ac:dyDescent="0.3">
      <c r="A232" t="s">
        <v>560</v>
      </c>
      <c r="B232" s="5" t="s">
        <v>561</v>
      </c>
      <c r="C232" t="s">
        <v>485</v>
      </c>
      <c r="D232" s="5" t="s">
        <v>486</v>
      </c>
      <c r="E232">
        <v>4397.748545977639</v>
      </c>
      <c r="F232">
        <v>4556.3652804861595</v>
      </c>
      <c r="G232">
        <v>4605.3617164760281</v>
      </c>
      <c r="H232">
        <v>4144.7448961035798</v>
      </c>
      <c r="I232">
        <v>5238.2895088796095</v>
      </c>
      <c r="J232">
        <v>4711.5297967183678</v>
      </c>
      <c r="K232">
        <v>4562.0129202480712</v>
      </c>
      <c r="L232">
        <v>4491.0581113713415</v>
      </c>
      <c r="M232">
        <v>5105.972953000447</v>
      </c>
      <c r="N232">
        <v>4969.0227293832377</v>
      </c>
      <c r="O232">
        <v>4916.014727529473</v>
      </c>
      <c r="P232">
        <v>5061.0076484041119</v>
      </c>
      <c r="Q232">
        <v>4821.2513048683622</v>
      </c>
      <c r="R232">
        <v>5253.3889762774406</v>
      </c>
      <c r="S232">
        <v>5612.1930145519182</v>
      </c>
      <c r="T232">
        <v>5377.7562749077661</v>
      </c>
      <c r="U232">
        <v>5193.8305921044112</v>
      </c>
      <c r="V232">
        <v>5499.5511019451924</v>
      </c>
      <c r="W232">
        <v>5230.1719229382088</v>
      </c>
      <c r="X232">
        <v>5574.7867633851856</v>
      </c>
      <c r="Y232">
        <v>5465.2404114232731</v>
      </c>
      <c r="Z232">
        <v>5663.9631371912174</v>
      </c>
      <c r="AA232">
        <v>5260.3150935671028</v>
      </c>
      <c r="AB232" t="s">
        <v>73</v>
      </c>
      <c r="AC232" t="s">
        <v>73</v>
      </c>
      <c r="AD232" t="s">
        <v>73</v>
      </c>
    </row>
    <row r="233" spans="1:30" x14ac:dyDescent="0.3">
      <c r="A233" t="s">
        <v>560</v>
      </c>
      <c r="B233" s="5" t="s">
        <v>561</v>
      </c>
      <c r="C233" t="s">
        <v>487</v>
      </c>
      <c r="D233" s="5" t="s">
        <v>488</v>
      </c>
      <c r="E233">
        <v>1255.8915268673327</v>
      </c>
      <c r="F233">
        <v>1458.8348217128666</v>
      </c>
      <c r="G233">
        <v>1479.2877480093632</v>
      </c>
      <c r="H233">
        <v>1398.5508356132752</v>
      </c>
      <c r="I233">
        <v>1576.4733118663664</v>
      </c>
      <c r="J233">
        <v>1475.7193031459492</v>
      </c>
      <c r="K233">
        <v>1581.94413695651</v>
      </c>
      <c r="L233">
        <v>1511.3166794531014</v>
      </c>
      <c r="M233">
        <v>1706.125107813072</v>
      </c>
      <c r="N233">
        <v>1725.6863976645693</v>
      </c>
      <c r="O233">
        <v>1635.4147195029195</v>
      </c>
      <c r="P233">
        <v>1719.1756814592595</v>
      </c>
      <c r="Q233">
        <v>1750.4415949110466</v>
      </c>
      <c r="R233">
        <v>1803.0942105090373</v>
      </c>
      <c r="S233">
        <v>1880.4163515940045</v>
      </c>
      <c r="T233">
        <v>1945.5733337123233</v>
      </c>
      <c r="U233">
        <v>1928.1935246360313</v>
      </c>
      <c r="V233">
        <v>1919.5952063413554</v>
      </c>
      <c r="W233">
        <v>2012.7018213939007</v>
      </c>
      <c r="X233">
        <v>2115.6194647540774</v>
      </c>
      <c r="Y233">
        <v>2010.4490770898365</v>
      </c>
      <c r="Z233">
        <v>2138.6968133069663</v>
      </c>
      <c r="AA233">
        <v>1940.7767394435332</v>
      </c>
      <c r="AB233" t="s">
        <v>73</v>
      </c>
      <c r="AC233" t="s">
        <v>73</v>
      </c>
      <c r="AD233" t="s">
        <v>73</v>
      </c>
    </row>
    <row r="234" spans="1:30" x14ac:dyDescent="0.3">
      <c r="A234" t="s">
        <v>560</v>
      </c>
      <c r="B234" s="5" t="s">
        <v>561</v>
      </c>
      <c r="C234" t="s">
        <v>489</v>
      </c>
      <c r="D234" s="5" t="s">
        <v>490</v>
      </c>
      <c r="E234">
        <v>958.77976058847662</v>
      </c>
      <c r="F234">
        <v>1008.1279070762746</v>
      </c>
      <c r="G234">
        <v>1024.3144563480528</v>
      </c>
      <c r="H234">
        <v>1004.9570699769066</v>
      </c>
      <c r="I234">
        <v>1047.4493635892775</v>
      </c>
      <c r="J234">
        <v>1025.8791868158316</v>
      </c>
      <c r="K234">
        <v>1130.5826113823287</v>
      </c>
      <c r="L234">
        <v>1149.5091462063936</v>
      </c>
      <c r="M234">
        <v>1130.6607834692957</v>
      </c>
      <c r="N234">
        <v>1238.9856516000548</v>
      </c>
      <c r="O234">
        <v>1274.2568663427235</v>
      </c>
      <c r="P234">
        <v>1223.9221103861778</v>
      </c>
      <c r="Q234">
        <v>1366.962322726401</v>
      </c>
      <c r="R234">
        <v>1306.0492208450312</v>
      </c>
      <c r="S234">
        <v>1360.717702686364</v>
      </c>
      <c r="T234">
        <v>1419.3308239586102</v>
      </c>
      <c r="U234">
        <v>1360.0130529426935</v>
      </c>
      <c r="V234">
        <v>1415.7267318340746</v>
      </c>
      <c r="W234">
        <v>1455.4466651115379</v>
      </c>
      <c r="X234">
        <v>1502.3431085961709</v>
      </c>
      <c r="Y234">
        <v>1533.445644159714</v>
      </c>
      <c r="Z234">
        <v>1543.144149641128</v>
      </c>
      <c r="AA234">
        <v>1528.7301947514841</v>
      </c>
      <c r="AB234" t="s">
        <v>73</v>
      </c>
      <c r="AC234" t="s">
        <v>73</v>
      </c>
      <c r="AD234" t="s">
        <v>73</v>
      </c>
    </row>
    <row r="235" spans="1:30" x14ac:dyDescent="0.3">
      <c r="A235" t="s">
        <v>560</v>
      </c>
      <c r="B235" s="5" t="s">
        <v>561</v>
      </c>
      <c r="C235" t="s">
        <v>491</v>
      </c>
      <c r="D235" s="5" t="s">
        <v>492</v>
      </c>
      <c r="E235">
        <v>3983.0837063128724</v>
      </c>
      <c r="F235">
        <v>3997.3841415790293</v>
      </c>
      <c r="G235">
        <v>3961.9206829624031</v>
      </c>
      <c r="H235">
        <v>3927.8650602055586</v>
      </c>
      <c r="I235">
        <v>4573.8249438386429</v>
      </c>
      <c r="J235">
        <v>4256.084744589697</v>
      </c>
      <c r="K235">
        <v>4203.4120290952724</v>
      </c>
      <c r="L235">
        <v>4291.9618703200267</v>
      </c>
      <c r="M235">
        <v>4516.3181271640979</v>
      </c>
      <c r="N235">
        <v>4637.5455954922854</v>
      </c>
      <c r="O235">
        <v>4616.2752849911303</v>
      </c>
      <c r="P235">
        <v>4632.1867290241689</v>
      </c>
      <c r="Q235">
        <v>4280.6215365770922</v>
      </c>
      <c r="R235">
        <v>4891.378762108282</v>
      </c>
      <c r="S235">
        <v>5109.8289992292875</v>
      </c>
      <c r="T235">
        <v>4953.0638059182957</v>
      </c>
      <c r="U235">
        <v>5349.3489384667819</v>
      </c>
      <c r="V235">
        <v>5352.7707977795399</v>
      </c>
      <c r="W235">
        <v>5148.8773584115625</v>
      </c>
      <c r="X235">
        <v>5192.6136173952882</v>
      </c>
      <c r="Y235">
        <v>5200.3046820910959</v>
      </c>
      <c r="Z235">
        <v>5245.9186614207156</v>
      </c>
      <c r="AA235">
        <v>5295.4110650126331</v>
      </c>
      <c r="AB235" t="s">
        <v>73</v>
      </c>
      <c r="AC235" t="s">
        <v>73</v>
      </c>
      <c r="AD235" t="s">
        <v>73</v>
      </c>
    </row>
    <row r="236" spans="1:30" x14ac:dyDescent="0.3">
      <c r="A236" t="s">
        <v>560</v>
      </c>
      <c r="B236" s="5" t="s">
        <v>561</v>
      </c>
      <c r="C236" t="s">
        <v>493</v>
      </c>
      <c r="D236" s="5" t="s">
        <v>494</v>
      </c>
      <c r="E236">
        <v>2856.854093260908</v>
      </c>
      <c r="F236">
        <v>3007.7435784913387</v>
      </c>
      <c r="G236">
        <v>2991.622123099186</v>
      </c>
      <c r="H236">
        <v>3022.9900744168654</v>
      </c>
      <c r="I236">
        <v>3154.5639416141689</v>
      </c>
      <c r="J236">
        <v>3164.9683929250332</v>
      </c>
      <c r="K236">
        <v>3229.6793075397072</v>
      </c>
      <c r="L236">
        <v>3275.1051476099351</v>
      </c>
      <c r="M236">
        <v>3499.919286405167</v>
      </c>
      <c r="N236">
        <v>3426.6846850069905</v>
      </c>
      <c r="O236">
        <v>3508.2359615243668</v>
      </c>
      <c r="P236">
        <v>3684.0346345383491</v>
      </c>
      <c r="Q236">
        <v>3689.5663799571003</v>
      </c>
      <c r="R236">
        <v>3842.3855099600637</v>
      </c>
      <c r="S236">
        <v>3892.4240193060214</v>
      </c>
      <c r="T236">
        <v>3934.5523728544663</v>
      </c>
      <c r="U236">
        <v>3991.1776541280556</v>
      </c>
      <c r="V236">
        <v>4137.4071090814814</v>
      </c>
      <c r="W236">
        <v>4137.5560988609668</v>
      </c>
      <c r="X236">
        <v>4238.3335712025264</v>
      </c>
      <c r="Y236">
        <v>4192.9392419453516</v>
      </c>
      <c r="Z236">
        <v>4264.1936813649691</v>
      </c>
      <c r="AA236">
        <v>4350.7392377907145</v>
      </c>
      <c r="AB236" t="s">
        <v>73</v>
      </c>
      <c r="AC236" t="s">
        <v>73</v>
      </c>
      <c r="AD236" t="s">
        <v>73</v>
      </c>
    </row>
    <row r="237" spans="1:30" x14ac:dyDescent="0.3">
      <c r="A237" t="s">
        <v>560</v>
      </c>
      <c r="B237" s="5" t="s">
        <v>561</v>
      </c>
      <c r="C237" t="s">
        <v>495</v>
      </c>
      <c r="D237" s="5" t="s">
        <v>496</v>
      </c>
      <c r="E237">
        <v>2580.2210145781874</v>
      </c>
      <c r="F237">
        <v>2698.5264380442954</v>
      </c>
      <c r="G237">
        <v>2683.8722075461569</v>
      </c>
      <c r="H237">
        <v>2685.3844159893142</v>
      </c>
      <c r="I237">
        <v>2821.4395507149402</v>
      </c>
      <c r="J237">
        <v>2801.2997035049193</v>
      </c>
      <c r="K237">
        <v>2878.9005008177082</v>
      </c>
      <c r="L237">
        <v>2924.6394578634258</v>
      </c>
      <c r="M237">
        <v>3083.8595610635039</v>
      </c>
      <c r="N237">
        <v>3066.6001890207781</v>
      </c>
      <c r="O237">
        <v>3098.004290285568</v>
      </c>
      <c r="P237">
        <v>3234.8800607331209</v>
      </c>
      <c r="Q237">
        <v>3262.2197673478363</v>
      </c>
      <c r="R237">
        <v>3355.867333348418</v>
      </c>
      <c r="S237">
        <v>3397.9845727498659</v>
      </c>
      <c r="T237">
        <v>3470.2656914654549</v>
      </c>
      <c r="U237">
        <v>3468.955705937638</v>
      </c>
      <c r="V237">
        <v>3604.5780622831267</v>
      </c>
      <c r="W237">
        <v>3600.45019717575</v>
      </c>
      <c r="X237">
        <v>3700.5770527876657</v>
      </c>
      <c r="Y237">
        <v>3672.8443577403259</v>
      </c>
      <c r="Z237">
        <v>3724.4454309406296</v>
      </c>
      <c r="AA237">
        <v>3783.5842090140695</v>
      </c>
      <c r="AB237" t="s">
        <v>73</v>
      </c>
      <c r="AC237" t="s">
        <v>73</v>
      </c>
      <c r="AD237" t="s">
        <v>73</v>
      </c>
    </row>
    <row r="238" spans="1:30" x14ac:dyDescent="0.3">
      <c r="A238" t="s">
        <v>560</v>
      </c>
      <c r="B238" s="5" t="s">
        <v>561</v>
      </c>
      <c r="C238" t="s">
        <v>497</v>
      </c>
      <c r="D238" s="5" t="s">
        <v>498</v>
      </c>
      <c r="E238">
        <v>1683.7237856515751</v>
      </c>
      <c r="F238">
        <v>1696.3284165357411</v>
      </c>
      <c r="G238">
        <v>1701.8881262272907</v>
      </c>
      <c r="H238">
        <v>1765.8602157766582</v>
      </c>
      <c r="I238">
        <v>1843.7259817605418</v>
      </c>
      <c r="J238">
        <v>1898.1807923703159</v>
      </c>
      <c r="K238">
        <v>1924.3011717650227</v>
      </c>
      <c r="L238">
        <v>1942.077154082662</v>
      </c>
      <c r="M238">
        <v>1974.7581933791212</v>
      </c>
      <c r="N238">
        <v>2083.4760678068524</v>
      </c>
      <c r="O238">
        <v>2029.9282829279591</v>
      </c>
      <c r="P238">
        <v>2041.2617109449707</v>
      </c>
      <c r="Q238">
        <v>2058.2801997144534</v>
      </c>
      <c r="R238">
        <v>2055.7680830505083</v>
      </c>
      <c r="S238">
        <v>2192.6142000339883</v>
      </c>
      <c r="T238">
        <v>2182.3993769977706</v>
      </c>
      <c r="U238">
        <v>2233.9580673133178</v>
      </c>
      <c r="V238">
        <v>2242.2312392556337</v>
      </c>
      <c r="W238">
        <v>2273.5279107283686</v>
      </c>
      <c r="X238">
        <v>2306.6756742743892</v>
      </c>
      <c r="Y238">
        <v>2345.3958259251817</v>
      </c>
      <c r="Z238">
        <v>2395.9148082041329</v>
      </c>
      <c r="AA238">
        <v>2371.4759640490925</v>
      </c>
      <c r="AB238" t="s">
        <v>73</v>
      </c>
      <c r="AC238" t="s">
        <v>73</v>
      </c>
      <c r="AD238" t="s">
        <v>73</v>
      </c>
    </row>
    <row r="239" spans="1:30" x14ac:dyDescent="0.3">
      <c r="A239" t="s">
        <v>560</v>
      </c>
      <c r="B239" s="5" t="s">
        <v>561</v>
      </c>
      <c r="C239" t="s">
        <v>499</v>
      </c>
      <c r="D239" s="5" t="s">
        <v>500</v>
      </c>
      <c r="E239">
        <v>1617.81251225749</v>
      </c>
      <c r="F239">
        <v>1633.3101473289998</v>
      </c>
      <c r="G239">
        <v>1663.8176965992241</v>
      </c>
      <c r="H239">
        <v>1632.0165936985638</v>
      </c>
      <c r="I239">
        <v>1691.9051545645891</v>
      </c>
      <c r="J239">
        <v>1667.5779846837106</v>
      </c>
      <c r="K239">
        <v>1804.2537643669787</v>
      </c>
      <c r="L239">
        <v>1852.5281197363893</v>
      </c>
      <c r="M239">
        <v>1831.9941445148643</v>
      </c>
      <c r="N239">
        <v>1949.2228047579517</v>
      </c>
      <c r="O239">
        <v>1943.9785097859472</v>
      </c>
      <c r="P239">
        <v>1909.6747077377488</v>
      </c>
      <c r="Q239">
        <v>2010.3335470506054</v>
      </c>
      <c r="R239">
        <v>1956.9499487341213</v>
      </c>
      <c r="S239">
        <v>1978.3130450143556</v>
      </c>
      <c r="T239">
        <v>2082.4494226023439</v>
      </c>
      <c r="U239">
        <v>1975.9771456882283</v>
      </c>
      <c r="V239">
        <v>2057.0269767681652</v>
      </c>
      <c r="W239">
        <v>2085.6583447814473</v>
      </c>
      <c r="X239">
        <v>2161.7724609800316</v>
      </c>
      <c r="Y239">
        <v>2184.8625309948197</v>
      </c>
      <c r="Z239">
        <v>2174.0406633080206</v>
      </c>
      <c r="AA239">
        <v>2159.2599452685499</v>
      </c>
      <c r="AB239" t="s">
        <v>73</v>
      </c>
      <c r="AC239" t="s">
        <v>73</v>
      </c>
      <c r="AD239" t="s">
        <v>73</v>
      </c>
    </row>
    <row r="240" spans="1:30" x14ac:dyDescent="0.3">
      <c r="A240" t="s">
        <v>560</v>
      </c>
      <c r="B240" s="5" t="s">
        <v>561</v>
      </c>
      <c r="C240" t="s">
        <v>501</v>
      </c>
      <c r="D240" s="5" t="s">
        <v>502</v>
      </c>
      <c r="E240">
        <v>1638.7140635568023</v>
      </c>
      <c r="F240">
        <v>1651.7341244223473</v>
      </c>
      <c r="G240">
        <v>1675.1068857248563</v>
      </c>
      <c r="H240">
        <v>1670.2649667111211</v>
      </c>
      <c r="I240">
        <v>1738.2493529999354</v>
      </c>
      <c r="J240">
        <v>1733.0336773207603</v>
      </c>
      <c r="K240">
        <v>1840.0825805017184</v>
      </c>
      <c r="L240">
        <v>1878.9558713868782</v>
      </c>
      <c r="M240">
        <v>1872.3444123262823</v>
      </c>
      <c r="N240">
        <v>1984.2266399722216</v>
      </c>
      <c r="O240">
        <v>1966.4032219877549</v>
      </c>
      <c r="P240">
        <v>1943.6224114168517</v>
      </c>
      <c r="Q240">
        <v>2022.8176408133718</v>
      </c>
      <c r="R240">
        <v>1982.1991455144123</v>
      </c>
      <c r="S240">
        <v>2033.9460742266992</v>
      </c>
      <c r="T240">
        <v>2109.533012776114</v>
      </c>
      <c r="U240">
        <v>2043.7768365503721</v>
      </c>
      <c r="V240">
        <v>2106.9919594665221</v>
      </c>
      <c r="W240">
        <v>2134.9627142929794</v>
      </c>
      <c r="X240">
        <v>2199.9631268134194</v>
      </c>
      <c r="Y240">
        <v>2226.7125571702591</v>
      </c>
      <c r="Z240">
        <v>2232.7649963437616</v>
      </c>
      <c r="AA240">
        <v>2214.9891001868032</v>
      </c>
      <c r="AB240" t="s">
        <v>73</v>
      </c>
      <c r="AC240" t="s">
        <v>73</v>
      </c>
      <c r="AD240" t="s">
        <v>73</v>
      </c>
    </row>
    <row r="241" spans="1:30" x14ac:dyDescent="0.3">
      <c r="A241" t="s">
        <v>560</v>
      </c>
      <c r="B241" s="5" t="s">
        <v>561</v>
      </c>
      <c r="C241" t="s">
        <v>503</v>
      </c>
      <c r="D241" s="5" t="s">
        <v>504</v>
      </c>
      <c r="E241">
        <v>3179.5740518014209</v>
      </c>
      <c r="F241">
        <v>3391.4347853983618</v>
      </c>
      <c r="G241">
        <v>3400.2867068892551</v>
      </c>
      <c r="H241">
        <v>3407.0103708798511</v>
      </c>
      <c r="I241">
        <v>3581.7219015754295</v>
      </c>
      <c r="J241">
        <v>3551.7349941169168</v>
      </c>
      <c r="K241">
        <v>3659.3393054274266</v>
      </c>
      <c r="L241">
        <v>3688.9174639205908</v>
      </c>
      <c r="M241">
        <v>3901.8236345884029</v>
      </c>
      <c r="N241">
        <v>3858.4038778979889</v>
      </c>
      <c r="O241">
        <v>3970.3662717334118</v>
      </c>
      <c r="P241">
        <v>4131.1461406593462</v>
      </c>
      <c r="Q241">
        <v>4104.0727450316017</v>
      </c>
      <c r="R241">
        <v>4287.8660835266746</v>
      </c>
      <c r="S241">
        <v>4361.622402442903</v>
      </c>
      <c r="T241">
        <v>4439.3473512195451</v>
      </c>
      <c r="U241">
        <v>4438.2443886195952</v>
      </c>
      <c r="V241">
        <v>4634.4238046046221</v>
      </c>
      <c r="W241">
        <v>4575.7193730726067</v>
      </c>
      <c r="X241">
        <v>4682.1841519371965</v>
      </c>
      <c r="Y241">
        <v>4666.9962076659513</v>
      </c>
      <c r="Z241">
        <v>4638.3460099825234</v>
      </c>
      <c r="AA241">
        <v>4780.1098735897567</v>
      </c>
      <c r="AB241" t="s">
        <v>73</v>
      </c>
      <c r="AC241" t="s">
        <v>73</v>
      </c>
      <c r="AD241" t="s">
        <v>73</v>
      </c>
    </row>
    <row r="242" spans="1:30" x14ac:dyDescent="0.3">
      <c r="A242" t="s">
        <v>560</v>
      </c>
      <c r="B242" s="5" t="s">
        <v>561</v>
      </c>
      <c r="C242" t="s">
        <v>505</v>
      </c>
      <c r="D242" s="5" t="s">
        <v>506</v>
      </c>
      <c r="E242">
        <v>2849.6352588935165</v>
      </c>
      <c r="F242">
        <v>3042.4759151906915</v>
      </c>
      <c r="G242">
        <v>2940.0390708195409</v>
      </c>
      <c r="H242">
        <v>3189.7315035821875</v>
      </c>
      <c r="I242">
        <v>3188.408441449275</v>
      </c>
      <c r="J242">
        <v>3206.2542412290168</v>
      </c>
      <c r="K242">
        <v>3265.4682106057162</v>
      </c>
      <c r="L242">
        <v>3540.6058866341214</v>
      </c>
      <c r="M242">
        <v>3656.8468359686062</v>
      </c>
      <c r="N242">
        <v>3334.0330155454126</v>
      </c>
      <c r="O242">
        <v>3853.3161217157576</v>
      </c>
      <c r="P242">
        <v>3809.4987966072636</v>
      </c>
      <c r="Q242">
        <v>3963.3385445876884</v>
      </c>
      <c r="R242">
        <v>4159.7679173834485</v>
      </c>
      <c r="S242">
        <v>4169.4753817042092</v>
      </c>
      <c r="T242">
        <v>4353.6570931367287</v>
      </c>
      <c r="U242">
        <v>4183.9923390907443</v>
      </c>
      <c r="V242">
        <v>4680.8368990623112</v>
      </c>
      <c r="W242">
        <v>4339.2444577456245</v>
      </c>
      <c r="X242">
        <v>4851.8945259422962</v>
      </c>
      <c r="Y242">
        <v>4714.5789388014082</v>
      </c>
      <c r="Z242">
        <v>4433.5335564843308</v>
      </c>
      <c r="AA242">
        <v>4586.6339742124474</v>
      </c>
      <c r="AB242" t="s">
        <v>73</v>
      </c>
      <c r="AC242" t="s">
        <v>73</v>
      </c>
      <c r="AD242" t="s">
        <v>73</v>
      </c>
    </row>
    <row r="243" spans="1:30" x14ac:dyDescent="0.3">
      <c r="A243" t="s">
        <v>560</v>
      </c>
      <c r="B243" s="5" t="s">
        <v>561</v>
      </c>
      <c r="C243" t="s">
        <v>507</v>
      </c>
      <c r="D243" s="5" t="s">
        <v>508</v>
      </c>
      <c r="E243">
        <v>2809.7655884516325</v>
      </c>
      <c r="F243">
        <v>3007.4835084892184</v>
      </c>
      <c r="G243">
        <v>2896.1740256541143</v>
      </c>
      <c r="H243">
        <v>3154.006390903196</v>
      </c>
      <c r="I243">
        <v>3135.4918606948931</v>
      </c>
      <c r="J243">
        <v>3152.1411271969209</v>
      </c>
      <c r="K243">
        <v>3209.8204510814844</v>
      </c>
      <c r="L243">
        <v>3507.8709475751666</v>
      </c>
      <c r="M243">
        <v>3630.4461329768651</v>
      </c>
      <c r="N243">
        <v>3299.2038162235917</v>
      </c>
      <c r="O243">
        <v>3824.7498737290439</v>
      </c>
      <c r="P243">
        <v>3772.6023124675171</v>
      </c>
      <c r="Q243">
        <v>3942.5634662930183</v>
      </c>
      <c r="R243">
        <v>4141.3734961062401</v>
      </c>
      <c r="S243">
        <v>4146.2114206335254</v>
      </c>
      <c r="T243">
        <v>4342.3009849271848</v>
      </c>
      <c r="U243">
        <v>4154.654466322444</v>
      </c>
      <c r="V243">
        <v>4676.7490732330871</v>
      </c>
      <c r="W243">
        <v>4331.766842241258</v>
      </c>
      <c r="X243">
        <v>4844.5409076510241</v>
      </c>
      <c r="Y243">
        <v>4708.8232251064828</v>
      </c>
      <c r="Z243">
        <v>4414.4180768541819</v>
      </c>
      <c r="AA243">
        <v>4590.0347518908839</v>
      </c>
      <c r="AB243" t="s">
        <v>73</v>
      </c>
      <c r="AC243" t="s">
        <v>73</v>
      </c>
      <c r="AD243" t="s">
        <v>73</v>
      </c>
    </row>
    <row r="244" spans="1:30" x14ac:dyDescent="0.3">
      <c r="A244" t="s">
        <v>560</v>
      </c>
      <c r="B244" s="5" t="s">
        <v>561</v>
      </c>
      <c r="C244" t="s">
        <v>509</v>
      </c>
      <c r="D244" s="5" t="s">
        <v>510</v>
      </c>
      <c r="E244">
        <v>2851.8293479426256</v>
      </c>
      <c r="F244">
        <v>3043.5018111315962</v>
      </c>
      <c r="G244">
        <v>2938.8151619826717</v>
      </c>
      <c r="H244">
        <v>3189.7392104154246</v>
      </c>
      <c r="I244">
        <v>3190.0289067426088</v>
      </c>
      <c r="J244">
        <v>3210.0281179379608</v>
      </c>
      <c r="K244">
        <v>3268.1995762711063</v>
      </c>
      <c r="L244">
        <v>3544.0891203720207</v>
      </c>
      <c r="M244">
        <v>3662.1085117058446</v>
      </c>
      <c r="N244">
        <v>3344.9037854819198</v>
      </c>
      <c r="O244">
        <v>3869.3201516292984</v>
      </c>
      <c r="P244">
        <v>3817.7487433438337</v>
      </c>
      <c r="Q244">
        <v>3971.2456603754108</v>
      </c>
      <c r="R244">
        <v>4168.6424623776002</v>
      </c>
      <c r="S244">
        <v>4178.5098111173102</v>
      </c>
      <c r="T244">
        <v>4360.4968907213988</v>
      </c>
      <c r="U244">
        <v>4191.4006281928459</v>
      </c>
      <c r="V244">
        <v>4689.5547816761919</v>
      </c>
      <c r="W244">
        <v>4346.4732745215006</v>
      </c>
      <c r="X244">
        <v>4860.5988661785932</v>
      </c>
      <c r="Y244">
        <v>4721.7535694980734</v>
      </c>
      <c r="Z244">
        <v>4439.8297106996924</v>
      </c>
      <c r="AA244">
        <v>4591.7319000951256</v>
      </c>
      <c r="AB244" t="s">
        <v>73</v>
      </c>
      <c r="AC244" t="s">
        <v>73</v>
      </c>
      <c r="AD244" t="s">
        <v>73</v>
      </c>
    </row>
    <row r="245" spans="1:30" x14ac:dyDescent="0.3">
      <c r="A245" t="s">
        <v>560</v>
      </c>
      <c r="B245" s="5" t="s">
        <v>561</v>
      </c>
      <c r="C245" t="s">
        <v>511</v>
      </c>
      <c r="D245" s="5" t="s">
        <v>512</v>
      </c>
      <c r="E245">
        <v>1601.1213947426872</v>
      </c>
      <c r="F245">
        <v>1595.2470057907742</v>
      </c>
      <c r="G245">
        <v>1612.8920675920601</v>
      </c>
      <c r="H245">
        <v>1577.0517104917365</v>
      </c>
      <c r="I245">
        <v>1644.058304796132</v>
      </c>
      <c r="J245">
        <v>1621.047536649849</v>
      </c>
      <c r="K245">
        <v>1752.3019166841259</v>
      </c>
      <c r="L245">
        <v>1815.7259538165931</v>
      </c>
      <c r="M245">
        <v>1821.7701100939562</v>
      </c>
      <c r="N245">
        <v>1900.9325866484101</v>
      </c>
      <c r="O245">
        <v>1910.8352002609236</v>
      </c>
      <c r="P245">
        <v>1868.0448500615441</v>
      </c>
      <c r="Q245">
        <v>1985.442791570382</v>
      </c>
      <c r="R245">
        <v>1913.9111419441915</v>
      </c>
      <c r="S245">
        <v>1956.4868052663905</v>
      </c>
      <c r="T245">
        <v>2030.1295040756024</v>
      </c>
      <c r="U245">
        <v>1933.0755332102426</v>
      </c>
      <c r="V245">
        <v>2018.6323611435951</v>
      </c>
      <c r="W245">
        <v>2049.6794491543337</v>
      </c>
      <c r="X245">
        <v>2084.1816442396771</v>
      </c>
      <c r="Y245">
        <v>2116.7074348146452</v>
      </c>
      <c r="Z245">
        <v>2138.3653920335964</v>
      </c>
      <c r="AA245">
        <v>2123.729193464133</v>
      </c>
      <c r="AB245" t="s">
        <v>73</v>
      </c>
      <c r="AC245" t="s">
        <v>73</v>
      </c>
      <c r="AD245" t="s">
        <v>73</v>
      </c>
    </row>
    <row r="246" spans="1:30" x14ac:dyDescent="0.3">
      <c r="A246" t="s">
        <v>560</v>
      </c>
      <c r="B246" s="5" t="s">
        <v>561</v>
      </c>
      <c r="C246" t="s">
        <v>513</v>
      </c>
      <c r="D246" s="5" t="s">
        <v>514</v>
      </c>
      <c r="E246">
        <v>2695.7497475118666</v>
      </c>
      <c r="F246">
        <v>2776.7605569403963</v>
      </c>
      <c r="G246">
        <v>2753.4382661898712</v>
      </c>
      <c r="H246">
        <v>2779.9123021508381</v>
      </c>
      <c r="I246">
        <v>2892.7970835107667</v>
      </c>
      <c r="J246">
        <v>2885.2858846419394</v>
      </c>
      <c r="K246">
        <v>2976.6229969336773</v>
      </c>
      <c r="L246">
        <v>3030.1956823242162</v>
      </c>
      <c r="M246">
        <v>3163.7273563904341</v>
      </c>
      <c r="N246">
        <v>3148.7358070284386</v>
      </c>
      <c r="O246">
        <v>3184.7040456502136</v>
      </c>
      <c r="P246">
        <v>3318.3760537686453</v>
      </c>
      <c r="Q246">
        <v>3387.8835461371759</v>
      </c>
      <c r="R246">
        <v>3445.3790644994278</v>
      </c>
      <c r="S246">
        <v>3467.6865388749388</v>
      </c>
      <c r="T246">
        <v>3568.1653536146323</v>
      </c>
      <c r="U246">
        <v>3536.9795767429127</v>
      </c>
      <c r="V246">
        <v>3644.1197566967235</v>
      </c>
      <c r="W246">
        <v>3661.8717234750693</v>
      </c>
      <c r="X246">
        <v>3768.6664840096178</v>
      </c>
      <c r="Y246">
        <v>3730.4976898657483</v>
      </c>
      <c r="Z246">
        <v>3779.8541523570293</v>
      </c>
      <c r="AA246">
        <v>3809.9753861399986</v>
      </c>
      <c r="AB246" t="s">
        <v>73</v>
      </c>
      <c r="AC246" t="s">
        <v>73</v>
      </c>
      <c r="AD246" t="s">
        <v>73</v>
      </c>
    </row>
    <row r="247" spans="1:30" x14ac:dyDescent="0.3">
      <c r="A247" t="s">
        <v>560</v>
      </c>
      <c r="B247" s="5" t="s">
        <v>561</v>
      </c>
      <c r="C247" t="s">
        <v>515</v>
      </c>
      <c r="D247" s="5" t="s">
        <v>516</v>
      </c>
      <c r="E247">
        <v>854.22468169967476</v>
      </c>
      <c r="F247">
        <v>950.2099424791918</v>
      </c>
      <c r="G247">
        <v>956.33609870500891</v>
      </c>
      <c r="H247">
        <v>1021.5932828647851</v>
      </c>
      <c r="I247">
        <v>1004.1745866404526</v>
      </c>
      <c r="J247">
        <v>961.18757371697586</v>
      </c>
      <c r="K247">
        <v>1072.7510086132233</v>
      </c>
      <c r="L247">
        <v>1070.3033905519903</v>
      </c>
      <c r="M247">
        <v>998.83144746881305</v>
      </c>
      <c r="N247">
        <v>1148.6003179388404</v>
      </c>
      <c r="O247">
        <v>1096.8044366261054</v>
      </c>
      <c r="P247">
        <v>1059.0728593362708</v>
      </c>
      <c r="Q247">
        <v>1235.7282959101476</v>
      </c>
      <c r="R247">
        <v>1118.0101111931049</v>
      </c>
      <c r="S247">
        <v>1123.5719374274686</v>
      </c>
      <c r="T247">
        <v>1166.6688899756832</v>
      </c>
      <c r="U247">
        <v>1082.1690644539176</v>
      </c>
      <c r="V247">
        <v>1102.3033507788664</v>
      </c>
      <c r="W247">
        <v>1100.4643239433885</v>
      </c>
      <c r="X247">
        <v>1198.6927015347317</v>
      </c>
      <c r="Y247">
        <v>1214.116412049882</v>
      </c>
      <c r="Z247">
        <v>1155.3052245220413</v>
      </c>
      <c r="AA247">
        <v>1182.6604538674046</v>
      </c>
      <c r="AB247" t="s">
        <v>73</v>
      </c>
      <c r="AC247" t="s">
        <v>73</v>
      </c>
      <c r="AD247" t="s">
        <v>73</v>
      </c>
    </row>
    <row r="248" spans="1:30" x14ac:dyDescent="0.3">
      <c r="A248" t="s">
        <v>560</v>
      </c>
      <c r="B248" s="5" t="s">
        <v>561</v>
      </c>
      <c r="C248" t="s">
        <v>517</v>
      </c>
      <c r="D248" s="5" t="s">
        <v>518</v>
      </c>
      <c r="E248">
        <v>2306.6141787377446</v>
      </c>
      <c r="F248">
        <v>2406.8147711657134</v>
      </c>
      <c r="G248">
        <v>2315.0788842914289</v>
      </c>
      <c r="H248">
        <v>2423.8479102392762</v>
      </c>
      <c r="I248">
        <v>2435.0934124019473</v>
      </c>
      <c r="J248">
        <v>2485.0521803425813</v>
      </c>
      <c r="K248">
        <v>2547.3039294193504</v>
      </c>
      <c r="L248">
        <v>2623.7722603555071</v>
      </c>
      <c r="M248">
        <v>2695.9658376092948</v>
      </c>
      <c r="N248">
        <v>2722.6701316102226</v>
      </c>
      <c r="O248">
        <v>2754.5023914043345</v>
      </c>
      <c r="P248">
        <v>2853.7837805907811</v>
      </c>
      <c r="Q248">
        <v>2912.4459961490616</v>
      </c>
      <c r="R248">
        <v>2935.7758253502384</v>
      </c>
      <c r="S248">
        <v>2960.4415112895636</v>
      </c>
      <c r="T248">
        <v>2925.6082313754305</v>
      </c>
      <c r="U248">
        <v>2969.0884434144773</v>
      </c>
      <c r="V248">
        <v>3037.4737741944086</v>
      </c>
      <c r="W248">
        <v>3146.7262035965327</v>
      </c>
      <c r="X248">
        <v>3229.5829424513227</v>
      </c>
      <c r="Y248">
        <v>3204.2090507710254</v>
      </c>
      <c r="Z248">
        <v>3307.1700750545838</v>
      </c>
      <c r="AA248">
        <v>3305.4771603423665</v>
      </c>
      <c r="AB248" t="s">
        <v>73</v>
      </c>
      <c r="AC248" t="s">
        <v>73</v>
      </c>
      <c r="AD248" t="s">
        <v>73</v>
      </c>
    </row>
    <row r="249" spans="1:30" x14ac:dyDescent="0.3">
      <c r="A249" t="s">
        <v>560</v>
      </c>
      <c r="B249" s="5" t="s">
        <v>561</v>
      </c>
      <c r="C249" t="s">
        <v>519</v>
      </c>
      <c r="D249" s="5" t="s">
        <v>520</v>
      </c>
      <c r="E249">
        <v>1943.1512236866904</v>
      </c>
      <c r="F249">
        <v>2033.132176882244</v>
      </c>
      <c r="G249">
        <v>2269.8533808258517</v>
      </c>
      <c r="H249">
        <v>2306.6399696212493</v>
      </c>
      <c r="I249">
        <v>2310.9274767859883</v>
      </c>
      <c r="J249">
        <v>2282.0823657872179</v>
      </c>
      <c r="K249">
        <v>2442.3970897624031</v>
      </c>
      <c r="L249">
        <v>2367.9857754951927</v>
      </c>
      <c r="M249">
        <v>2284.7395666794291</v>
      </c>
      <c r="N249">
        <v>2543.1197793932133</v>
      </c>
      <c r="O249">
        <v>2356.7917287729497</v>
      </c>
      <c r="P249">
        <v>2456.2317539560531</v>
      </c>
      <c r="Q249">
        <v>2423.9800591181606</v>
      </c>
      <c r="R249">
        <v>2581.1211209138082</v>
      </c>
      <c r="S249">
        <v>2545.5770783316934</v>
      </c>
      <c r="T249">
        <v>2731.0970940163024</v>
      </c>
      <c r="U249">
        <v>2680.5530148276353</v>
      </c>
      <c r="V249">
        <v>2627.9971753409204</v>
      </c>
      <c r="W249">
        <v>2657.056661391849</v>
      </c>
      <c r="X249">
        <v>2657.7895137009941</v>
      </c>
      <c r="Y249">
        <v>2572.0038296427783</v>
      </c>
      <c r="Z249">
        <v>2769.5663009667051</v>
      </c>
      <c r="AA249">
        <v>2733.6648740857454</v>
      </c>
      <c r="AB249" t="s">
        <v>73</v>
      </c>
      <c r="AC249" t="s">
        <v>73</v>
      </c>
      <c r="AD249" t="s">
        <v>73</v>
      </c>
    </row>
    <row r="250" spans="1:30" x14ac:dyDescent="0.3">
      <c r="A250" t="s">
        <v>560</v>
      </c>
      <c r="B250" s="5" t="s">
        <v>561</v>
      </c>
      <c r="C250" t="s">
        <v>521</v>
      </c>
      <c r="D250" s="5" t="s">
        <v>522</v>
      </c>
      <c r="E250">
        <v>1916.4041983355712</v>
      </c>
      <c r="F250">
        <v>1999.6174864005263</v>
      </c>
      <c r="G250">
        <v>2236.6434056214102</v>
      </c>
      <c r="H250">
        <v>2273.1161170644627</v>
      </c>
      <c r="I250">
        <v>2272.3477423348995</v>
      </c>
      <c r="J250">
        <v>2245.9559710904596</v>
      </c>
      <c r="K250">
        <v>2407.0337421715267</v>
      </c>
      <c r="L250">
        <v>2331.0129077063293</v>
      </c>
      <c r="M250">
        <v>2249.091796124651</v>
      </c>
      <c r="N250">
        <v>2523.32689599995</v>
      </c>
      <c r="O250">
        <v>2333.8086597451347</v>
      </c>
      <c r="P250">
        <v>2434.4433944228181</v>
      </c>
      <c r="Q250">
        <v>2405.7974635801452</v>
      </c>
      <c r="R250">
        <v>2566.516381492952</v>
      </c>
      <c r="S250">
        <v>2521.9535800495423</v>
      </c>
      <c r="T250">
        <v>2706.2093891506906</v>
      </c>
      <c r="U250">
        <v>2657.7058770502263</v>
      </c>
      <c r="V250">
        <v>2607.0948848017892</v>
      </c>
      <c r="W250">
        <v>2637.7656039398394</v>
      </c>
      <c r="X250">
        <v>2640.4387925044566</v>
      </c>
      <c r="Y250">
        <v>2552.8483090796462</v>
      </c>
      <c r="Z250">
        <v>2756.3530000774772</v>
      </c>
      <c r="AA250">
        <v>2714.9469542845227</v>
      </c>
      <c r="AB250" t="s">
        <v>73</v>
      </c>
      <c r="AC250" t="s">
        <v>73</v>
      </c>
      <c r="AD250" t="s">
        <v>73</v>
      </c>
    </row>
    <row r="251" spans="1:30" x14ac:dyDescent="0.3">
      <c r="A251" t="s">
        <v>560</v>
      </c>
      <c r="B251" s="5" t="s">
        <v>561</v>
      </c>
      <c r="C251" t="s">
        <v>523</v>
      </c>
      <c r="D251" s="5" t="s">
        <v>524</v>
      </c>
      <c r="E251">
        <v>1916.1911524307827</v>
      </c>
      <c r="F251">
        <v>2000.1902732456656</v>
      </c>
      <c r="G251">
        <v>2236.5929953428599</v>
      </c>
      <c r="H251">
        <v>2273.2812992889881</v>
      </c>
      <c r="I251">
        <v>2272.5965956275472</v>
      </c>
      <c r="J251">
        <v>2246.0634735680542</v>
      </c>
      <c r="K251">
        <v>2407.5305337256509</v>
      </c>
      <c r="L251">
        <v>2331.4190486564794</v>
      </c>
      <c r="M251">
        <v>2249.9522167283371</v>
      </c>
      <c r="N251">
        <v>2524.3078648163228</v>
      </c>
      <c r="O251">
        <v>2333.9645512918037</v>
      </c>
      <c r="P251">
        <v>2434.7472262091492</v>
      </c>
      <c r="Q251">
        <v>2405.9845647117272</v>
      </c>
      <c r="R251">
        <v>2566.7467906113852</v>
      </c>
      <c r="S251">
        <v>2522.1574468520039</v>
      </c>
      <c r="T251">
        <v>2706.5451332421694</v>
      </c>
      <c r="U251">
        <v>2657.8247092621468</v>
      </c>
      <c r="V251">
        <v>2607.3401352393298</v>
      </c>
      <c r="W251">
        <v>2638.1080299035311</v>
      </c>
      <c r="X251">
        <v>2640.6710029805809</v>
      </c>
      <c r="Y251">
        <v>2553.0127121569712</v>
      </c>
      <c r="Z251">
        <v>2756.4972450451546</v>
      </c>
      <c r="AA251">
        <v>2715.1458440055767</v>
      </c>
      <c r="AB251" t="s">
        <v>73</v>
      </c>
      <c r="AC251" t="s">
        <v>73</v>
      </c>
      <c r="AD251" t="s">
        <v>73</v>
      </c>
    </row>
    <row r="252" spans="1:30" x14ac:dyDescent="0.3">
      <c r="A252" t="s">
        <v>560</v>
      </c>
      <c r="B252" s="5" t="s">
        <v>561</v>
      </c>
      <c r="C252" t="s">
        <v>525</v>
      </c>
      <c r="D252" s="5" t="s">
        <v>526</v>
      </c>
      <c r="E252">
        <v>2866.2991146521081</v>
      </c>
      <c r="F252">
        <v>2963.3666339128099</v>
      </c>
      <c r="G252">
        <v>2940.7555546775293</v>
      </c>
      <c r="H252">
        <v>2976.2661795725166</v>
      </c>
      <c r="I252">
        <v>3072.4234611540737</v>
      </c>
      <c r="J252">
        <v>3114.4656043330979</v>
      </c>
      <c r="K252">
        <v>3191.9873423806307</v>
      </c>
      <c r="L252">
        <v>3247.9176952002308</v>
      </c>
      <c r="M252">
        <v>3410.6540529588692</v>
      </c>
      <c r="N252">
        <v>3374.93376623422</v>
      </c>
      <c r="O252">
        <v>3441.0080391443853</v>
      </c>
      <c r="P252">
        <v>3593.3733158105392</v>
      </c>
      <c r="Q252">
        <v>3637.6042359491098</v>
      </c>
      <c r="R252">
        <v>3738.263549812812</v>
      </c>
      <c r="S252">
        <v>3770.1460050846281</v>
      </c>
      <c r="T252">
        <v>3838.9392781878501</v>
      </c>
      <c r="U252">
        <v>3857.5733684985607</v>
      </c>
      <c r="V252">
        <v>3950.8102481063238</v>
      </c>
      <c r="W252">
        <v>3995.2549580467194</v>
      </c>
      <c r="X252">
        <v>4096.2046092712753</v>
      </c>
      <c r="Y252">
        <v>4049.6777239745948</v>
      </c>
      <c r="Z252">
        <v>4104.9408251398081</v>
      </c>
      <c r="AA252">
        <v>4140.6941905833155</v>
      </c>
      <c r="AB252" t="s">
        <v>73</v>
      </c>
      <c r="AC252" t="s">
        <v>73</v>
      </c>
      <c r="AD252" t="s">
        <v>73</v>
      </c>
    </row>
    <row r="253" spans="1:30" x14ac:dyDescent="0.3">
      <c r="A253" t="s">
        <v>560</v>
      </c>
      <c r="B253" s="5" t="s">
        <v>561</v>
      </c>
      <c r="C253" t="s">
        <v>527</v>
      </c>
      <c r="D253" s="5" t="s">
        <v>528</v>
      </c>
      <c r="E253">
        <v>5130.8616114782917</v>
      </c>
      <c r="F253">
        <v>5053.2434310952285</v>
      </c>
      <c r="G253">
        <v>4846.748952005617</v>
      </c>
      <c r="H253">
        <v>5254.0242618270349</v>
      </c>
      <c r="I253">
        <v>6029.2821877287188</v>
      </c>
      <c r="J253">
        <v>5745.1344137518836</v>
      </c>
      <c r="K253">
        <v>5623.0944025750969</v>
      </c>
      <c r="L253">
        <v>5932.7660511114018</v>
      </c>
      <c r="M253">
        <v>5914.8361415680256</v>
      </c>
      <c r="N253">
        <v>6416.0740945614943</v>
      </c>
      <c r="O253">
        <v>6329.8276820796755</v>
      </c>
      <c r="P253">
        <v>6174.0187400342129</v>
      </c>
      <c r="Q253">
        <v>5422.4225776018629</v>
      </c>
      <c r="R253">
        <v>6635.4969141372803</v>
      </c>
      <c r="S253">
        <v>6854.1769467589747</v>
      </c>
      <c r="T253">
        <v>6676.5421401932454</v>
      </c>
      <c r="U253">
        <v>7773.8031156280585</v>
      </c>
      <c r="V253">
        <v>7419.0974346782823</v>
      </c>
      <c r="W253">
        <v>7260.4386908004499</v>
      </c>
      <c r="X253">
        <v>7103.7748391417708</v>
      </c>
      <c r="Y253">
        <v>7209.1633338730608</v>
      </c>
      <c r="Z253">
        <v>7134.4068736824065</v>
      </c>
      <c r="AA253">
        <v>7119.3313918178037</v>
      </c>
      <c r="AB253" t="s">
        <v>73</v>
      </c>
      <c r="AC253" t="s">
        <v>73</v>
      </c>
      <c r="AD253" t="s">
        <v>73</v>
      </c>
    </row>
    <row r="254" spans="1:30" x14ac:dyDescent="0.3">
      <c r="A254" t="s">
        <v>560</v>
      </c>
      <c r="B254" s="5" t="s">
        <v>561</v>
      </c>
      <c r="C254" t="s">
        <v>529</v>
      </c>
      <c r="D254" s="5" t="s">
        <v>530</v>
      </c>
      <c r="E254" t="s">
        <v>73</v>
      </c>
      <c r="F254" t="s">
        <v>73</v>
      </c>
      <c r="G254" t="s">
        <v>73</v>
      </c>
      <c r="H254" t="s">
        <v>73</v>
      </c>
      <c r="I254" t="s">
        <v>73</v>
      </c>
      <c r="J254" t="s">
        <v>73</v>
      </c>
      <c r="K254" t="s">
        <v>73</v>
      </c>
      <c r="L254" t="s">
        <v>73</v>
      </c>
      <c r="M254" t="s">
        <v>73</v>
      </c>
      <c r="N254" t="s">
        <v>73</v>
      </c>
      <c r="O254" t="s">
        <v>73</v>
      </c>
      <c r="P254" t="s">
        <v>73</v>
      </c>
      <c r="Q254" t="s">
        <v>73</v>
      </c>
      <c r="R254" t="s">
        <v>73</v>
      </c>
      <c r="S254" t="s">
        <v>73</v>
      </c>
      <c r="T254" t="s">
        <v>73</v>
      </c>
      <c r="U254" t="s">
        <v>73</v>
      </c>
      <c r="V254" t="s">
        <v>73</v>
      </c>
      <c r="W254" t="s">
        <v>73</v>
      </c>
      <c r="X254" t="s">
        <v>73</v>
      </c>
      <c r="Y254" t="s">
        <v>73</v>
      </c>
      <c r="Z254" t="s">
        <v>73</v>
      </c>
      <c r="AA254" t="s">
        <v>73</v>
      </c>
      <c r="AB254" t="s">
        <v>73</v>
      </c>
      <c r="AC254" t="s">
        <v>73</v>
      </c>
      <c r="AD254" t="s">
        <v>73</v>
      </c>
    </row>
    <row r="255" spans="1:30" x14ac:dyDescent="0.3">
      <c r="A255" t="s">
        <v>560</v>
      </c>
      <c r="B255" s="5" t="s">
        <v>561</v>
      </c>
      <c r="C255" t="s">
        <v>531</v>
      </c>
      <c r="D255" s="5" t="s">
        <v>532</v>
      </c>
      <c r="E255">
        <v>4426.9661830504656</v>
      </c>
      <c r="F255">
        <v>4335.7817312729103</v>
      </c>
      <c r="G255">
        <v>4317.8784449609157</v>
      </c>
      <c r="H255">
        <v>4251.1641177198253</v>
      </c>
      <c r="I255">
        <v>4958.0949666080214</v>
      </c>
      <c r="J255">
        <v>4665.5171131616289</v>
      </c>
      <c r="K255">
        <v>4610.6222454602275</v>
      </c>
      <c r="L255">
        <v>4716.9603289948263</v>
      </c>
      <c r="M255">
        <v>4892.822277077541</v>
      </c>
      <c r="N255">
        <v>5081.4556982141721</v>
      </c>
      <c r="O255">
        <v>4986.9063675260049</v>
      </c>
      <c r="P255">
        <v>5035.916704133313</v>
      </c>
      <c r="Q255">
        <v>4728.2723143959802</v>
      </c>
      <c r="R255">
        <v>5350.7600664217243</v>
      </c>
      <c r="S255">
        <v>5561.7013202724902</v>
      </c>
      <c r="T255">
        <v>5448.5000204746011</v>
      </c>
      <c r="U255">
        <v>5862.8647372857395</v>
      </c>
      <c r="V255">
        <v>5764.9664996245601</v>
      </c>
      <c r="W255">
        <v>5562.4051621276885</v>
      </c>
      <c r="X255">
        <v>5639.4219418721104</v>
      </c>
      <c r="Y255">
        <v>5694.8728875474471</v>
      </c>
      <c r="Z255">
        <v>5667.9941078374031</v>
      </c>
      <c r="AA255">
        <v>5668.8141204263084</v>
      </c>
      <c r="AB255" t="s">
        <v>73</v>
      </c>
      <c r="AC255" t="s">
        <v>73</v>
      </c>
      <c r="AD255" t="s">
        <v>73</v>
      </c>
    </row>
    <row r="256" spans="1:30" x14ac:dyDescent="0.3">
      <c r="A256" t="s">
        <v>560</v>
      </c>
      <c r="B256" s="5" t="s">
        <v>561</v>
      </c>
      <c r="C256" t="s">
        <v>533</v>
      </c>
      <c r="D256" s="5" t="s">
        <v>534</v>
      </c>
      <c r="E256">
        <v>1802.5062935658625</v>
      </c>
      <c r="F256">
        <v>1742.1464581929506</v>
      </c>
      <c r="G256">
        <v>1727.2880987687606</v>
      </c>
      <c r="H256">
        <v>1691.3162582209582</v>
      </c>
      <c r="I256">
        <v>1997.2636970525227</v>
      </c>
      <c r="J256">
        <v>2112.3823427137927</v>
      </c>
      <c r="K256">
        <v>1843.799519728728</v>
      </c>
      <c r="L256">
        <v>2140.9568321246602</v>
      </c>
      <c r="M256">
        <v>2063.1970752766156</v>
      </c>
      <c r="N256">
        <v>2300.351534423341</v>
      </c>
      <c r="O256">
        <v>2165.4234525491311</v>
      </c>
      <c r="P256">
        <v>2317.9731854106067</v>
      </c>
      <c r="Q256">
        <v>2686.4165990926181</v>
      </c>
      <c r="R256">
        <v>2585.8963452263265</v>
      </c>
      <c r="S256">
        <v>2868.7902852255424</v>
      </c>
      <c r="T256">
        <v>3406.2672758435519</v>
      </c>
      <c r="U256">
        <v>2410.6328645377248</v>
      </c>
      <c r="V256">
        <v>3104.2594527746401</v>
      </c>
      <c r="W256">
        <v>2248.2368645948304</v>
      </c>
      <c r="X256">
        <v>3452.5562954732086</v>
      </c>
      <c r="Y256">
        <v>3497.1922131370761</v>
      </c>
      <c r="Z256">
        <v>2690.5841707398868</v>
      </c>
      <c r="AA256">
        <v>3293.0934015322468</v>
      </c>
      <c r="AB256" t="s">
        <v>73</v>
      </c>
      <c r="AC256" t="s">
        <v>73</v>
      </c>
      <c r="AD256" t="s">
        <v>73</v>
      </c>
    </row>
    <row r="257" spans="1:30" x14ac:dyDescent="0.3">
      <c r="A257" t="s">
        <v>560</v>
      </c>
      <c r="B257" s="5" t="s">
        <v>561</v>
      </c>
      <c r="C257" t="s">
        <v>535</v>
      </c>
      <c r="D257" s="5" t="s">
        <v>536</v>
      </c>
      <c r="E257">
        <v>2349.13740558686</v>
      </c>
      <c r="F257">
        <v>2140.3326748084291</v>
      </c>
      <c r="G257">
        <v>2162.8986523260337</v>
      </c>
      <c r="H257">
        <v>2106.0232421874998</v>
      </c>
      <c r="I257">
        <v>2103.3699175500592</v>
      </c>
      <c r="J257">
        <v>2122.4474391805375</v>
      </c>
      <c r="K257">
        <v>2101.390009402915</v>
      </c>
      <c r="L257">
        <v>2298.1112524224804</v>
      </c>
      <c r="M257">
        <v>1971.2031941031942</v>
      </c>
      <c r="N257">
        <v>2231.3836941042441</v>
      </c>
      <c r="O257">
        <v>2094.2977823268507</v>
      </c>
      <c r="P257">
        <v>2091.7232675859664</v>
      </c>
      <c r="Q257">
        <v>1791.7772905894517</v>
      </c>
      <c r="R257">
        <v>2092.9286891117481</v>
      </c>
      <c r="S257">
        <v>2448.5966909469303</v>
      </c>
      <c r="T257">
        <v>2038.798233916021</v>
      </c>
      <c r="U257">
        <v>2157.4124679075735</v>
      </c>
      <c r="V257">
        <v>2162.1689836268147</v>
      </c>
      <c r="W257">
        <v>2087.2460017050298</v>
      </c>
      <c r="X257">
        <v>2178.4716157205239</v>
      </c>
      <c r="Y257">
        <v>2418.2427715854269</v>
      </c>
      <c r="Z257">
        <v>2557.8115683732985</v>
      </c>
      <c r="AA257">
        <v>2773.3958246656766</v>
      </c>
      <c r="AB257" t="s">
        <v>73</v>
      </c>
      <c r="AC257" t="s">
        <v>73</v>
      </c>
      <c r="AD257" t="s">
        <v>73</v>
      </c>
    </row>
    <row r="258" spans="1:30" x14ac:dyDescent="0.3">
      <c r="A258" t="s">
        <v>560</v>
      </c>
      <c r="B258" s="5" t="s">
        <v>561</v>
      </c>
      <c r="C258" t="s">
        <v>537</v>
      </c>
      <c r="D258" s="5" t="s">
        <v>538</v>
      </c>
      <c r="E258">
        <v>4580.3017647140923</v>
      </c>
      <c r="F258">
        <v>4506.5110886650828</v>
      </c>
      <c r="G258">
        <v>4479.8573352346848</v>
      </c>
      <c r="H258">
        <v>4383.3615491854271</v>
      </c>
      <c r="I258">
        <v>5155.6106884520641</v>
      </c>
      <c r="J258">
        <v>4795.4966799166277</v>
      </c>
      <c r="K258">
        <v>4756.6709050892678</v>
      </c>
      <c r="L258">
        <v>4811.7024924065036</v>
      </c>
      <c r="M258">
        <v>5082.160892224867</v>
      </c>
      <c r="N258">
        <v>5207.5847152821834</v>
      </c>
      <c r="O258">
        <v>5086.6862417053208</v>
      </c>
      <c r="P258">
        <v>5222.49441732573</v>
      </c>
      <c r="Q258">
        <v>4808.9695455364872</v>
      </c>
      <c r="R258">
        <v>5535.4747143306204</v>
      </c>
      <c r="S258">
        <v>5820.2568189308786</v>
      </c>
      <c r="T258">
        <v>5665.240927037883</v>
      </c>
      <c r="U258">
        <v>6155.1769946154955</v>
      </c>
      <c r="V258">
        <v>5999.1821747257563</v>
      </c>
      <c r="W258">
        <v>5883.0452186957737</v>
      </c>
      <c r="X258">
        <v>5936.135678093402</v>
      </c>
      <c r="Y258">
        <v>5865.5118906067664</v>
      </c>
      <c r="Z258">
        <v>5985.6885863056586</v>
      </c>
      <c r="AA258">
        <v>5871.2422837932836</v>
      </c>
      <c r="AB258" t="s">
        <v>73</v>
      </c>
      <c r="AC258" t="s">
        <v>73</v>
      </c>
      <c r="AD258" t="s">
        <v>73</v>
      </c>
    </row>
    <row r="259" spans="1:30" x14ac:dyDescent="0.3">
      <c r="A259" t="s">
        <v>560</v>
      </c>
      <c r="B259" s="5" t="s">
        <v>561</v>
      </c>
      <c r="C259" t="s">
        <v>539</v>
      </c>
      <c r="D259" s="5" t="s">
        <v>540</v>
      </c>
      <c r="E259">
        <v>958.25973243833391</v>
      </c>
      <c r="F259">
        <v>1017.7538377423854</v>
      </c>
      <c r="G259">
        <v>1043.1567153432782</v>
      </c>
      <c r="H259">
        <v>1049.991229037716</v>
      </c>
      <c r="I259">
        <v>1105.6300527078033</v>
      </c>
      <c r="J259">
        <v>1053.1303889930068</v>
      </c>
      <c r="K259">
        <v>1161.4980227995895</v>
      </c>
      <c r="L259">
        <v>1163.0373912035627</v>
      </c>
      <c r="M259">
        <v>1180.1886980598281</v>
      </c>
      <c r="N259">
        <v>1199.0175746020925</v>
      </c>
      <c r="O259">
        <v>1243.1439182187089</v>
      </c>
      <c r="P259">
        <v>1147.9186813013421</v>
      </c>
      <c r="Q259">
        <v>1288.2268796647893</v>
      </c>
      <c r="R259">
        <v>1197.6403679697351</v>
      </c>
      <c r="S259">
        <v>1293.8855281792171</v>
      </c>
      <c r="T259">
        <v>1310.8445762312776</v>
      </c>
      <c r="U259">
        <v>1289.7122184672291</v>
      </c>
      <c r="V259">
        <v>1293.1403184727844</v>
      </c>
      <c r="W259">
        <v>1329.5946928284072</v>
      </c>
      <c r="X259">
        <v>1354.8118486690032</v>
      </c>
      <c r="Y259">
        <v>1397.5385571592394</v>
      </c>
      <c r="Z259">
        <v>1369.6120336098011</v>
      </c>
      <c r="AA259">
        <v>1366.040740374513</v>
      </c>
      <c r="AB259" t="s">
        <v>73</v>
      </c>
      <c r="AC259" t="s">
        <v>73</v>
      </c>
      <c r="AD259" t="s">
        <v>73</v>
      </c>
    </row>
    <row r="260" spans="1:30" x14ac:dyDescent="0.3">
      <c r="A260" t="s">
        <v>560</v>
      </c>
      <c r="B260" s="5" t="s">
        <v>561</v>
      </c>
      <c r="C260" t="s">
        <v>541</v>
      </c>
      <c r="D260" s="5" t="s">
        <v>542</v>
      </c>
      <c r="E260">
        <v>2217.231028832447</v>
      </c>
      <c r="F260">
        <v>2247.4366261060036</v>
      </c>
      <c r="G260">
        <v>2205.6074274062162</v>
      </c>
      <c r="H260">
        <v>2252.2275946913755</v>
      </c>
      <c r="I260">
        <v>2465.5130846885104</v>
      </c>
      <c r="J260">
        <v>2460.0339764255236</v>
      </c>
      <c r="K260">
        <v>2339.4431898560861</v>
      </c>
      <c r="L260">
        <v>2558.7651701859795</v>
      </c>
      <c r="M260">
        <v>2487.6655073536213</v>
      </c>
      <c r="N260">
        <v>2741.5671652052715</v>
      </c>
      <c r="O260">
        <v>2666.9442142977509</v>
      </c>
      <c r="P260">
        <v>2838.0988972296718</v>
      </c>
      <c r="Q260">
        <v>3126.4963437121851</v>
      </c>
      <c r="R260">
        <v>3197.690261071702</v>
      </c>
      <c r="S260">
        <v>3478.8258886417429</v>
      </c>
      <c r="T260">
        <v>3877.2090884383801</v>
      </c>
      <c r="U260">
        <v>3141.8908806232703</v>
      </c>
      <c r="V260">
        <v>3747.6242984971</v>
      </c>
      <c r="W260">
        <v>3143.5839020775793</v>
      </c>
      <c r="X260">
        <v>3988.3992282668601</v>
      </c>
      <c r="Y260">
        <v>3996.0434093713648</v>
      </c>
      <c r="Z260">
        <v>3369.9901709836449</v>
      </c>
      <c r="AA260">
        <v>3905.7631927279731</v>
      </c>
      <c r="AB260" t="s">
        <v>73</v>
      </c>
      <c r="AC260" t="s">
        <v>73</v>
      </c>
      <c r="AD260" t="s">
        <v>73</v>
      </c>
    </row>
    <row r="261" spans="1:30" x14ac:dyDescent="0.3">
      <c r="A261" t="s">
        <v>560</v>
      </c>
      <c r="B261" s="5" t="s">
        <v>561</v>
      </c>
      <c r="C261" t="s">
        <v>543</v>
      </c>
      <c r="D261" s="5" t="s">
        <v>544</v>
      </c>
      <c r="E261">
        <v>2404.8348024330649</v>
      </c>
      <c r="F261">
        <v>2509.4848662603181</v>
      </c>
      <c r="G261">
        <v>2322.5527231935475</v>
      </c>
      <c r="H261">
        <v>2511.5922216302474</v>
      </c>
      <c r="I261">
        <v>2461.9977934154481</v>
      </c>
      <c r="J261">
        <v>2539.7942768583566</v>
      </c>
      <c r="K261">
        <v>2576.4791640441499</v>
      </c>
      <c r="L261">
        <v>2721.3638327219442</v>
      </c>
      <c r="M261">
        <v>2789.2157860885472</v>
      </c>
      <c r="N261">
        <v>2749.4919906328678</v>
      </c>
      <c r="O261">
        <v>2847.9130579142652</v>
      </c>
      <c r="P261">
        <v>3013.7016019949147</v>
      </c>
      <c r="Q261">
        <v>3108.8708677416807</v>
      </c>
      <c r="R261">
        <v>3137.1868814035452</v>
      </c>
      <c r="S261">
        <v>3130.2514322003353</v>
      </c>
      <c r="T261">
        <v>3037.6591380176014</v>
      </c>
      <c r="U261">
        <v>3160.6564603550987</v>
      </c>
      <c r="V261">
        <v>3287.5763758686444</v>
      </c>
      <c r="W261">
        <v>3437.4861866064498</v>
      </c>
      <c r="X261">
        <v>3571.9972181781282</v>
      </c>
      <c r="Y261">
        <v>3548.863951158597</v>
      </c>
      <c r="Z261">
        <v>3646.0559897194253</v>
      </c>
      <c r="AA261">
        <v>3704.9477178778984</v>
      </c>
      <c r="AB261" t="s">
        <v>73</v>
      </c>
      <c r="AC261" t="s">
        <v>73</v>
      </c>
      <c r="AD261" t="s">
        <v>73</v>
      </c>
    </row>
    <row r="262" spans="1:30" x14ac:dyDescent="0.3">
      <c r="A262" t="s">
        <v>560</v>
      </c>
      <c r="B262" s="5" t="s">
        <v>561</v>
      </c>
      <c r="C262" t="s">
        <v>545</v>
      </c>
      <c r="D262" s="5" t="s">
        <v>546</v>
      </c>
      <c r="E262">
        <v>2404.8348024330649</v>
      </c>
      <c r="F262">
        <v>2509.4848662603181</v>
      </c>
      <c r="G262">
        <v>2322.5527231935475</v>
      </c>
      <c r="H262">
        <v>2511.5922216302474</v>
      </c>
      <c r="I262">
        <v>2461.9977934154481</v>
      </c>
      <c r="J262">
        <v>2539.7942768583566</v>
      </c>
      <c r="K262">
        <v>2576.4791640441499</v>
      </c>
      <c r="L262">
        <v>2721.3638327219442</v>
      </c>
      <c r="M262">
        <v>2789.2157860885472</v>
      </c>
      <c r="N262">
        <v>2749.4919906328678</v>
      </c>
      <c r="O262">
        <v>2847.9130579142652</v>
      </c>
      <c r="P262">
        <v>3013.7016019949147</v>
      </c>
      <c r="Q262">
        <v>3108.8708677416807</v>
      </c>
      <c r="R262">
        <v>3137.1868814035452</v>
      </c>
      <c r="S262">
        <v>3130.2514322003353</v>
      </c>
      <c r="T262">
        <v>3037.6591380176005</v>
      </c>
      <c r="U262">
        <v>3160.6564603550983</v>
      </c>
      <c r="V262">
        <v>3287.5763758686444</v>
      </c>
      <c r="W262">
        <v>3437.4861866064498</v>
      </c>
      <c r="X262">
        <v>3571.9972181781286</v>
      </c>
      <c r="Y262">
        <v>3548.863951158597</v>
      </c>
      <c r="Z262">
        <v>3646.0559897194253</v>
      </c>
      <c r="AA262">
        <v>3704.947717877898</v>
      </c>
      <c r="AB262" t="s">
        <v>73</v>
      </c>
      <c r="AC262" t="s">
        <v>73</v>
      </c>
      <c r="AD262" t="s">
        <v>73</v>
      </c>
    </row>
    <row r="263" spans="1:30" x14ac:dyDescent="0.3">
      <c r="A263" t="s">
        <v>560</v>
      </c>
      <c r="B263" s="5" t="s">
        <v>561</v>
      </c>
      <c r="C263" t="s">
        <v>547</v>
      </c>
      <c r="D263" s="5" t="s">
        <v>548</v>
      </c>
      <c r="E263">
        <v>1125.5059068612552</v>
      </c>
      <c r="F263">
        <v>1129.7032569710411</v>
      </c>
      <c r="G263">
        <v>1132.7275803347356</v>
      </c>
      <c r="H263">
        <v>1113.2758631955292</v>
      </c>
      <c r="I263">
        <v>1191.1525183168189</v>
      </c>
      <c r="J263">
        <v>1159.3261205569033</v>
      </c>
      <c r="K263">
        <v>1236.4444692934517</v>
      </c>
      <c r="L263">
        <v>1212.0525973550134</v>
      </c>
      <c r="M263">
        <v>1288.0413327024789</v>
      </c>
      <c r="N263">
        <v>1312.8361657985242</v>
      </c>
      <c r="O263">
        <v>1363.3140365371817</v>
      </c>
      <c r="P263">
        <v>1281.0175815999157</v>
      </c>
      <c r="Q263">
        <v>1410.5630947061059</v>
      </c>
      <c r="R263">
        <v>1327.5633592030306</v>
      </c>
      <c r="S263">
        <v>1444.7263727268034</v>
      </c>
      <c r="T263">
        <v>1448.9348091858683</v>
      </c>
      <c r="U263">
        <v>1410.5068640330294</v>
      </c>
      <c r="V263">
        <v>1522.6606092805198</v>
      </c>
      <c r="W263">
        <v>1535.1111479313552</v>
      </c>
      <c r="X263">
        <v>1540.7851945616405</v>
      </c>
      <c r="Y263">
        <v>1612.337482431778</v>
      </c>
      <c r="Z263">
        <v>1619.3321072135325</v>
      </c>
      <c r="AA263">
        <v>1612.8834196052524</v>
      </c>
      <c r="AB263" t="s">
        <v>73</v>
      </c>
      <c r="AC263" t="s">
        <v>73</v>
      </c>
      <c r="AD263" t="s">
        <v>73</v>
      </c>
    </row>
    <row r="264" spans="1:30" x14ac:dyDescent="0.3">
      <c r="A264" t="s">
        <v>560</v>
      </c>
      <c r="B264" s="5" t="s">
        <v>561</v>
      </c>
      <c r="C264" t="s">
        <v>549</v>
      </c>
      <c r="D264" s="5" t="s">
        <v>550</v>
      </c>
      <c r="E264">
        <v>1126.4523305701016</v>
      </c>
      <c r="F264">
        <v>1121.9782607232901</v>
      </c>
      <c r="G264">
        <v>1112.7862942101979</v>
      </c>
      <c r="H264">
        <v>1112.1967664323236</v>
      </c>
      <c r="I264">
        <v>1194.5498728456723</v>
      </c>
      <c r="J264">
        <v>1137.0118645903849</v>
      </c>
      <c r="K264">
        <v>1204.3139680277211</v>
      </c>
      <c r="L264">
        <v>1186.4009982360851</v>
      </c>
      <c r="M264">
        <v>1273.0900801961848</v>
      </c>
      <c r="N264">
        <v>1271.4451073618745</v>
      </c>
      <c r="O264">
        <v>1316.0150977112928</v>
      </c>
      <c r="P264">
        <v>1212.308416340582</v>
      </c>
      <c r="Q264">
        <v>1344.4712326951965</v>
      </c>
      <c r="R264">
        <v>1239.5294812759064</v>
      </c>
      <c r="S264">
        <v>1356.3715105452898</v>
      </c>
      <c r="T264">
        <v>1340.2050531172883</v>
      </c>
      <c r="U264">
        <v>1304.3826832700411</v>
      </c>
      <c r="V264">
        <v>1407.1356697228462</v>
      </c>
      <c r="W264">
        <v>1414.6445483692992</v>
      </c>
      <c r="X264">
        <v>1402.7156724036417</v>
      </c>
      <c r="Y264">
        <v>1483.1140881261172</v>
      </c>
      <c r="Z264">
        <v>1488.2376492616158</v>
      </c>
      <c r="AA264">
        <v>1481.7271486090497</v>
      </c>
      <c r="AB264" t="s">
        <v>73</v>
      </c>
      <c r="AC264" t="s">
        <v>73</v>
      </c>
      <c r="AD264" t="s">
        <v>73</v>
      </c>
    </row>
    <row r="265" spans="1:30" x14ac:dyDescent="0.3">
      <c r="A265" t="s">
        <v>560</v>
      </c>
      <c r="B265" s="5" t="s">
        <v>561</v>
      </c>
      <c r="C265" t="s">
        <v>551</v>
      </c>
      <c r="D265" s="5" t="s">
        <v>552</v>
      </c>
      <c r="E265">
        <v>1125.5059068612552</v>
      </c>
      <c r="F265">
        <v>1129.7032569710407</v>
      </c>
      <c r="G265">
        <v>1132.7275803347359</v>
      </c>
      <c r="H265">
        <v>1113.2758631955289</v>
      </c>
      <c r="I265">
        <v>1191.1525183168192</v>
      </c>
      <c r="J265">
        <v>1159.3261205569033</v>
      </c>
      <c r="K265">
        <v>1236.4444692934521</v>
      </c>
      <c r="L265">
        <v>1212.0525973550134</v>
      </c>
      <c r="M265">
        <v>1288.0413327024789</v>
      </c>
      <c r="N265">
        <v>1312.8361657985242</v>
      </c>
      <c r="O265">
        <v>1363.3140365371821</v>
      </c>
      <c r="P265">
        <v>1281.0175815999157</v>
      </c>
      <c r="Q265">
        <v>1410.5630947061061</v>
      </c>
      <c r="R265">
        <v>1327.563359203031</v>
      </c>
      <c r="S265">
        <v>1444.7263727268039</v>
      </c>
      <c r="T265">
        <v>1448.9348091858683</v>
      </c>
      <c r="U265">
        <v>1410.5068640330296</v>
      </c>
      <c r="V265">
        <v>1522.6606092805202</v>
      </c>
      <c r="W265">
        <v>1535.1111479313554</v>
      </c>
      <c r="X265">
        <v>1540.785194561641</v>
      </c>
      <c r="Y265">
        <v>1612.3374824317777</v>
      </c>
      <c r="Z265">
        <v>1619.3321072135325</v>
      </c>
      <c r="AA265">
        <v>1612.8834196052524</v>
      </c>
      <c r="AB265" t="s">
        <v>73</v>
      </c>
      <c r="AC265" t="s">
        <v>73</v>
      </c>
      <c r="AD265" t="s">
        <v>73</v>
      </c>
    </row>
    <row r="266" spans="1:30" x14ac:dyDescent="0.3">
      <c r="A266" t="s">
        <v>560</v>
      </c>
      <c r="B266" s="5" t="s">
        <v>561</v>
      </c>
      <c r="C266" t="s">
        <v>553</v>
      </c>
      <c r="D266" s="5" t="s">
        <v>554</v>
      </c>
      <c r="E266">
        <v>3389.4832794881067</v>
      </c>
      <c r="F266">
        <v>3461.8048179700254</v>
      </c>
      <c r="G266">
        <v>3494.4141658068716</v>
      </c>
      <c r="H266">
        <v>3498.1811960130744</v>
      </c>
      <c r="I266">
        <v>3657.8357070510751</v>
      </c>
      <c r="J266">
        <v>3700.4620898057524</v>
      </c>
      <c r="K266">
        <v>3799.0176452028873</v>
      </c>
      <c r="L266">
        <v>3824.8528989051674</v>
      </c>
      <c r="M266">
        <v>4082.0874377700866</v>
      </c>
      <c r="N266">
        <v>3958.4105746785649</v>
      </c>
      <c r="O266">
        <v>4069.5899578789895</v>
      </c>
      <c r="P266">
        <v>4263.5337134850924</v>
      </c>
      <c r="Q266">
        <v>4282.1759038756836</v>
      </c>
      <c r="R266">
        <v>4450.5517219489348</v>
      </c>
      <c r="S266">
        <v>4502.2241678265327</v>
      </c>
      <c r="T266">
        <v>4646.301055957164</v>
      </c>
      <c r="U266">
        <v>4640.6159861745464</v>
      </c>
      <c r="V266">
        <v>4759.0344564937905</v>
      </c>
      <c r="W266">
        <v>4738.4270865748049</v>
      </c>
      <c r="X266">
        <v>4835.7730837898062</v>
      </c>
      <c r="Y266">
        <v>4792.4182741902368</v>
      </c>
      <c r="Z266">
        <v>4810.0744822843562</v>
      </c>
      <c r="AA266">
        <v>4863.9444780162694</v>
      </c>
      <c r="AB266" t="s">
        <v>73</v>
      </c>
      <c r="AC266" t="s">
        <v>73</v>
      </c>
      <c r="AD266" t="s">
        <v>73</v>
      </c>
    </row>
    <row r="267" spans="1:30" x14ac:dyDescent="0.3">
      <c r="A267" t="s">
        <v>560</v>
      </c>
      <c r="B267" s="5" t="s">
        <v>561</v>
      </c>
      <c r="C267" t="s">
        <v>555</v>
      </c>
      <c r="D267" s="5" t="s">
        <v>556</v>
      </c>
      <c r="E267">
        <v>3069.1889245938632</v>
      </c>
      <c r="F267">
        <v>3126.7836201427194</v>
      </c>
      <c r="G267">
        <v>3101.7667102697269</v>
      </c>
      <c r="H267">
        <v>3094.6217044961681</v>
      </c>
      <c r="I267">
        <v>3373.077844103067</v>
      </c>
      <c r="J267">
        <v>3262.6957412960001</v>
      </c>
      <c r="K267">
        <v>3307.4286164625619</v>
      </c>
      <c r="L267">
        <v>3373.1392426117768</v>
      </c>
      <c r="M267">
        <v>3537.6430989158298</v>
      </c>
      <c r="N267">
        <v>3555.4766270911655</v>
      </c>
      <c r="O267">
        <v>3546.9074304467408</v>
      </c>
      <c r="P267">
        <v>3656.0464809851874</v>
      </c>
      <c r="Q267">
        <v>3614.7924624156799</v>
      </c>
      <c r="R267">
        <v>3822.7962752171384</v>
      </c>
      <c r="S267">
        <v>3896.2492880020968</v>
      </c>
      <c r="T267">
        <v>3928.0008548521046</v>
      </c>
      <c r="U267">
        <v>4008.4273941853371</v>
      </c>
      <c r="V267">
        <v>4075.0440669067684</v>
      </c>
      <c r="W267">
        <v>4035.038574778137</v>
      </c>
      <c r="X267">
        <v>4131.8195981303461</v>
      </c>
      <c r="Y267">
        <v>4100.768039365953</v>
      </c>
      <c r="Z267">
        <v>4152.2327183892685</v>
      </c>
      <c r="AA267">
        <v>4182.3829704231257</v>
      </c>
      <c r="AB267" t="s">
        <v>73</v>
      </c>
      <c r="AC267" t="s">
        <v>73</v>
      </c>
      <c r="AD267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1DCA320F0F734AB66EEC2E99E455D6" ma:contentTypeVersion="9" ma:contentTypeDescription="Creare un nuovo documento." ma:contentTypeScope="" ma:versionID="227733bb2361a806fef501b44b2b4a6e">
  <xsd:schema xmlns:xsd="http://www.w3.org/2001/XMLSchema" xmlns:xs="http://www.w3.org/2001/XMLSchema" xmlns:p="http://schemas.microsoft.com/office/2006/metadata/properties" xmlns:ns3="7cfb87e1-f8dc-48d8-be91-08c6f0b867c6" xmlns:ns4="43e5beb4-14cf-4c3b-a449-2a28cec6cda5" targetNamespace="http://schemas.microsoft.com/office/2006/metadata/properties" ma:root="true" ma:fieldsID="fd64ccadf4337ea36560899bfc58c2ac" ns3:_="" ns4:_="">
    <xsd:import namespace="7cfb87e1-f8dc-48d8-be91-08c6f0b867c6"/>
    <xsd:import namespace="43e5beb4-14cf-4c3b-a449-2a28cec6cd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87e1-f8dc-48d8-be91-08c6f0b867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beb4-14cf-4c3b-a449-2a28cec6cd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fb87e1-f8dc-48d8-be91-08c6f0b867c6" xsi:nil="true"/>
  </documentManagement>
</p:properties>
</file>

<file path=customXml/itemProps1.xml><?xml version="1.0" encoding="utf-8"?>
<ds:datastoreItem xmlns:ds="http://schemas.openxmlformats.org/officeDocument/2006/customXml" ds:itemID="{2AD46D54-0BED-4696-9599-6D50D00130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fb87e1-f8dc-48d8-be91-08c6f0b867c6"/>
    <ds:schemaRef ds:uri="43e5beb4-14cf-4c3b-a449-2a28cec6cd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FAC771-4805-4784-94D6-4D40CC7D97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3129CF-6038-46E2-A938-723A65DFF3F3}">
  <ds:schemaRefs>
    <ds:schemaRef ds:uri="http://www.w3.org/XML/1998/namespace"/>
    <ds:schemaRef ds:uri="http://schemas.microsoft.com/office/2006/documentManagement/types"/>
    <ds:schemaRef ds:uri="43e5beb4-14cf-4c3b-a449-2a28cec6cda5"/>
    <ds:schemaRef ds:uri="http://schemas.microsoft.com/office/2006/metadata/properties"/>
    <ds:schemaRef ds:uri="http://purl.org/dc/elements/1.1/"/>
    <ds:schemaRef ds:uri="http://purl.org/dc/dcmitype/"/>
    <ds:schemaRef ds:uri="7cfb87e1-f8dc-48d8-be91-08c6f0b867c6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Contry Selection</vt:lpstr>
      <vt:lpstr>PanelData</vt:lpstr>
      <vt:lpstr>GDP_pc</vt:lpstr>
      <vt:lpstr>CH4_Em</vt:lpstr>
      <vt:lpstr>N2O_Em</vt:lpstr>
      <vt:lpstr>CO2_Em</vt:lpstr>
      <vt:lpstr>Agri_VA</vt:lpstr>
      <vt:lpstr>Agri_land </vt:lpstr>
      <vt:lpstr>Cereal_Yield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Augusto Bestetti</dc:creator>
  <cp:lastModifiedBy>Andrea Augusto Bestetti</cp:lastModifiedBy>
  <dcterms:created xsi:type="dcterms:W3CDTF">2026-03-09T12:25:30Z</dcterms:created>
  <dcterms:modified xsi:type="dcterms:W3CDTF">2026-03-09T17:25:32Z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0x0101001A1DCA320F0F734AB66EEC2E99E455D6</vt:lpwstr>
  </property>
</Properties>
</file>